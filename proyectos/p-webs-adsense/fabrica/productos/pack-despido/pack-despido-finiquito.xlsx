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Instrucciones" sheetId="2" state="visible" r:id="rId2"/>
    <sheet xmlns:r="http://schemas.openxmlformats.org/officeDocument/2006/relationships" name="Tus datos" sheetId="3" state="visible" r:id="rId3"/>
    <sheet xmlns:r="http://schemas.openxmlformats.org/officeDocument/2006/relationships" name="Comprobación" sheetId="4" state="visible" r:id="rId4"/>
    <sheet xmlns:r="http://schemas.openxmlformats.org/officeDocument/2006/relationships" name="Finiquito" sheetId="5" state="visible" r:id="rId5"/>
    <sheet xmlns:r="http://schemas.openxmlformats.org/officeDocument/2006/relationships" name="Indemnización" sheetId="6" state="visible" r:id="rId6"/>
    <sheet xmlns:r="http://schemas.openxmlformats.org/officeDocument/2006/relationships" name="Plazos" sheetId="7" state="visible" r:id="rId7"/>
    <sheet xmlns:r="http://schemas.openxmlformats.org/officeDocument/2006/relationships" name="Festivos" sheetId="8" state="visible" r:id="rId8"/>
    <sheet xmlns:r="http://schemas.openxmlformats.org/officeDocument/2006/relationships" name="Parámetros" sheetId="9" state="visible" r:id="rId9"/>
  </sheets>
  <definedNames>
    <definedName name="D_IMPROC">'Parámetros'!$C$8</definedName>
    <definedName name="T_IMPROC">'Parámetros'!$C$9</definedName>
    <definedName name="D_ANT">'Parámetros'!$C$10</definedName>
    <definedName name="T_ANT">'Parámetros'!$C$11</definedName>
    <definedName name="CORTE">'Parámetros'!$C$12</definedName>
    <definedName name="D_OBJ">'Parámetros'!$C$13</definedName>
    <definedName name="T_OBJ">'Parámetros'!$C$14</definedName>
    <definedName name="D_TEMP">'Parámetros'!$C$15</definedName>
    <definedName name="VAC_MIN">'Parámetros'!$C$17</definedName>
    <definedName name="P_DESPIDO">'Parámetros'!$C$19</definedName>
    <definedName name="P_CANTIDAD">'Parámetros'!$C$20</definedName>
    <definedName name="P_CONCILIA">'Parámetros'!$C$21</definedName>
    <definedName name="P_PARO">'Parámetros'!$C$22</definedName>
    <definedName name="FEST_COD">'Festivos'!$B$6:$T$6</definedName>
    <definedName name="FEST_NOM">'Festivos'!$B$7:$T$7</definedName>
    <definedName name="FEST_TABLA">'Festivos'!$B$8:$T$37</definedName>
    <definedName name="SAL">'Tus datos'!$C$8</definedName>
    <definedName name="PAGAS">'Tus datos'!$C$9</definedName>
    <definedName name="INICIO">'Tus datos'!$C$10</definedName>
    <definedName name="FIN">'Tus datos'!$C$11</definedName>
    <definedName name="VAC">'Tus datos'!$C$12</definedName>
    <definedName name="DISFRUTADAS">'Tus datos'!$C$13</definedName>
    <definedName name="DEVENGO">'Tus datos'!$C$14</definedName>
    <definedName name="INCLUIR_MES">'Tus datos'!$C$15</definedName>
    <definedName name="MOTIVO">'Tus datos'!$C$16</definedName>
    <definedName name="BRUTO_INDEM">'Tus datos'!$C$17</definedName>
    <definedName name="CCAA_NOMBRE">'Tus datos'!$C$18</definedName>
    <definedName name="NOTIFICACION">'Tus datos'!$C$19</definedName>
    <definedName name="CCAA">'Tus datos'!$C$21</definedName>
    <definedName name="TIPO">'Tus datos'!$C$22</definedName>
    <definedName name="F_ANUAL">'Finiquito'!$C$8</definedName>
    <definedName name="F_DIARIO">'Finiquito'!$C$9</definedName>
    <definedName name="F_Y">'Finiquito'!$C$10</definedName>
    <definedName name="F_DESDEMES">'Finiquito'!$C$11</definedName>
    <definedName name="F_DIASMES">'Finiquito'!$C$12</definedName>
    <definedName name="F_DIASDELMES">'Finiquito'!$C$13</definedName>
    <definedName name="F_SALMES">'Finiquito'!$C$14</definedName>
    <definedName name="F_DESDEVAC">'Finiquito'!$C$17</definedName>
    <definedName name="F_DIASANIO">'Finiquito'!$C$18</definedName>
    <definedName name="F_GENERADAS">'Finiquito'!$C$19</definedName>
    <definedName name="F_PENDIENTES">'Finiquito'!$C$20</definedName>
    <definedName name="F_VAC">'Finiquito'!$C$21</definedName>
    <definedName name="F_V_APLICA">'Finiquito'!$C$24</definedName>
    <definedName name="F_V_DESDE">'Finiquito'!$C$25</definedName>
    <definedName name="F_V_SPAN">'Finiquito'!$C$26</definedName>
    <definedName name="F_V_DIAS">'Finiquito'!$C$27</definedName>
    <definedName name="F_VERANO">'Finiquito'!$C$28</definedName>
    <definedName name="F_N_APLICA">'Finiquito'!$C$29</definedName>
    <definedName name="F_N_DESDE">'Finiquito'!$C$30</definedName>
    <definedName name="F_N_SPAN">'Finiquito'!$C$31</definedName>
    <definedName name="F_N_DIAS">'Finiquito'!$C$32</definedName>
    <definedName name="F_NAVIDAD">'Finiquito'!$C$33</definedName>
    <definedName name="F_TOTAL">'Finiquito'!$C$35</definedName>
    <definedName name="I_DIARIO">'Indemnización'!$C$8</definedName>
    <definedName name="I_T_K">'Indemnización'!$C$9</definedName>
    <definedName name="I_T_M">'Indemnización'!$C$10</definedName>
    <definedName name="I_T">'Indemnización'!$C$11</definedName>
    <definedName name="I_ANIOS">'Indemnización'!$C$12</definedName>
    <definedName name="I_ANTES">'Indemnización'!$C$15</definedName>
    <definedName name="I_FINANT">'Indemnización'!$C$16</definedName>
    <definedName name="I_M1_K">'Indemnización'!$C$17</definedName>
    <definedName name="I_M1_M">'Indemnización'!$C$18</definedName>
    <definedName name="I_M1">'Indemnización'!$C$19</definedName>
    <definedName name="I_D1">'Indemnización'!$C$20</definedName>
    <definedName name="I_M2">'Indemnización'!$C$21</definedName>
    <definedName name="I_D2">'Indemnización'!$C$22</definedName>
    <definedName name="I_DIAS">'Indemnización'!$C$25</definedName>
    <definedName name="I_TOPE">'Indemnización'!$C$26</definedName>
    <definedName name="I_IMPORTE">'Indemnización'!$C$27</definedName>
    <definedName name="TOTAL_CORRESPONDE">'Comprobación'!$C$14</definedName>
    <definedName name="FEST_APLICA">'Plazos'!$F$8:$F$43</definedName>
    <definedName name="PLAZO_DESPIDO">'Plazos'!$C$11</definedName>
    <definedName name="PLAZO_PARO">'Plazos'!$C$12</definedName>
    <definedName name="PLAZO_CANTIDAD">'Plazos'!$C$13</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0 &quot;€&quot;"/>
    <numFmt numFmtId="167" formatCode="dd/mm/yyyy;;"/>
  </numFmts>
  <fonts count="23">
    <font>
      <name val="Calibri"/>
      <family val="2"/>
      <color theme="1"/>
      <sz val="11"/>
      <scheme val="minor"/>
    </font>
    <font>
      <name val="Arial"/>
      <b val="1"/>
      <color rgb="00FFD166"/>
      <sz val="11"/>
    </font>
    <font>
      <name val="Arial"/>
      <b val="1"/>
      <color rgb="00FFFFFF"/>
      <sz val="26"/>
    </font>
    <font>
      <name val="Arial"/>
      <color rgb="009FD9C5"/>
      <sz val="12"/>
    </font>
    <font>
      <name val="Arial"/>
      <b val="1"/>
      <color rgb="00FFD166"/>
      <sz val="10"/>
    </font>
    <font>
      <name val="Arial"/>
      <b val="1"/>
      <color rgb="00087A54"/>
      <sz val="13"/>
    </font>
    <font>
      <name val="Arial"/>
      <b val="1"/>
      <color rgb="00FFFFFF"/>
      <sz val="12"/>
    </font>
    <font>
      <name val="Arial"/>
      <color rgb="000B1F17"/>
      <sz val="10"/>
    </font>
    <font>
      <name val="Arial"/>
      <b val="1"/>
      <color rgb="00087A54"/>
      <sz val="10"/>
      <u val="single"/>
    </font>
    <font>
      <name val="Arial"/>
      <color rgb="004A5C54"/>
      <sz val="10"/>
    </font>
    <font>
      <name val="Arial"/>
      <color rgb="004A5C54"/>
      <sz val="9"/>
    </font>
    <font>
      <name val="Arial"/>
      <b val="1"/>
      <color rgb="00FFFFFF"/>
      <sz val="18"/>
    </font>
    <font>
      <name val="Arial"/>
      <color rgb="0093D4BE"/>
      <sz val="10"/>
    </font>
    <font>
      <name val="Arial"/>
      <b val="1"/>
      <color rgb="00087A54"/>
      <sz val="12"/>
    </font>
    <font>
      <name val="Arial"/>
      <b val="1"/>
      <color rgb="000E9F6E"/>
      <sz val="10"/>
    </font>
    <font>
      <name val="Arial"/>
      <b val="1"/>
      <color rgb="00FFFFFF"/>
      <sz val="9"/>
    </font>
    <font>
      <name val="Arial"/>
      <color rgb="00087A54"/>
      <sz val="8"/>
      <u val="single"/>
    </font>
    <font>
      <name val="Arial"/>
      <b val="1"/>
      <color rgb="00087A54"/>
      <sz val="8"/>
    </font>
    <font>
      <name val="Arial"/>
      <b val="1"/>
      <color rgb="001F3B57"/>
      <sz val="10"/>
    </font>
    <font>
      <name val="Arial"/>
      <b val="1"/>
      <color rgb="000B1F17"/>
      <sz val="10"/>
    </font>
    <font>
      <name val="Arial"/>
      <i val="1"/>
      <color rgb="004A5C54"/>
      <sz val="9"/>
    </font>
    <font>
      <name val="Arial"/>
      <b val="1"/>
      <color rgb="00087A54"/>
      <sz val="11"/>
    </font>
    <font>
      <name val="Arial"/>
      <b val="1"/>
      <color rgb="004A5C54"/>
      <sz val="8"/>
    </font>
  </fonts>
  <fills count="7">
    <fill>
      <patternFill/>
    </fill>
    <fill>
      <patternFill patternType="gray125"/>
    </fill>
    <fill>
      <patternFill patternType="solid">
        <fgColor rgb="0006603F"/>
        <bgColor rgb="0006603F"/>
      </patternFill>
    </fill>
    <fill>
      <patternFill patternType="solid">
        <fgColor rgb="00087A54"/>
        <bgColor rgb="00087A54"/>
      </patternFill>
    </fill>
    <fill>
      <patternFill patternType="solid">
        <fgColor rgb="000E9F6E"/>
        <bgColor rgb="000E9F6E"/>
      </patternFill>
    </fill>
    <fill>
      <patternFill patternType="solid">
        <fgColor rgb="00F2F7F4"/>
        <bgColor rgb="00F2F7F4"/>
      </patternFill>
    </fill>
    <fill>
      <patternFill patternType="solid">
        <fgColor rgb="00FFF2D4"/>
        <bgColor rgb="00FFF2D4"/>
      </patternFill>
    </fill>
  </fills>
  <borders count="9">
    <border>
      <left/>
      <right/>
      <top/>
      <bottom/>
      <diagonal/>
    </border>
    <border>
      <bottom style="medium">
        <color rgb="000E9F6E"/>
      </bottom>
    </border>
    <border>
      <left style="thin">
        <color rgb="00D9E5DF"/>
      </left>
      <right style="thin">
        <color rgb="00D9E5DF"/>
      </right>
      <top style="thin">
        <color rgb="00D9E5DF"/>
      </top>
      <bottom style="thin">
        <color rgb="00D9E5DF"/>
      </bottom>
    </border>
    <border>
      <left style="thin">
        <color rgb="000E9F6E"/>
      </left>
      <right style="thin">
        <color rgb="000E9F6E"/>
      </right>
      <top style="thin">
        <color rgb="000E9F6E"/>
      </top>
      <bottom style="thin">
        <color rgb="000E9F6E"/>
      </bottom>
    </border>
    <border>
      <left style="medium">
        <color rgb="00087A54"/>
      </left>
      <right style="medium">
        <color rgb="00087A54"/>
      </right>
      <top style="medium">
        <color rgb="00087A54"/>
      </top>
      <bottom style="medium">
        <color rgb="00087A54"/>
      </bottom>
    </border>
    <border>
      <left/>
      <right/>
      <top style="thin">
        <color rgb="00D9E5DF"/>
      </top>
      <bottom/>
      <diagonal/>
    </border>
    <border>
      <left/>
      <right style="thin">
        <color rgb="00D9E5DF"/>
      </right>
      <top style="thin">
        <color rgb="00D9E5DF"/>
      </top>
      <bottom/>
      <diagonal/>
    </border>
    <border>
      <left/>
      <right/>
      <top style="thin">
        <color rgb="00D9E5DF"/>
      </top>
      <bottom style="thin">
        <color rgb="00D9E5DF"/>
      </bottom>
      <diagonal/>
    </border>
    <border>
      <left/>
      <right style="thin">
        <color rgb="00D9E5DF"/>
      </right>
      <top style="thin">
        <color rgb="00D9E5DF"/>
      </top>
      <bottom style="thin">
        <color rgb="00D9E5DF"/>
      </bottom>
      <diagonal/>
    </border>
  </borders>
  <cellStyleXfs count="1">
    <xf numFmtId="0" fontId="0" fillId="0" borderId="0"/>
  </cellStyleXfs>
  <cellXfs count="55">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top" wrapText="1"/>
    </xf>
    <xf numFmtId="0" fontId="4" fillId="2" borderId="0" applyAlignment="1" pivotButton="0" quotePrefix="0" xfId="0">
      <alignment vertical="center"/>
    </xf>
    <xf numFmtId="0" fontId="0" fillId="3" borderId="0" pivotButton="0" quotePrefix="0" xfId="0"/>
    <xf numFmtId="0" fontId="5" fillId="0" borderId="0" applyAlignment="1" pivotButton="0" quotePrefix="0" xfId="0">
      <alignment vertical="center"/>
    </xf>
    <xf numFmtId="0" fontId="6" fillId="4"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center"/>
    </xf>
    <xf numFmtId="0" fontId="9" fillId="0" borderId="0" applyAlignment="1" pivotButton="0" quotePrefix="0" xfId="0">
      <alignment vertical="center" wrapText="1"/>
    </xf>
    <xf numFmtId="0" fontId="10" fillId="0" borderId="0" applyAlignment="1" pivotButton="0" quotePrefix="0" xfId="0">
      <alignment vertical="top" wrapText="1"/>
    </xf>
    <xf numFmtId="0" fontId="9" fillId="0" borderId="0" applyAlignment="1" pivotButton="0" quotePrefix="0" xfId="0">
      <alignment horizontal="right" vertical="center"/>
    </xf>
    <xf numFmtId="0" fontId="11" fillId="2" borderId="0" applyAlignment="1" pivotButton="0" quotePrefix="0" xfId="0">
      <alignment vertical="center"/>
    </xf>
    <xf numFmtId="0" fontId="1" fillId="2" borderId="0" applyAlignment="1" pivotButton="0" quotePrefix="0" xfId="0">
      <alignment horizontal="right" vertical="center"/>
    </xf>
    <xf numFmtId="0" fontId="12" fillId="2" borderId="0" applyAlignment="1" pivotButton="0" quotePrefix="0" xfId="0">
      <alignment vertical="center"/>
    </xf>
    <xf numFmtId="0" fontId="13" fillId="5" borderId="1" applyAlignment="1" pivotButton="0" quotePrefix="0" xfId="0">
      <alignment vertical="center"/>
    </xf>
    <xf numFmtId="0" fontId="0" fillId="5" borderId="1" pivotButton="0" quotePrefix="0" xfId="0"/>
    <xf numFmtId="0" fontId="14" fillId="0" borderId="0" applyAlignment="1" pivotButton="0" quotePrefix="0" xfId="0">
      <alignment horizontal="center" vertical="top"/>
    </xf>
    <xf numFmtId="0" fontId="7" fillId="0" borderId="0" applyAlignment="1" pivotButton="0" quotePrefix="0" xfId="0">
      <alignment vertical="top" wrapText="1"/>
    </xf>
    <xf numFmtId="0" fontId="18" fillId="6" borderId="3" applyAlignment="1" applyProtection="1" pivotButton="0" quotePrefix="0" xfId="0">
      <alignment horizontal="center" vertical="center"/>
      <protection locked="0" hidden="0"/>
    </xf>
    <xf numFmtId="0" fontId="19" fillId="0" borderId="0" applyAlignment="1" pivotButton="0" quotePrefix="0" xfId="0">
      <alignment vertical="center" wrapText="1"/>
    </xf>
    <xf numFmtId="166" fontId="18" fillId="6" borderId="3" applyAlignment="1" applyProtection="1" pivotButton="0" quotePrefix="0" xfId="0">
      <alignment horizontal="right" vertical="center"/>
      <protection locked="0" hidden="0"/>
    </xf>
    <xf numFmtId="0" fontId="18" fillId="6" borderId="3" applyAlignment="1" applyProtection="1" pivotButton="0" quotePrefix="0" xfId="0">
      <alignment horizontal="left" vertical="center"/>
      <protection locked="0" hidden="0"/>
    </xf>
    <xf numFmtId="165" fontId="18" fillId="6" borderId="3" applyAlignment="1" applyProtection="1" pivotButton="0" quotePrefix="0" xfId="0">
      <alignment horizontal="right" vertical="center"/>
      <protection locked="0" hidden="0"/>
    </xf>
    <xf numFmtId="0" fontId="18" fillId="6" borderId="3" applyAlignment="1" applyProtection="1" pivotButton="0" quotePrefix="0" xfId="0">
      <alignment horizontal="right" vertical="center"/>
      <protection locked="0" hidden="0"/>
    </xf>
    <xf numFmtId="0" fontId="10" fillId="0" borderId="0" applyAlignment="1" pivotButton="0" quotePrefix="0" xfId="0">
      <alignment vertical="center"/>
    </xf>
    <xf numFmtId="0" fontId="7" fillId="0" borderId="2" applyAlignment="1" pivotButton="0" quotePrefix="0" xfId="0">
      <alignment horizontal="center" vertical="center"/>
    </xf>
    <xf numFmtId="0" fontId="20" fillId="0" borderId="0" applyAlignment="1" pivotButton="0" quotePrefix="0" xfId="0">
      <alignment vertical="top" wrapText="1"/>
    </xf>
    <xf numFmtId="0" fontId="15" fillId="3" borderId="2" applyAlignment="1" pivotButton="0" quotePrefix="0" xfId="0">
      <alignment horizontal="center" vertical="center" wrapText="1"/>
    </xf>
    <xf numFmtId="166" fontId="19" fillId="0" borderId="2" applyAlignment="1" pivotButton="0" quotePrefix="0" xfId="0">
      <alignment horizontal="right" vertical="center"/>
    </xf>
    <xf numFmtId="166" fontId="7" fillId="0" borderId="2" applyAlignment="1" pivotButton="0" quotePrefix="0" xfId="0">
      <alignment horizontal="right" vertical="center"/>
    </xf>
    <xf numFmtId="0" fontId="7" fillId="0" borderId="2" applyAlignment="1" pivotButton="0" quotePrefix="0" xfId="0">
      <alignment horizontal="left" vertical="center"/>
    </xf>
    <xf numFmtId="166" fontId="13" fillId="5" borderId="4" applyAlignment="1" pivotButton="0" quotePrefix="0" xfId="0">
      <alignment horizontal="right" vertical="center"/>
    </xf>
    <xf numFmtId="0" fontId="19" fillId="0" borderId="2" applyAlignment="1" pivotButton="0" quotePrefix="0" xfId="0">
      <alignment horizontal="left" vertical="center"/>
    </xf>
    <xf numFmtId="0" fontId="21" fillId="0" borderId="0" applyAlignment="1" pivotButton="0" quotePrefix="0" xfId="0">
      <alignment vertical="center"/>
    </xf>
    <xf numFmtId="165" fontId="13" fillId="5" borderId="4" applyAlignment="1" pivotButton="0" quotePrefix="0" xfId="0">
      <alignment horizontal="right" vertical="center"/>
    </xf>
    <xf numFmtId="0" fontId="0" fillId="0" borderId="7" pivotButton="0" quotePrefix="0" xfId="0"/>
    <xf numFmtId="0" fontId="0" fillId="0" borderId="8" pivotButton="0" quotePrefix="0" xfId="0"/>
    <xf numFmtId="1" fontId="7" fillId="0" borderId="2" applyAlignment="1" pivotButton="0" quotePrefix="0" xfId="0">
      <alignment horizontal="right" vertical="center"/>
    </xf>
    <xf numFmtId="165" fontId="7" fillId="0" borderId="2" applyAlignment="1" pivotButton="0" quotePrefix="0" xfId="0">
      <alignment horizontal="right" vertical="center"/>
    </xf>
    <xf numFmtId="2" fontId="7" fillId="0" borderId="2" applyAlignment="1" pivotButton="0" quotePrefix="0" xfId="0">
      <alignment horizontal="right" vertical="center"/>
    </xf>
    <xf numFmtId="49" fontId="7" fillId="0" borderId="2" applyAlignment="1" pivotButton="0" quotePrefix="0" xfId="0">
      <alignment horizontal="right" vertical="center"/>
    </xf>
    <xf numFmtId="1" fontId="19" fillId="0" borderId="2" applyAlignment="1" pivotButton="0" quotePrefix="0" xfId="0">
      <alignment horizontal="right" vertical="center"/>
    </xf>
    <xf numFmtId="2" fontId="19" fillId="0" borderId="2" applyAlignment="1" pivotButton="0" quotePrefix="0" xfId="0">
      <alignment horizontal="right" vertical="center"/>
    </xf>
    <xf numFmtId="165" fontId="7" fillId="0" borderId="2" applyAlignment="1" pivotButton="0" quotePrefix="0" xfId="0">
      <alignment horizontal="center" vertical="center"/>
    </xf>
    <xf numFmtId="0" fontId="22" fillId="0" borderId="0" applyAlignment="1" pivotButton="0" quotePrefix="0" xfId="0">
      <alignment vertical="center" wrapText="1"/>
    </xf>
    <xf numFmtId="167" fontId="7" fillId="0" borderId="2" applyAlignment="1" pivotButton="0" quotePrefix="0" xfId="0">
      <alignment horizontal="center" vertical="center"/>
    </xf>
    <xf numFmtId="1" fontId="19" fillId="0" borderId="2" applyAlignment="1" pivotButton="0" quotePrefix="0" xfId="0">
      <alignment horizontal="center" vertical="center"/>
    </xf>
    <xf numFmtId="165" fontId="18" fillId="6" borderId="3" applyAlignment="1" applyProtection="1" pivotButton="0" quotePrefix="0" xfId="0">
      <alignment horizontal="center" vertical="center"/>
      <protection locked="0" hidden="0"/>
    </xf>
    <xf numFmtId="0" fontId="17" fillId="0" borderId="0" applyAlignment="1" pivotButton="0" quotePrefix="0" xfId="0">
      <alignment horizontal="center" vertical="center" wrapText="1"/>
    </xf>
    <xf numFmtId="0" fontId="7" fillId="0" borderId="2" applyAlignment="1" pivotButton="0" quotePrefix="0" xfId="0">
      <alignment vertical="center" wrapText="1"/>
    </xf>
    <xf numFmtId="0" fontId="7" fillId="0" borderId="2" applyAlignment="1" pivotButton="0" quotePrefix="0" xfId="0">
      <alignment horizontal="right" vertical="center"/>
    </xf>
    <xf numFmtId="0" fontId="16" fillId="0" borderId="2" applyAlignment="1" pivotButton="0" quotePrefix="0" xfId="0">
      <alignment vertical="center" wrapText="1"/>
    </xf>
  </cellXfs>
  <cellStyles count="1">
    <cellStyle name="Normal" xfId="0" builtinId="0" hidden="0"/>
  </cellStyles>
  <dxfs count="3">
    <dxf>
      <font>
        <name val="Arial"/>
        <b val="1"/>
      </font>
      <fill>
        <patternFill patternType="solid">
          <fgColor rgb="00F9D7D8"/>
          <bgColor rgb="00F9D7D8"/>
        </patternFill>
      </fill>
    </dxf>
    <dxf>
      <fill>
        <patternFill patternType="solid">
          <fgColor rgb="00E3F4EA"/>
          <bgColor rgb="00E3F4EA"/>
        </patternFill>
      </fill>
    </dxf>
    <dxf>
      <font>
        <name val="Arial"/>
        <b val="1"/>
      </font>
      <fill>
        <patternFill patternType="solid">
          <fgColor rgb="00F8D1D2"/>
          <bgColor rgb="00F8D1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us datos'!A1" TargetMode="External" Id="rId1"/><Relationship Type="http://schemas.openxmlformats.org/officeDocument/2006/relationships/hyperlink" Target="#'Comprobaci&#243;n'!A1" TargetMode="External" Id="rId2"/><Relationship Type="http://schemas.openxmlformats.org/officeDocument/2006/relationships/hyperlink" Target="#'Finiquito'!A1" TargetMode="External" Id="rId3"/><Relationship Type="http://schemas.openxmlformats.org/officeDocument/2006/relationships/hyperlink" Target="#'Indemnizaci&#243;n'!A1" TargetMode="External" Id="rId4"/><Relationship Type="http://schemas.openxmlformats.org/officeDocument/2006/relationships/hyperlink" Target="#'Plazos'!A1" TargetMode="External" Id="rId5"/><Relationship Type="http://schemas.openxmlformats.org/officeDocument/2006/relationships/hyperlink" Target="#'Festivos'!A1" TargetMode="External" Id="rId6"/><Relationship Type="http://schemas.openxmlformats.org/officeDocument/2006/relationships/hyperlink" Target="#'Par&#225;metros'!A1" TargetMode="External" Id="rId7"/><Relationship Type="http://schemas.openxmlformats.org/officeDocument/2006/relationships/hyperlink" Target="https://netoclaro.vercel.app/pack-despido-finiquito/" TargetMode="External" Id="rId8"/></Relationships>
</file>

<file path=xl/worksheets/_rels/sheet9.xml.rels><Relationships xmlns="http://schemas.openxmlformats.org/package/2006/relationships"><Relationship Type="http://schemas.openxmlformats.org/officeDocument/2006/relationships/hyperlink" Target="https://www.boe.es/buscar/act.php?id=BOE-A-2015-11430" TargetMode="External" Id="rId1"/><Relationship Type="http://schemas.openxmlformats.org/officeDocument/2006/relationships/hyperlink" Target="https://www.boe.es/buscar/act.php?id=BOE-A-2015-11430" TargetMode="External" Id="rId2"/><Relationship Type="http://schemas.openxmlformats.org/officeDocument/2006/relationships/hyperlink" Target="https://www.boe.es/buscar/act.php?id=BOE-A-2015-11430" TargetMode="External" Id="rId3"/><Relationship Type="http://schemas.openxmlformats.org/officeDocument/2006/relationships/hyperlink" Target="https://www.boe.es/buscar/act.php?id=BOE-A-2015-11430" TargetMode="External" Id="rId4"/><Relationship Type="http://schemas.openxmlformats.org/officeDocument/2006/relationships/hyperlink" Target="https://www.boe.es/buscar/act.php?id=BOE-A-2015-11430" TargetMode="External" Id="rId5"/><Relationship Type="http://schemas.openxmlformats.org/officeDocument/2006/relationships/hyperlink" Target="https://www.boe.es/buscar/act.php?id=BOE-A-2015-11430" TargetMode="External" Id="rId6"/><Relationship Type="http://schemas.openxmlformats.org/officeDocument/2006/relationships/hyperlink" Target="https://www.boe.es/buscar/act.php?id=BOE-A-2015-11430" TargetMode="External" Id="rId7"/><Relationship Type="http://schemas.openxmlformats.org/officeDocument/2006/relationships/hyperlink" Target="https://www.boe.es/buscar/act.php?id=BOE-A-2015-11430" TargetMode="External" Id="rId8"/><Relationship Type="http://schemas.openxmlformats.org/officeDocument/2006/relationships/hyperlink" Target="https://www.boe.es/buscar/act.php?id=BOE-A-2015-11430" TargetMode="External" Id="rId9"/><Relationship Type="http://schemas.openxmlformats.org/officeDocument/2006/relationships/hyperlink" Target="https://www.boe.es/buscar/act.php?id=BOE-A-2011-15936" TargetMode="External" Id="rId10"/><Relationship Type="http://schemas.openxmlformats.org/officeDocument/2006/relationships/hyperlink" Target="https://www.boe.es/buscar/act.php?id=BOE-A-2011-15936" TargetMode="External" Id="rId11"/><Relationship Type="http://schemas.openxmlformats.org/officeDocument/2006/relationships/hyperlink" Target="https://www.boe.es/buscar/act.php?id=BOE-A-2011-15936" TargetMode="External" Id="rId12"/><Relationship Type="http://schemas.openxmlformats.org/officeDocument/2006/relationships/hyperlink" Target="https://www.boe.es/buscar/act.php?id=BOE-A-2015-11724" TargetMode="External" Id="rId13"/></Relationships>
</file>

<file path=xl/worksheets/sheet1.xml><?xml version="1.0" encoding="utf-8"?>
<worksheet xmlns="http://schemas.openxmlformats.org/spreadsheetml/2006/main">
  <sheetPr>
    <tabColor rgb="00FFD166"/>
    <outlinePr summaryBelow="1" summaryRight="1"/>
    <pageSetUpPr fitToPage="1"/>
  </sheetPr>
  <dimension ref="A1:E34"/>
  <sheetViews>
    <sheetView showGridLines="0" tabSelected="1" zoomScale="110" workbookViewId="0">
      <selection activeCell="A1" sqref="A1"/>
    </sheetView>
  </sheetViews>
  <sheetFormatPr baseColWidth="8" defaultRowHeight="15"/>
  <cols>
    <col width="3" customWidth="1" min="1" max="1"/>
    <col width="4" customWidth="1" min="2" max="2"/>
    <col width="34" customWidth="1" min="3" max="3"/>
    <col width="60" customWidth="1" min="4" max="4"/>
    <col width="4" customWidth="1" min="5" max="5"/>
  </cols>
  <sheetData>
    <row r="1" ht="18" customHeight="1">
      <c r="A1" s="1" t="n"/>
      <c r="B1" s="1" t="n"/>
      <c r="C1" s="1" t="n"/>
      <c r="D1" s="1" t="n"/>
      <c r="E1" s="1" t="n"/>
    </row>
    <row r="2" ht="18" customHeight="1">
      <c r="A2" s="1" t="n"/>
      <c r="B2" s="1" t="n"/>
      <c r="C2" s="1" t="n"/>
      <c r="D2" s="1" t="n"/>
      <c r="E2" s="1" t="n"/>
    </row>
    <row r="3" ht="18" customHeight="1">
      <c r="A3" s="1" t="n"/>
      <c r="B3" s="1" t="n"/>
      <c r="C3" s="2" t="inlineStr">
        <is>
          <t>NETOCLARO</t>
        </is>
      </c>
      <c r="D3" s="1" t="n"/>
      <c r="E3" s="1" t="n"/>
    </row>
    <row r="4" ht="18" customHeight="1">
      <c r="A4" s="1" t="n"/>
      <c r="B4" s="1" t="n"/>
      <c r="C4" s="1" t="n"/>
      <c r="D4" s="1" t="n"/>
      <c r="E4" s="1" t="n"/>
    </row>
    <row r="5" ht="40" customHeight="1">
      <c r="A5" s="1" t="n"/>
      <c r="B5" s="1" t="n"/>
      <c r="C5" s="3" t="inlineStr">
        <is>
          <t>Pack despido y finiquito</t>
        </is>
      </c>
      <c r="D5" s="1" t="n"/>
      <c r="E5" s="1" t="n"/>
    </row>
    <row r="6" ht="18" customHeight="1">
      <c r="A6" s="1" t="n"/>
      <c r="B6" s="1" t="n"/>
      <c r="C6" s="1" t="n"/>
      <c r="D6" s="1" t="n"/>
      <c r="E6" s="1" t="n"/>
    </row>
    <row r="7" ht="18" customHeight="1">
      <c r="A7" s="1" t="n"/>
      <c r="B7" s="1" t="n"/>
      <c r="C7" s="4" t="inlineStr">
        <is>
          <t>Comprueba concepto por concepto lo que te ofrece la empresa: salario de los últimos días, vacaciones, pagas extra e indemnización, con los plazos para reclamar.</t>
        </is>
      </c>
      <c r="E7" s="1" t="n"/>
    </row>
    <row r="8" ht="18" customHeight="1">
      <c r="A8" s="1" t="n"/>
      <c r="B8" s="1" t="n"/>
      <c r="E8" s="1" t="n"/>
    </row>
    <row r="9" ht="18" customHeight="1">
      <c r="A9" s="1" t="n"/>
      <c r="B9" s="1" t="n"/>
      <c r="C9" s="1" t="n"/>
      <c r="D9" s="1" t="n"/>
      <c r="E9" s="1" t="n"/>
    </row>
    <row r="10" ht="18" customHeight="1">
      <c r="A10" s="1" t="n"/>
      <c r="B10" s="1" t="n"/>
      <c r="C10" s="5" t="inlineStr">
        <is>
          <t>Edición 2026-2027 · parámetros a 2026-10-27</t>
        </is>
      </c>
      <c r="D10" s="1" t="n"/>
      <c r="E10" s="1" t="n"/>
    </row>
    <row r="11" ht="18" customHeight="1">
      <c r="A11" s="1" t="n"/>
      <c r="B11" s="1" t="n"/>
      <c r="C11" s="1" t="n"/>
      <c r="D11" s="1" t="n"/>
      <c r="E11" s="1" t="n"/>
    </row>
    <row r="12" ht="6" customHeight="1">
      <c r="A12" s="6" t="n"/>
      <c r="B12" s="6" t="n"/>
      <c r="C12" s="6" t="n"/>
      <c r="D12" s="6" t="n"/>
      <c r="E12" s="6" t="n"/>
    </row>
    <row r="14">
      <c r="C14" s="7" t="inlineStr">
        <is>
          <t>Empieza en tres pasos</t>
        </is>
      </c>
    </row>
    <row r="15" ht="30" customHeight="1">
      <c r="B15" s="8" t="n">
        <v>1</v>
      </c>
      <c r="C15" s="9" t="inlineStr">
        <is>
          <t>Rellena «Tus datos»: salario, fechas, vacaciones y motivo de la salida.</t>
        </is>
      </c>
    </row>
    <row r="16" ht="30" customHeight="1">
      <c r="B16" s="8" t="n">
        <v>2</v>
      </c>
      <c r="C16" s="9" t="inlineStr">
        <is>
          <t>Copia en «Comprobación» lo que pone el finiquito de la empresa. Verás la diferencia en cada concepto.</t>
        </is>
      </c>
    </row>
    <row r="17" ht="30" customHeight="1">
      <c r="B17" s="8" t="n">
        <v>3</v>
      </c>
      <c r="C17" s="9" t="inlineStr">
        <is>
          <t>Mira «Plazos»: el último día para presentar la papeleta de conciliación (20 días hábiles en el despido).</t>
        </is>
      </c>
    </row>
    <row r="19">
      <c r="C19" s="7" t="inlineStr">
        <is>
          <t>Qué hay en este libro</t>
        </is>
      </c>
    </row>
    <row r="20" ht="18" customHeight="1">
      <c r="C20" s="10" t="inlineStr">
        <is>
          <t>→ Tus datos</t>
        </is>
      </c>
      <c r="D20" s="11" t="inlineStr">
        <is>
          <t>Salario, fechas, vacaciones, pagas, motivo y comunidad</t>
        </is>
      </c>
    </row>
    <row r="21" ht="28" customHeight="1">
      <c r="C21" s="10" t="inlineStr">
        <is>
          <t>→ Comprobación</t>
        </is>
      </c>
      <c r="D21" s="11" t="inlineStr">
        <is>
          <t>Lo que te corresponde frente a lo que ofrece la empresa, con la diferencia</t>
        </is>
      </c>
    </row>
    <row r="22" ht="18" customHeight="1">
      <c r="C22" s="10" t="inlineStr">
        <is>
          <t>→ Finiquito</t>
        </is>
      </c>
      <c r="D22" s="11" t="inlineStr">
        <is>
          <t>Detalle del cálculo: días del mes, vacaciones y pagas extra</t>
        </is>
      </c>
    </row>
    <row r="23" ht="18" customHeight="1">
      <c r="C23" s="10" t="inlineStr">
        <is>
          <t>→ Indemnización</t>
        </is>
      </c>
      <c r="D23" s="11" t="inlineStr">
        <is>
          <t>Meses de antigüedad, tramos antes y después de 2012 y topes</t>
        </is>
      </c>
    </row>
    <row r="24" ht="28" customHeight="1">
      <c r="C24" s="10" t="inlineStr">
        <is>
          <t>→ Plazos</t>
        </is>
      </c>
      <c r="D24" s="11" t="inlineStr">
        <is>
          <t>Último día para la papeleta, para reclamar cantidades y para pedir el paro</t>
        </is>
      </c>
    </row>
    <row r="25" ht="18" customHeight="1">
      <c r="C25" s="10" t="inlineStr">
        <is>
          <t>→ Festivos</t>
        </is>
      </c>
      <c r="D25" s="11" t="inlineStr">
        <is>
          <t>Festivos de cada comunidad en 2026 y 2027</t>
        </is>
      </c>
    </row>
    <row r="26" ht="18" customHeight="1">
      <c r="C26" s="10" t="inlineStr">
        <is>
          <t>→ Parámetros</t>
        </is>
      </c>
      <c r="D26" s="11" t="inlineStr">
        <is>
          <t>Cifras legales con su fuente</t>
        </is>
      </c>
    </row>
    <row r="28">
      <c r="C28" s="7" t="inlineStr">
        <is>
          <t>Antes de usarlo</t>
        </is>
      </c>
    </row>
    <row r="29" ht="30" customHeight="1">
      <c r="C29" s="12" t="inlineStr">
        <is>
          <t>No es asesoramiento jurídico: es una herramienta para comprobar cifras con la ley y el convenio. Si hay mucho en juego, consulta con un abogado laboralista o con tu sindicato.</t>
        </is>
      </c>
    </row>
    <row r="30" ht="30" customHeight="1">
      <c r="C30" s="12" t="inlineStr">
        <is>
          <t>El convenio colectivo puede mejorar la ley (más días de vacaciones, pagas distintas, complementos): pon tus cifras del convenio en «Tus datos».</t>
        </is>
      </c>
    </row>
    <row r="31" ht="30" customHeight="1">
      <c r="C31" s="12" t="inlineStr">
        <is>
          <t>Contenido preparado con ayuda de inteligencia artificial y revisado con las fuentes oficiales citadas (Estatuto de los Trabajadores, LRJS, BOE).</t>
        </is>
      </c>
    </row>
    <row r="32" ht="30" customHeight="1">
      <c r="C32" s="12" t="inlineStr">
        <is>
          <t>Funciona en Excel, LibreOffice y Google Sheets. Las hojas de cálculo están protegidas sin contraseña: Revisar → Desproteger hoja.</t>
        </is>
      </c>
    </row>
    <row r="34">
      <c r="C34" s="10" t="inlineStr">
        <is>
          <t>https://netoclaro.vercel.app/pack-despido-finiquito/</t>
        </is>
      </c>
      <c r="D34" s="13" t="inlineStr">
        <is>
          <t>Contacto: hola@numimates.com</t>
        </is>
      </c>
    </row>
  </sheetData>
  <mergeCells count="8">
    <mergeCell ref="C29:D29"/>
    <mergeCell ref="C30:D30"/>
    <mergeCell ref="C16:D16"/>
    <mergeCell ref="C32:D32"/>
    <mergeCell ref="C7:D8"/>
    <mergeCell ref="C15:D15"/>
    <mergeCell ref="C31:D31"/>
    <mergeCell ref="C17:D17"/>
  </mergeCells>
  <hyperlinks>
    <hyperlink xmlns:r="http://schemas.openxmlformats.org/officeDocument/2006/relationships" ref="C20" r:id="rId1"/>
    <hyperlink xmlns:r="http://schemas.openxmlformats.org/officeDocument/2006/relationships" ref="C21" r:id="rId2"/>
    <hyperlink xmlns:r="http://schemas.openxmlformats.org/officeDocument/2006/relationships" ref="C22" r:id="rId3"/>
    <hyperlink xmlns:r="http://schemas.openxmlformats.org/officeDocument/2006/relationships" ref="C23" r:id="rId4"/>
    <hyperlink xmlns:r="http://schemas.openxmlformats.org/officeDocument/2006/relationships" ref="C24" r:id="rId5"/>
    <hyperlink xmlns:r="http://schemas.openxmlformats.org/officeDocument/2006/relationships" ref="C25" r:id="rId6"/>
    <hyperlink xmlns:r="http://schemas.openxmlformats.org/officeDocument/2006/relationships" ref="C26" r:id="rId7"/>
    <hyperlink xmlns:r="http://schemas.openxmlformats.org/officeDocument/2006/relationships" ref="C34" r:id="rId8"/>
  </hyperlinks>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2.xml><?xml version="1.0" encoding="utf-8"?>
<worksheet xmlns="http://schemas.openxmlformats.org/spreadsheetml/2006/main">
  <sheetPr>
    <tabColor rgb="000E9F6E"/>
    <outlinePr summaryBelow="1" summaryRight="1"/>
    <pageSetUpPr fitToPage="1"/>
  </sheetPr>
  <dimension ref="A1:C26"/>
  <sheetViews>
    <sheetView showGridLines="0" tabSelected="0" zoomScale="100" workbookViewId="0">
      <selection activeCell="A1" sqref="A1"/>
    </sheetView>
  </sheetViews>
  <sheetFormatPr baseColWidth="8" defaultRowHeight="15"/>
  <cols>
    <col width="3" customWidth="1" min="1" max="1"/>
    <col width="4" customWidth="1" min="2" max="2"/>
    <col width="110" customWidth="1" min="3" max="3"/>
  </cols>
  <sheetData>
    <row r="1" ht="8" customHeight="1">
      <c r="A1" s="1" t="n"/>
      <c r="B1" s="1" t="n"/>
      <c r="C1" s="1" t="n"/>
    </row>
    <row r="2" ht="34" customHeight="1">
      <c r="A2" s="1" t="n"/>
      <c r="B2" s="14" t="inlineStr">
        <is>
          <t>Cómo se usa el pack</t>
        </is>
      </c>
      <c r="C2" s="15" t="inlineStr">
        <is>
          <t>NetoClaro</t>
        </is>
      </c>
    </row>
    <row r="3" ht="20" customHeight="1">
      <c r="A3" s="1" t="n"/>
      <c r="B3" s="16" t="inlineStr">
        <is>
          <t>Léelo una vez: son cinco minutos</t>
        </is>
      </c>
      <c r="C3" s="1" t="n"/>
    </row>
    <row r="4" ht="4" customHeight="1">
      <c r="A4" s="6" t="n"/>
      <c r="B4" s="6" t="n"/>
      <c r="C4" s="6" t="n"/>
    </row>
    <row r="6" ht="22" customHeight="1">
      <c r="B6" s="17" t="inlineStr">
        <is>
          <t>1. Tus datos</t>
        </is>
      </c>
      <c r="C6" s="18" t="n"/>
    </row>
    <row r="7" ht="30" customHeight="1">
      <c r="B7" s="19" t="inlineStr">
        <is>
          <t>•</t>
        </is>
      </c>
      <c r="C7" s="20" t="inlineStr">
        <is>
          <t>Salario bruto mensual: el de una paga, sin prorrata, tal como aparece en la nómina (salario base más complementos fijos).</t>
        </is>
      </c>
    </row>
    <row r="8" ht="30" customHeight="1">
      <c r="B8" s="19" t="inlineStr">
        <is>
          <t>•</t>
        </is>
      </c>
      <c r="C8" s="20" t="inlineStr">
        <is>
          <t>Pagas: 14 si cobras las extras aparte; 12 si las tienes prorrateadas en cada nómina (entonces no se te deben pagas extra en el finiquito).</t>
        </is>
      </c>
    </row>
    <row r="9" ht="15" customHeight="1">
      <c r="B9" s="19" t="inlineStr">
        <is>
          <t>•</t>
        </is>
      </c>
      <c r="C9" s="20" t="inlineStr">
        <is>
          <t>Último día trabajado: el día en que acaba el contrato o el que pone la carta de despido como fecha de efectos.</t>
        </is>
      </c>
    </row>
    <row r="10" ht="30" customHeight="1">
      <c r="B10" s="19" t="inlineStr">
        <is>
          <t>•</t>
        </is>
      </c>
      <c r="C10" s="20" t="inlineStr">
        <is>
          <t>Días de vacaciones al año: 30 naturales como mínimo (art. 38 ET); muchos convenios dan más. Pon los que ya has disfrutado este año.</t>
        </is>
      </c>
    </row>
    <row r="11" ht="30" customHeight="1">
      <c r="B11" s="19" t="inlineStr">
        <is>
          <t>•</t>
        </is>
      </c>
      <c r="C11" s="20" t="inlineStr">
        <is>
          <t>Salario anual para la indemnización: por defecto, el mensual por las pagas. Si cobras variables, horas extra habituales o complementos, súmalos: la indemnización se calcula con el salario real.</t>
        </is>
      </c>
    </row>
    <row r="13" ht="22" customHeight="1">
      <c r="B13" s="17" t="inlineStr">
        <is>
          <t>2. Comprobación</t>
        </is>
      </c>
      <c r="C13" s="18" t="n"/>
    </row>
    <row r="14" ht="30" customHeight="1">
      <c r="B14" s="19" t="inlineStr">
        <is>
          <t>•</t>
        </is>
      </c>
      <c r="C14" s="20" t="inlineStr">
        <is>
          <t>En la columna amarilla copia lo que pone el documento de finiquito de la empresa en cada concepto. La columna «Diferencia» dice si te falta dinero.</t>
        </is>
      </c>
    </row>
    <row r="15" ht="30" customHeight="1">
      <c r="B15" s="19" t="inlineStr">
        <is>
          <t>•</t>
        </is>
      </c>
      <c r="C15" s="20" t="inlineStr">
        <is>
          <t>Si te falta, no firmes «conforme»: firma escribiendo «Recibí, no conforme» y la fecha. Así cobras lo que te dan y puedes reclamar el resto (guía en PDF).</t>
        </is>
      </c>
    </row>
    <row r="17" ht="22" customHeight="1">
      <c r="B17" s="17" t="inlineStr">
        <is>
          <t>3. Plazos</t>
        </is>
      </c>
      <c r="C17" s="18" t="n"/>
    </row>
    <row r="18" ht="30" customHeight="1">
      <c r="B18" s="19" t="inlineStr">
        <is>
          <t>•</t>
        </is>
      </c>
      <c r="C18" s="20" t="inlineStr">
        <is>
          <t>El plazo del despido es de caducidad: si pasa, se pierde el derecho a impugnarlo. Son 20 días hábiles desde el día siguiente al despido; no cuentan sábados, domingos ni festivos.</t>
        </is>
      </c>
    </row>
    <row r="19" ht="15" customHeight="1">
      <c r="B19" s="19" t="inlineStr">
        <is>
          <t>•</t>
        </is>
      </c>
      <c r="C19" s="20" t="inlineStr">
        <is>
          <t>Elige tu comunidad y, si los conoces, añade los festivos locales de tu municipio. El último día sale solo.</t>
        </is>
      </c>
    </row>
    <row r="20" ht="15" customHeight="1">
      <c r="B20" s="19" t="inlineStr">
        <is>
          <t>•</t>
        </is>
      </c>
      <c r="C20" s="20" t="inlineStr">
        <is>
          <t>La papeleta de conciliación suspende el plazo. No lo apures: preséntala cuanto antes.</t>
        </is>
      </c>
    </row>
    <row r="22" ht="22" customHeight="1">
      <c r="B22" s="17" t="inlineStr">
        <is>
          <t>Qué no hace</t>
        </is>
      </c>
      <c r="C22" s="18" t="n"/>
    </row>
    <row r="23" ht="45" customHeight="1">
      <c r="B23" s="19" t="inlineStr">
        <is>
          <t>•</t>
        </is>
      </c>
      <c r="C23" s="20" t="inlineStr">
        <is>
          <t>No calcula el IRPF ni la Seguridad Social del finiquito, los salarios de tramitación, el despido nulo ni las mejoras de tu convenio que no hayas puesto. No es asesoramiento jurídico: es una herramienta para comprobar cifras con la ley y el convenio. Si hay mucho en juego, consulta con un abogado laboralista o con tu sindicato.</t>
        </is>
      </c>
    </row>
    <row r="25" ht="22" customHeight="1">
      <c r="B25" s="17" t="inlineStr">
        <is>
          <t>Ayuda</t>
        </is>
      </c>
      <c r="C25" s="18" t="n"/>
    </row>
    <row r="26" ht="15" customHeight="1">
      <c r="B26" s="19" t="inlineStr">
        <is>
          <t>•</t>
        </is>
      </c>
      <c r="C26" s="20" t="inlineStr">
        <is>
          <t>¿Algo no cuadra? Escribe a hola@numimates.com.</t>
        </is>
      </c>
    </row>
  </sheetData>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3.xml><?xml version="1.0" encoding="utf-8"?>
<worksheet xmlns="http://schemas.openxmlformats.org/spreadsheetml/2006/main">
  <sheetPr>
    <tabColor rgb="00FFD166"/>
    <outlinePr summaryBelow="1" summaryRight="1"/>
    <pageSetUpPr fitToPage="1"/>
  </sheetPr>
  <dimension ref="A1:D24"/>
  <sheetViews>
    <sheetView showGridLines="0" tabSelected="0" zoomScale="100" workbookViewId="0">
      <selection activeCell="A1" sqref="A1"/>
    </sheetView>
  </sheetViews>
  <sheetFormatPr baseColWidth="8" defaultRowHeight="15"/>
  <cols>
    <col width="3" customWidth="1" min="1" max="1"/>
    <col width="52" customWidth="1" min="2" max="2"/>
    <col width="34" customWidth="1" min="3" max="3"/>
    <col width="66" customWidth="1" min="4" max="4"/>
  </cols>
  <sheetData>
    <row r="1" ht="8" customHeight="1">
      <c r="A1" s="1" t="n"/>
      <c r="B1" s="1" t="n"/>
      <c r="C1" s="1" t="n"/>
      <c r="D1" s="1" t="n"/>
    </row>
    <row r="2" ht="34" customHeight="1">
      <c r="A2" s="1" t="n"/>
      <c r="B2" s="14" t="inlineStr">
        <is>
          <t>Tus datos</t>
        </is>
      </c>
      <c r="C2" s="1" t="n"/>
      <c r="D2" s="15" t="inlineStr">
        <is>
          <t>NetoClaro</t>
        </is>
      </c>
    </row>
    <row r="3" ht="20" customHeight="1">
      <c r="A3" s="1" t="n"/>
      <c r="B3" s="16" t="inlineStr">
        <is>
          <t>Los de tu última nómina y tu contrato</t>
        </is>
      </c>
      <c r="C3" s="1" t="n"/>
      <c r="D3" s="1" t="n"/>
    </row>
    <row r="4" ht="4" customHeight="1">
      <c r="A4" s="6" t="n"/>
      <c r="B4" s="6" t="n"/>
      <c r="C4" s="6" t="n"/>
      <c r="D4" s="6" t="n"/>
    </row>
    <row r="6">
      <c r="B6" s="21" t="inlineStr">
        <is>
          <t>Amarillo</t>
        </is>
      </c>
      <c r="C6" s="12" t="inlineStr">
        <is>
          <t>Escribe tú en las celdas amarillas. Las demás se calculan solas: no hace falta tocarlas.</t>
        </is>
      </c>
    </row>
    <row r="8" ht="26" customHeight="1">
      <c r="B8" s="22" t="inlineStr">
        <is>
          <t>Salario bruto mensual (una paga, sin prorrata) (€)</t>
        </is>
      </c>
      <c r="C8" s="23" t="n">
        <v>1600</v>
      </c>
      <c r="D8" s="12" t="inlineStr">
        <is>
          <t>Salario base más complementos fijos de la nómina.</t>
        </is>
      </c>
    </row>
    <row r="9" ht="26" customHeight="1">
      <c r="B9" s="22" t="inlineStr">
        <is>
          <t>Número de pagas</t>
        </is>
      </c>
      <c r="C9" s="24" t="n">
        <v>14</v>
      </c>
      <c r="D9" s="12" t="inlineStr">
        <is>
          <t>14 si cobras las extras aparte; 12 si van prorrateadas.</t>
        </is>
      </c>
    </row>
    <row r="10" ht="26" customHeight="1">
      <c r="B10" s="22" t="inlineStr">
        <is>
          <t>Fecha de inicio del contrato</t>
        </is>
      </c>
      <c r="C10" s="25" t="n">
        <v>44621</v>
      </c>
      <c r="D10" s="12" t="inlineStr">
        <is>
          <t>La antigüedad: si encadenaste contratos sin cortes, la del primero.</t>
        </is>
      </c>
    </row>
    <row r="11" ht="26" customHeight="1">
      <c r="B11" s="22" t="inlineStr">
        <is>
          <t>Último día trabajado (fecha de efectos)</t>
        </is>
      </c>
      <c r="C11" s="25" t="n">
        <v>46341</v>
      </c>
      <c r="D11" s="12" t="inlineStr">
        <is>
          <t>El que pone la carta de despido o el fin del contrato.</t>
        </is>
      </c>
    </row>
    <row r="12" ht="26" customHeight="1">
      <c r="B12" s="22" t="inlineStr">
        <is>
          <t>Días de vacaciones al año (convenio)</t>
        </is>
      </c>
      <c r="C12" s="26">
        <f>VAC_MIN</f>
        <v/>
      </c>
      <c r="D12" s="12" t="inlineStr">
        <is>
          <t>Días naturales: 30 como mínimo por ley.</t>
        </is>
      </c>
    </row>
    <row r="13" ht="26" customHeight="1">
      <c r="B13" s="22" t="inlineStr">
        <is>
          <t>Días de vacaciones ya disfrutados este año</t>
        </is>
      </c>
      <c r="C13" s="26" t="n">
        <v>15</v>
      </c>
      <c r="D13" s="12" t="inlineStr">
        <is>
          <t>Días naturales que ya has cogido desde el 1 de enero.</t>
        </is>
      </c>
    </row>
    <row r="14" ht="26" customHeight="1">
      <c r="B14" s="22" t="inlineStr">
        <is>
          <t>Devengo de las pagas extra</t>
        </is>
      </c>
      <c r="C14" s="24" t="inlineStr">
        <is>
          <t>Semestral</t>
        </is>
      </c>
      <c r="D14" s="12" t="inlineStr">
        <is>
          <t>Semestral: la de verano se genera de enero a junio y la de Navidad de julio a diciembre (lo más habitual).</t>
        </is>
      </c>
    </row>
    <row r="15" ht="26" customHeight="1">
      <c r="B15" s="22" t="inlineStr">
        <is>
          <t>¿El finiquito incluye el salario de los días de este mes?</t>
        </is>
      </c>
      <c r="C15" s="24" t="inlineStr">
        <is>
          <t>Sí</t>
        </is>
      </c>
      <c r="D15" s="12" t="inlineStr">
        <is>
          <t>«No» si la empresa ya te ha pagado la nómina del último mes completa.</t>
        </is>
      </c>
    </row>
    <row r="16" ht="26" customHeight="1">
      <c r="B16" s="22" t="inlineStr">
        <is>
          <t>Motivo de la salida</t>
        </is>
      </c>
      <c r="C16" s="24" t="inlineStr">
        <is>
          <t>Despido improcedente (33 días; 45 antes de 2012)</t>
        </is>
      </c>
      <c r="D16" s="12" t="inlineStr">
        <is>
          <t>Lo que dice la carta. Si crees que el despido es improcedente, compruébalo con esa opción.</t>
        </is>
      </c>
    </row>
    <row r="17" ht="26" customHeight="1">
      <c r="B17" s="22" t="inlineStr">
        <is>
          <t>Salario bruto anual para la indemnización (€)</t>
        </is>
      </c>
      <c r="C17" s="23">
        <f>SAL*PAGAS</f>
        <v/>
      </c>
      <c r="D17" s="12" t="inlineStr">
        <is>
          <t>Por defecto, salario × pagas. Suma variables, pluses y horas extra habituales del último año.</t>
        </is>
      </c>
    </row>
    <row r="18" ht="26" customHeight="1">
      <c r="B18" s="22" t="inlineStr">
        <is>
          <t>Comunidad autónoma de tu centro de trabajo</t>
        </is>
      </c>
      <c r="C18" s="24" t="inlineStr">
        <is>
          <t>Cataluña</t>
        </is>
      </c>
      <c r="D18" s="12" t="inlineStr">
        <is>
          <t>Para los festivos del plazo.</t>
        </is>
      </c>
    </row>
    <row r="19" ht="26" customHeight="1">
      <c r="B19" s="22" t="inlineStr">
        <is>
          <t>Fecha en que te comunicaron el despido</t>
        </is>
      </c>
      <c r="C19" s="25">
        <f>FIN</f>
        <v/>
      </c>
      <c r="D19" s="12" t="inlineStr">
        <is>
          <t>Desde el día siguiente cuentan los 20 días hábiles. Por defecto, la fecha de efectos.</t>
        </is>
      </c>
    </row>
    <row r="21">
      <c r="B21" s="27" t="inlineStr">
        <is>
          <t>Código de comunidad</t>
        </is>
      </c>
      <c r="C21" s="28">
        <f>INDEX(FEST_COD,MATCH(CCAA_NOMBRE,FEST_NOM,0))</f>
        <v/>
      </c>
    </row>
    <row r="22">
      <c r="B22" s="27" t="inlineStr">
        <is>
          <t>Tipo de salida (código)</t>
        </is>
      </c>
      <c r="C22" s="28">
        <f>MATCH(MOTIVO,{"Baja voluntaria (sin indemnización)","Fin de contrato temporal (12 días por año)","Despido objetivo o ERE (20 días por año)","Despido improcedente (33 días; 45 antes de 2012)","Despido disciplinario declarado procedente (sin indemnización)"},0)</f>
        <v/>
      </c>
    </row>
    <row r="24">
      <c r="B24" s="29" t="inlineStr">
        <is>
          <t>No es asesoramiento jurídico: es una herramienta para comprobar cifras con la ley y el convenio. Si hay mucho en juego, consulta con un abogado laboralista o con tu sindicato.</t>
        </is>
      </c>
    </row>
  </sheetData>
  <sheetProtection selectLockedCells="0" selectUnlockedCells="0" sheet="1" objects="0" insertRows="1" insertHyperlinks="1" autoFilter="1" scenarios="0" formatColumns="0" deleteColumns="1" insertColumns="1" pivotTables="1" deleteRows="1" formatCells="1" formatRows="0" sort="1"/>
  <mergeCells count="1">
    <mergeCell ref="B24:D24"/>
  </mergeCells>
  <dataValidations count="12">
    <dataValidation sqref="C8" showDropDown="0" showInputMessage="0" showErrorMessage="1" allowBlank="1" errorTitle="Número no válido" error="Escribe un número (sin el símbolo de moneda)." type="decimal" operator="greaterThanOrEqual">
      <formula1>0</formula1>
    </dataValidation>
    <dataValidation sqref="C9" showDropDown="0" showInputMessage="0" showErrorMessage="1" allowBlank="1" errorTitle="Valor no válido" error="Elige una opción de la lista." type="list">
      <formula1>"14,12"</formula1>
    </dataValidation>
    <dataValidation sqref="C10" showDropDown="0" showInputMessage="0" showErrorMessage="1" allowBlank="1" errorTitle="Fecha no válida" error="Escribe una fecha, por ejemplo 15/03/2027." type="date" operator="greaterThan">
      <formula1>1</formula1>
    </dataValidation>
    <dataValidation sqref="C11" showDropDown="0" showInputMessage="0" showErrorMessage="1" allowBlank="1" errorTitle="Fecha no válida" error="Escribe una fecha, por ejemplo 15/03/2027." type="date" operator="greaterThan">
      <formula1>1</formula1>
    </dataValidation>
    <dataValidation sqref="C12" showDropDown="0" showInputMessage="0" showErrorMessage="1" allowBlank="1" errorTitle="Número no válido" error="Escribe un número (sin el símbolo de moneda)." type="decimal" operator="between">
      <formula1>0</formula1>
      <formula2>400</formula2>
    </dataValidation>
    <dataValidation sqref="C13" showDropDown="0" showInputMessage="0" showErrorMessage="1" allowBlank="1" errorTitle="Número no válido" error="Escribe un número (sin el símbolo de moneda)." type="decimal" operator="between">
      <formula1>0</formula1>
      <formula2>400</formula2>
    </dataValidation>
    <dataValidation sqref="C14" showDropDown="0" showInputMessage="0" showErrorMessage="1" allowBlank="1" errorTitle="Valor no válido" error="Elige una opción de la lista." type="list">
      <formula1>"Semestral,Anual"</formula1>
    </dataValidation>
    <dataValidation sqref="C15" showDropDown="0" showInputMessage="0" showErrorMessage="1" allowBlank="1" errorTitle="Valor no válido" error="Elige una opción de la lista." type="list">
      <formula1>"Sí,No"</formula1>
    </dataValidation>
    <dataValidation sqref="C16" showDropDown="0" showInputMessage="0" showErrorMessage="1" allowBlank="1" errorTitle="Valor no válido" error="Elige una opción de la lista." type="list">
      <formula1>"Baja voluntaria (sin indemnización),Fin de contrato temporal (12 días por año),Despido objetivo o ERE (20 días por año),Despido improcedente (33 días; 45 antes de 2012),Despido disciplinario declarado procedente (sin indemnización)"</formula1>
    </dataValidation>
    <dataValidation sqref="C17" showDropDown="0" showInputMessage="0" showErrorMessage="1" allowBlank="1" errorTitle="Número no válido" error="Escribe un número (sin el símbolo de moneda)." type="decimal" operator="greaterThanOrEqual">
      <formula1>0</formula1>
    </dataValidation>
    <dataValidation sqref="C18" showDropDown="0" showInputMessage="0" showErrorMessage="1" allowBlank="1" errorTitle="Valor no válido" error="Elige una opción de la lista." type="list">
      <formula1>FEST_NOM</formula1>
    </dataValidation>
    <dataValidation sqref="C19" showDropDown="0" showInputMessage="0" showErrorMessage="1" allowBlank="1" errorTitle="Fecha no válida" error="Escribe una fecha, por ejemplo 15/03/2027." type="date" operator="greaterThan">
      <formula1>1</formula1>
    </dataValidation>
  </dataValidations>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4.xml><?xml version="1.0" encoding="utf-8"?>
<worksheet xmlns="http://schemas.openxmlformats.org/spreadsheetml/2006/main">
  <sheetPr>
    <tabColor rgb="00FFD166"/>
    <outlinePr summaryBelow="1" summaryRight="1"/>
    <pageSetUpPr fitToPage="1"/>
  </sheetPr>
  <dimension ref="A1:F20"/>
  <sheetViews>
    <sheetView showGridLines="0" tabSelected="0" zoomScale="100" workbookViewId="0">
      <selection activeCell="A1" sqref="A1"/>
    </sheetView>
  </sheetViews>
  <sheetFormatPr baseColWidth="8" defaultRowHeight="15"/>
  <cols>
    <col width="3" customWidth="1" min="1" max="1"/>
    <col width="40" customWidth="1" min="2" max="2"/>
    <col width="17" customWidth="1" min="3" max="3"/>
    <col width="19" customWidth="1" min="4" max="4"/>
    <col width="17" customWidth="1" min="5" max="5"/>
    <col width="34" customWidth="1" min="6" max="6"/>
  </cols>
  <sheetData>
    <row r="1" ht="8" customHeight="1">
      <c r="A1" s="1" t="n"/>
      <c r="B1" s="1" t="n"/>
      <c r="C1" s="1" t="n"/>
      <c r="D1" s="1" t="n"/>
      <c r="E1" s="1" t="n"/>
      <c r="F1" s="1" t="n"/>
    </row>
    <row r="2" ht="34" customHeight="1">
      <c r="A2" s="1" t="n"/>
      <c r="B2" s="14" t="inlineStr">
        <is>
          <t>Comprobación</t>
        </is>
      </c>
      <c r="C2" s="1" t="n"/>
      <c r="D2" s="1" t="n"/>
      <c r="E2" s="1" t="n"/>
      <c r="F2" s="15" t="inlineStr">
        <is>
          <t>NetoClaro</t>
        </is>
      </c>
    </row>
    <row r="3" ht="20" customHeight="1">
      <c r="A3" s="1" t="n"/>
      <c r="B3" s="16">
        <f>"Motivo: "&amp;MOTIVO</f>
        <v/>
      </c>
      <c r="C3" s="1" t="n"/>
      <c r="D3" s="1" t="n"/>
      <c r="E3" s="1" t="n"/>
      <c r="F3" s="1" t="n"/>
    </row>
    <row r="4" ht="4" customHeight="1">
      <c r="A4" s="6" t="n"/>
      <c r="B4" s="6" t="n"/>
      <c r="C4" s="6" t="n"/>
      <c r="D4" s="6" t="n"/>
      <c r="E4" s="6" t="n"/>
      <c r="F4" s="6" t="n"/>
    </row>
    <row r="6">
      <c r="B6" s="21" t="inlineStr">
        <is>
          <t>Amarillo</t>
        </is>
      </c>
      <c r="C6" s="12" t="inlineStr">
        <is>
          <t>Escribe tú en las celdas amarillas. Las demás se calculan solas: no hace falta tocarlas.</t>
        </is>
      </c>
    </row>
    <row r="8" ht="30" customHeight="1">
      <c r="B8" s="30" t="inlineStr">
        <is>
          <t>Concepto</t>
        </is>
      </c>
      <c r="C8" s="30" t="inlineStr">
        <is>
          <t>Te corresponde</t>
        </is>
      </c>
      <c r="D8" s="30" t="inlineStr">
        <is>
          <t>Te ofrece la empresa</t>
        </is>
      </c>
      <c r="E8" s="30" t="inlineStr">
        <is>
          <t>Diferencia</t>
        </is>
      </c>
      <c r="F8" s="30" t="inlineStr">
        <is>
          <t>Qué significa</t>
        </is>
      </c>
    </row>
    <row r="9" ht="20" customHeight="1">
      <c r="B9" s="9" t="inlineStr">
        <is>
          <t>Salario de los días del último mes</t>
        </is>
      </c>
      <c r="C9" s="31">
        <f>F_SALMES</f>
        <v/>
      </c>
      <c r="D9" s="23" t="n"/>
      <c r="E9" s="32">
        <f>IF(D9="","",D9-C9)</f>
        <v/>
      </c>
      <c r="F9" s="33">
        <f>IF(D9="","Copia la cifra del finiquito",IF(E9&lt;-1,"Te falta dinero: reclámalo",IF(E9&gt;1,"Te dan más de lo mínimo","Cuadra")))</f>
        <v/>
      </c>
    </row>
    <row r="10" ht="20" customHeight="1">
      <c r="B10" s="9" t="inlineStr">
        <is>
          <t>Vacaciones no disfrutadas</t>
        </is>
      </c>
      <c r="C10" s="31">
        <f>F_VAC</f>
        <v/>
      </c>
      <c r="D10" s="23" t="n"/>
      <c r="E10" s="32">
        <f>IF(D10="","",D10-C10)</f>
        <v/>
      </c>
      <c r="F10" s="33">
        <f>IF(D10="","Copia la cifra del finiquito",IF(E10&lt;-1,"Te falta dinero: reclámalo",IF(E10&gt;1,"Te dan más de lo mínimo","Cuadra")))</f>
        <v/>
      </c>
    </row>
    <row r="11" ht="20" customHeight="1">
      <c r="B11" s="9" t="inlineStr">
        <is>
          <t>Parte de la paga de verano</t>
        </is>
      </c>
      <c r="C11" s="31">
        <f>F_VERANO</f>
        <v/>
      </c>
      <c r="D11" s="23" t="n"/>
      <c r="E11" s="32">
        <f>IF(D11="","",D11-C11)</f>
        <v/>
      </c>
      <c r="F11" s="33">
        <f>IF(D11="","Copia la cifra del finiquito",IF(E11&lt;-1,"Te falta dinero: reclámalo",IF(E11&gt;1,"Te dan más de lo mínimo","Cuadra")))</f>
        <v/>
      </c>
    </row>
    <row r="12" ht="20" customHeight="1">
      <c r="B12" s="9" t="inlineStr">
        <is>
          <t>Parte de la paga de Navidad</t>
        </is>
      </c>
      <c r="C12" s="31">
        <f>F_NAVIDAD</f>
        <v/>
      </c>
      <c r="D12" s="23" t="n"/>
      <c r="E12" s="32">
        <f>IF(D12="","",D12-C12)</f>
        <v/>
      </c>
      <c r="F12" s="33">
        <f>IF(D12="","Copia la cifra del finiquito",IF(E12&lt;-1,"Te falta dinero: reclámalo",IF(E12&gt;1,"Te dan más de lo mínimo","Cuadra")))</f>
        <v/>
      </c>
    </row>
    <row r="13" ht="20" customHeight="1">
      <c r="B13" s="9" t="inlineStr">
        <is>
          <t>Indemnización</t>
        </is>
      </c>
      <c r="C13" s="31">
        <f>I_IMPORTE</f>
        <v/>
      </c>
      <c r="D13" s="23" t="n"/>
      <c r="E13" s="32">
        <f>IF(D13="","",D13-C13)</f>
        <v/>
      </c>
      <c r="F13" s="33">
        <f>IF(D13="","Copia la cifra del finiquito",IF(E13&lt;-1,"Te falta dinero: reclámalo",IF(E13&gt;1,"Te dan más de lo mínimo","Cuadra")))</f>
        <v/>
      </c>
    </row>
    <row r="14">
      <c r="B14" s="22" t="inlineStr">
        <is>
          <t>TOTAL</t>
        </is>
      </c>
      <c r="C14" s="34">
        <f>SUM(C9:C13)</f>
        <v/>
      </c>
      <c r="D14" s="31">
        <f>IF(COUNT(D9:D13)=0,"",SUM(D9:D13))</f>
        <v/>
      </c>
      <c r="E14" s="34">
        <f>IF(D14="","",D14-C14)</f>
        <v/>
      </c>
      <c r="F14" s="35">
        <f>IF(D14="","",IF(E14&lt;-1,"Firma «Recibí, no conforme»","Cuadra o te dan más"))</f>
        <v/>
      </c>
    </row>
    <row r="16">
      <c r="B16" s="36" t="inlineStr">
        <is>
          <t>Último día para presentar la papeleta de conciliación</t>
        </is>
      </c>
      <c r="C16" s="37">
        <f>IF(OR(TIPO=1,TIPO=2),"No aplica",PLAZO_DESPIDO)</f>
        <v/>
      </c>
      <c r="D16" s="33">
        <f>IF(OR(TIPO=1,TIPO=2),"",IF(PLAZO_DESPIDO-TODAY()&gt;=0,"Quedan "&amp;(PLAZO_DESPIDO-TODAY())&amp;" días naturales","Plazo vencido"))</f>
        <v/>
      </c>
      <c r="E16" s="38" t="n"/>
      <c r="F16" s="39" t="n"/>
    </row>
    <row r="18" ht="26" customHeight="1">
      <c r="B18" s="12" t="inlineStr">
        <is>
          <t>El finiquito y la indemnización son brutos: el salario, las vacaciones y las pagas llevan IRPF y cotización; la indemnización legal, no.</t>
        </is>
      </c>
    </row>
    <row r="19" ht="26" customHeight="1">
      <c r="B19" s="12" t="inlineStr">
        <is>
          <t>Si te falta dinero, firma escribiendo «Recibí, no conforme» y la fecha antes de tu firma: cobras lo que te dan y conservas el derecho a reclamar (guía en el PDF).</t>
        </is>
      </c>
    </row>
    <row r="20" ht="26" customHeight="1">
      <c r="B20" s="12" t="inlineStr">
        <is>
          <t>No es asesoramiento jurídico: es una herramienta para comprobar cifras con la ley y el convenio. Si hay mucho en juego, consulta con un abogado laboralista o con tu sindicato.</t>
        </is>
      </c>
    </row>
  </sheetData>
  <sheetProtection selectLockedCells="0" selectUnlockedCells="0" sheet="1" objects="0" insertRows="1" insertHyperlinks="1" autoFilter="1" scenarios="0" formatColumns="0" deleteColumns="1" insertColumns="1" pivotTables="1" deleteRows="1" formatCells="1" formatRows="0" sort="1"/>
  <mergeCells count="4">
    <mergeCell ref="B20:F20"/>
    <mergeCell ref="D16:F16"/>
    <mergeCell ref="B18:F18"/>
    <mergeCell ref="B19:F19"/>
  </mergeCells>
  <conditionalFormatting sqref="E9:F14">
    <cfRule type="expression" priority="1" dxfId="0">
      <formula>AND(ISNUMBER($E9),$E9&lt;-1)</formula>
    </cfRule>
    <cfRule type="expression" priority="2" dxfId="1">
      <formula>AND(ISNUMBER($E9),$E9&gt;=-1)</formula>
    </cfRule>
  </conditionalFormatting>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5.xml><?xml version="1.0" encoding="utf-8"?>
<worksheet xmlns="http://schemas.openxmlformats.org/spreadsheetml/2006/main">
  <sheetPr>
    <tabColor rgb="00087A54"/>
    <outlinePr summaryBelow="1" summaryRight="1"/>
    <pageSetUpPr fitToPage="1"/>
  </sheetPr>
  <dimension ref="A1:D38"/>
  <sheetViews>
    <sheetView showGridLines="0" tabSelected="0" zoomScale="100" workbookViewId="0">
      <selection activeCell="A1" sqref="A1"/>
    </sheetView>
  </sheetViews>
  <sheetFormatPr baseColWidth="8" defaultRowHeight="15"/>
  <cols>
    <col width="3" customWidth="1" min="1" max="1"/>
    <col width="56" customWidth="1" min="2" max="2"/>
    <col width="18" customWidth="1" min="3" max="3"/>
    <col width="64" customWidth="1" min="4" max="4"/>
  </cols>
  <sheetData>
    <row r="1" ht="8" customHeight="1">
      <c r="A1" s="1" t="n"/>
      <c r="B1" s="1" t="n"/>
      <c r="C1" s="1" t="n"/>
      <c r="D1" s="1" t="n"/>
    </row>
    <row r="2" ht="34" customHeight="1">
      <c r="A2" s="1" t="n"/>
      <c r="B2" s="14" t="inlineStr">
        <is>
          <t>Finiquito: el detalle</t>
        </is>
      </c>
      <c r="C2" s="1" t="n"/>
      <c r="D2" s="15" t="inlineStr">
        <is>
          <t>NetoClaro</t>
        </is>
      </c>
    </row>
    <row r="3" ht="20" customHeight="1">
      <c r="A3" s="1" t="n"/>
      <c r="B3" s="16" t="inlineStr">
        <is>
          <t>Liquidación de lo que se te debe al acabar el contrato</t>
        </is>
      </c>
      <c r="C3" s="1" t="n"/>
      <c r="D3" s="1" t="n"/>
    </row>
    <row r="4" ht="4" customHeight="1">
      <c r="A4" s="6" t="n"/>
      <c r="B4" s="6" t="n"/>
      <c r="C4" s="6" t="n"/>
      <c r="D4" s="6" t="n"/>
    </row>
    <row r="7" ht="22" customHeight="1">
      <c r="B7" s="17" t="inlineStr">
        <is>
          <t>Salario</t>
        </is>
      </c>
      <c r="C7" s="18" t="n"/>
      <c r="D7" s="18" t="n"/>
    </row>
    <row r="8">
      <c r="B8" s="9" t="inlineStr">
        <is>
          <t>Salario bruto anual (mensual × pagas)</t>
        </is>
      </c>
      <c r="C8" s="32">
        <f>SAL*PAGAS</f>
        <v/>
      </c>
    </row>
    <row r="9">
      <c r="B9" s="9" t="inlineStr">
        <is>
          <t>Salario diario (anual / 365)</t>
        </is>
      </c>
      <c r="C9" s="32">
        <f>C8/365</f>
        <v/>
      </c>
      <c r="D9" s="12" t="inlineStr">
        <is>
          <t>Se usa para las vacaciones</t>
        </is>
      </c>
    </row>
    <row r="10">
      <c r="B10" s="9" t="inlineStr">
        <is>
          <t>Año del último día</t>
        </is>
      </c>
      <c r="C10" s="40">
        <f>YEAR(FIN)</f>
        <v/>
      </c>
    </row>
    <row r="11">
      <c r="B11" s="9" t="inlineStr">
        <is>
          <t>Desde el día</t>
        </is>
      </c>
      <c r="C11" s="41">
        <f>MAX(INICIO,DATE(YEAR(FIN),MONTH(FIN),1))</f>
        <v/>
      </c>
    </row>
    <row r="12">
      <c r="B12" s="9" t="inlineStr">
        <is>
          <t>Días trabajados del último mes</t>
        </is>
      </c>
      <c r="C12" s="40">
        <f>FIN-C11+1</f>
        <v/>
      </c>
    </row>
    <row r="13">
      <c r="B13" s="9" t="inlineStr">
        <is>
          <t>Días que tiene ese mes</t>
        </is>
      </c>
      <c r="C13" s="40">
        <f>DAY(EOMONTH(FIN,0))</f>
        <v/>
      </c>
    </row>
    <row r="14">
      <c r="B14" s="22" t="inlineStr">
        <is>
          <t>Salario de los días del último mes</t>
        </is>
      </c>
      <c r="C14" s="31">
        <f>IF(INCLUIR_MES="No",0,IF(C12&gt;=C13,SAL,SAL/30*MIN(30,C12)))</f>
        <v/>
      </c>
      <c r="D14" s="12" t="inlineStr">
        <is>
          <t>Mes completo: el salario entero; si no, salario / 30 × días</t>
        </is>
      </c>
    </row>
    <row r="16" ht="22" customHeight="1">
      <c r="B16" s="17" t="inlineStr">
        <is>
          <t>Vacaciones no disfrutadas</t>
        </is>
      </c>
      <c r="C16" s="18" t="n"/>
      <c r="D16" s="18" t="n"/>
    </row>
    <row r="17">
      <c r="B17" s="9" t="inlineStr">
        <is>
          <t>Se generan desde</t>
        </is>
      </c>
      <c r="C17" s="41">
        <f>MAX(INICIO,DATE(YEAR(FIN),1,1))</f>
        <v/>
      </c>
    </row>
    <row r="18">
      <c r="B18" s="9" t="inlineStr">
        <is>
          <t>Días trabajados este año</t>
        </is>
      </c>
      <c r="C18" s="40">
        <f>FIN-C17+1</f>
        <v/>
      </c>
    </row>
    <row r="19">
      <c r="B19" s="9" t="inlineStr">
        <is>
          <t>Días de vacaciones generados</t>
        </is>
      </c>
      <c r="C19" s="42">
        <f>VAC*C18/IF(MOD(C10,4)=0,366,365)</f>
        <v/>
      </c>
      <c r="D19" s="12" t="inlineStr">
        <is>
          <t>Vacaciones del año × días trabajados / días del año</t>
        </is>
      </c>
    </row>
    <row r="20">
      <c r="B20" s="9" t="inlineStr">
        <is>
          <t>Días pendientes (generados − disfrutados)</t>
        </is>
      </c>
      <c r="C20" s="42">
        <f>MAX(0,C19-DISFRUTADAS)</f>
        <v/>
      </c>
    </row>
    <row r="21">
      <c r="B21" s="22" t="inlineStr">
        <is>
          <t>Importe de las vacaciones</t>
        </is>
      </c>
      <c r="C21" s="31">
        <f>C20*C9</f>
        <v/>
      </c>
    </row>
    <row r="23" ht="22" customHeight="1">
      <c r="B23" s="17" t="inlineStr">
        <is>
          <t>Pagas extra devengadas y no cobradas</t>
        </is>
      </c>
      <c r="C23" s="18" t="n"/>
      <c r="D23" s="18" t="n"/>
    </row>
    <row r="24">
      <c r="B24" s="9" t="inlineStr">
        <is>
          <t>Paga de verano: ¿se debe parte?</t>
        </is>
      </c>
      <c r="C24" s="43">
        <f>IF(AND(PAGAS=14,OR(DEVENGO="Anual",MONTH(FIN)&lt;=6)),"Sí","No")</f>
        <v/>
      </c>
    </row>
    <row r="25">
      <c r="B25" s="9" t="inlineStr">
        <is>
          <t xml:space="preserve">   Se genera desde</t>
        </is>
      </c>
      <c r="C25" s="41">
        <f>MAX(INICIO,IF(DEVENGO="Anual",IF(MONTH(FIN)&gt;=7,DATE(C10,7,1),DATE(C10-1,7,1)),DATE(C10,1,1)))</f>
        <v/>
      </c>
    </row>
    <row r="26">
      <c r="B26" s="9" t="inlineStr">
        <is>
          <t xml:space="preserve">   Días del periodo de devengo</t>
        </is>
      </c>
      <c r="C26" s="40">
        <f>IF(DEVENGO="Anual",365,DATE(C10,6,30)-DATE(C10,1,1)+1)</f>
        <v/>
      </c>
    </row>
    <row r="27">
      <c r="B27" s="9" t="inlineStr">
        <is>
          <t xml:space="preserve">   Días generados</t>
        </is>
      </c>
      <c r="C27" s="40">
        <f>MIN(MAX(FIN-C25+1,0),C26)</f>
        <v/>
      </c>
    </row>
    <row r="28">
      <c r="B28" s="22" t="inlineStr">
        <is>
          <t>Parte proporcional de la paga de verano</t>
        </is>
      </c>
      <c r="C28" s="31">
        <f>IF(C24="Sí",ROUND(SAL*C27/C26,2),0)</f>
        <v/>
      </c>
    </row>
    <row r="29">
      <c r="B29" s="9" t="inlineStr">
        <is>
          <t>Paga de Navidad: ¿se debe parte?</t>
        </is>
      </c>
      <c r="C29" s="43">
        <f>IF(AND(PAGAS=14,OR(DEVENGO="Anual",MONTH(FIN)&gt;=7)),"Sí","No")</f>
        <v/>
      </c>
    </row>
    <row r="30">
      <c r="B30" s="9" t="inlineStr">
        <is>
          <t xml:space="preserve">   Se genera desde</t>
        </is>
      </c>
      <c r="C30" s="41">
        <f>MAX(INICIO,IF(DEVENGO="Anual",DATE(C10,1,1),DATE(C10,7,1)))</f>
        <v/>
      </c>
    </row>
    <row r="31">
      <c r="B31" s="9" t="inlineStr">
        <is>
          <t xml:space="preserve">   Días del periodo de devengo</t>
        </is>
      </c>
      <c r="C31" s="40">
        <f>IF(DEVENGO="Anual",365,DATE(C10,12,31)-DATE(C10,7,1)+1)</f>
        <v/>
      </c>
    </row>
    <row r="32">
      <c r="B32" s="9" t="inlineStr">
        <is>
          <t xml:space="preserve">   Días generados</t>
        </is>
      </c>
      <c r="C32" s="40">
        <f>MIN(MAX(FIN-C30+1,0),C31)</f>
        <v/>
      </c>
    </row>
    <row r="33">
      <c r="B33" s="22" t="inlineStr">
        <is>
          <t>Parte proporcional de la paga de Navidad</t>
        </is>
      </c>
      <c r="C33" s="31">
        <f>IF(C29="Sí",ROUND(SAL*C32/C31,2),0)</f>
        <v/>
      </c>
    </row>
    <row r="35">
      <c r="B35" s="9" t="inlineStr">
        <is>
          <t>FINIQUITO (bruto)</t>
        </is>
      </c>
      <c r="C35" s="34">
        <f>ROUND(C14+C21+C28+C33,2)</f>
        <v/>
      </c>
      <c r="D35" s="12" t="inlineStr">
        <is>
          <t>Cotiza y lleva IRPF: el neto será menor</t>
        </is>
      </c>
    </row>
    <row r="37" ht="30" customHeight="1">
      <c r="B37" s="12" t="inlineStr">
        <is>
          <t>Método: el de la calculadora de finiquito de NetoClaro. Si tu convenio fija otra forma de calcular las vacaciones o las pagas, manda el convenio. No es asesoramiento jurídico: es una herramienta para comprobar cifras con la ley y el convenio. Si hay mucho en juego, consulta con un abogado laboralista o con tu sindicato.</t>
        </is>
      </c>
    </row>
    <row r="38"/>
  </sheetData>
  <sheetProtection selectLockedCells="0" selectUnlockedCells="0" sheet="1" objects="0" insertRows="1" insertHyperlinks="1" autoFilter="1" scenarios="0" formatColumns="0" deleteColumns="1" insertColumns="1" pivotTables="1" deleteRows="1" formatCells="1" formatRows="0" sort="1"/>
  <mergeCells count="1">
    <mergeCell ref="B37:D38"/>
  </mergeCells>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6.xml><?xml version="1.0" encoding="utf-8"?>
<worksheet xmlns="http://schemas.openxmlformats.org/spreadsheetml/2006/main">
  <sheetPr>
    <tabColor rgb="00087A54"/>
    <outlinePr summaryBelow="1" summaryRight="1"/>
    <pageSetUpPr fitToPage="1"/>
  </sheetPr>
  <dimension ref="A1:D31"/>
  <sheetViews>
    <sheetView showGridLines="0" tabSelected="0" zoomScale="100" workbookViewId="0">
      <selection activeCell="A1" sqref="A1"/>
    </sheetView>
  </sheetViews>
  <sheetFormatPr baseColWidth="8" defaultRowHeight="15"/>
  <cols>
    <col width="3" customWidth="1" min="1" max="1"/>
    <col width="56" customWidth="1" min="2" max="2"/>
    <col width="18" customWidth="1" min="3" max="3"/>
    <col width="64" customWidth="1" min="4" max="4"/>
  </cols>
  <sheetData>
    <row r="1" ht="8" customHeight="1">
      <c r="A1" s="1" t="n"/>
      <c r="B1" s="1" t="n"/>
      <c r="C1" s="1" t="n"/>
      <c r="D1" s="1" t="n"/>
    </row>
    <row r="2" ht="34" customHeight="1">
      <c r="A2" s="1" t="n"/>
      <c r="B2" s="14" t="inlineStr">
        <is>
          <t>Indemnización: el detalle</t>
        </is>
      </c>
      <c r="C2" s="1" t="n"/>
      <c r="D2" s="15" t="inlineStr">
        <is>
          <t>NetoClaro</t>
        </is>
      </c>
    </row>
    <row r="3" ht="20" customHeight="1">
      <c r="A3" s="1" t="n"/>
      <c r="B3" s="16" t="inlineStr">
        <is>
          <t>Días de salario por año trabajado, con prorrata por meses y topes legales</t>
        </is>
      </c>
      <c r="C3" s="1" t="n"/>
      <c r="D3" s="1" t="n"/>
    </row>
    <row r="4" ht="4" customHeight="1">
      <c r="A4" s="6" t="n"/>
      <c r="B4" s="6" t="n"/>
      <c r="C4" s="6" t="n"/>
      <c r="D4" s="6" t="n"/>
    </row>
    <row r="7" ht="22" customHeight="1">
      <c r="B7" s="17" t="inlineStr">
        <is>
          <t>Antigüedad</t>
        </is>
      </c>
      <c r="C7" s="18" t="n"/>
      <c r="D7" s="18" t="n"/>
    </row>
    <row r="8">
      <c r="B8" s="9" t="inlineStr">
        <is>
          <t>Salario diario para la indemnización (anual / 365)</t>
        </is>
      </c>
      <c r="C8" s="32">
        <f>BRUTO_INDEM/365</f>
        <v/>
      </c>
    </row>
    <row r="9">
      <c r="B9" s="9" t="inlineStr">
        <is>
          <t xml:space="preserve">   (auxiliar) diferencia de meses</t>
        </is>
      </c>
      <c r="C9" s="40">
        <f>(YEAR((FIN+1))-YEAR(INICIO))*12+MONTH((FIN+1))-MONTH(INICIO)</f>
        <v/>
      </c>
    </row>
    <row r="10">
      <c r="B10" s="9" t="inlineStr">
        <is>
          <t xml:space="preserve">   (auxiliar) meses completos</t>
        </is>
      </c>
      <c r="C10" s="40">
        <f>IF(EDATE(INICIO,C9)&lt;=(FIN+1),C9,C9-1)</f>
        <v/>
      </c>
    </row>
    <row r="11">
      <c r="B11" s="22" t="inlineStr">
        <is>
          <t>Meses de antigüedad (las fracciones cuentan como mes entero)</t>
        </is>
      </c>
      <c r="C11" s="44">
        <f>IF(FIN&lt;INICIO,0,C10+IF(EDATE(INICIO,C10)-1&lt;FIN,1,0))</f>
        <v/>
      </c>
    </row>
    <row r="12">
      <c r="B12" s="9" t="inlineStr">
        <is>
          <t>Equivale a años</t>
        </is>
      </c>
      <c r="C12" s="42">
        <f>C11/12</f>
        <v/>
      </c>
    </row>
    <row r="14" ht="22" customHeight="1">
      <c r="B14" s="17" t="inlineStr">
        <is>
          <t>Despido improcedente con tiempo anterior a la reforma de 2012</t>
        </is>
      </c>
      <c r="C14" s="18" t="n"/>
      <c r="D14" s="18" t="n"/>
    </row>
    <row r="15">
      <c r="B15" s="9" t="inlineStr">
        <is>
          <t>¿Empezaste antes de la reforma?</t>
        </is>
      </c>
      <c r="C15" s="43">
        <f>IF(INICIO&lt;CORTE,"Sí","No")</f>
        <v/>
      </c>
    </row>
    <row r="16">
      <c r="B16" s="9" t="inlineStr">
        <is>
          <t xml:space="preserve">   Último día del primer tramo</t>
        </is>
      </c>
      <c r="C16" s="41">
        <f>IF(FIN&lt;CORTE,FIN,CORTE-1)</f>
        <v/>
      </c>
    </row>
    <row r="17">
      <c r="B17" s="9" t="inlineStr">
        <is>
          <t xml:space="preserve">   (auxiliar) diferencia de meses</t>
        </is>
      </c>
      <c r="C17" s="40">
        <f>(YEAR((C16+1))-YEAR(INICIO))*12+MONTH((C16+1))-MONTH(INICIO)</f>
        <v/>
      </c>
    </row>
    <row r="18">
      <c r="B18" s="9" t="inlineStr">
        <is>
          <t xml:space="preserve">   (auxiliar) meses completos</t>
        </is>
      </c>
      <c r="C18" s="40">
        <f>IF(EDATE(INICIO,C17)&lt;=(C16+1),C17,C17-1)</f>
        <v/>
      </c>
    </row>
    <row r="19">
      <c r="B19" s="9" t="inlineStr">
        <is>
          <t xml:space="preserve">   Meses del primer tramo (45 días por año)</t>
        </is>
      </c>
      <c r="C19" s="40">
        <f>IF(INICIO&gt;=CORTE,0,IF(FIN&lt;CORTE,C11,MIN(C11,IF(C16&lt;INICIO,0,C18+IF(EDATE(INICIO,C18)-1&lt;C16,1,0)))))</f>
        <v/>
      </c>
    </row>
    <row r="20">
      <c r="B20" s="9" t="inlineStr">
        <is>
          <t xml:space="preserve">   Días del primer tramo</t>
        </is>
      </c>
      <c r="C20" s="42">
        <f>D_ANT*C19/12</f>
        <v/>
      </c>
    </row>
    <row r="21">
      <c r="B21" s="9" t="inlineStr">
        <is>
          <t xml:space="preserve">   Meses del segundo tramo (33 días por año)</t>
        </is>
      </c>
      <c r="C21" s="40">
        <f>IF(INICIO&gt;=CORTE,0,IF(FIN&gt;=CORTE,MAX(0,C11-C19),0))</f>
        <v/>
      </c>
    </row>
    <row r="22">
      <c r="B22" s="9" t="inlineStr">
        <is>
          <t xml:space="preserve">   Días del segundo tramo</t>
        </is>
      </c>
      <c r="C22" s="42">
        <f>D_IMPROC*C21/12</f>
        <v/>
      </c>
    </row>
    <row r="24" ht="22" customHeight="1">
      <c r="B24" s="17" t="inlineStr">
        <is>
          <t>Resultado</t>
        </is>
      </c>
      <c r="C24" s="18" t="n"/>
      <c r="D24" s="18" t="n"/>
    </row>
    <row r="25">
      <c r="B25" s="22" t="inlineStr">
        <is>
          <t>Días de salario de indemnización</t>
        </is>
      </c>
      <c r="C25" s="45">
        <f>CHOOSE(TIPO,0,D_TEMP*C11/12,MIN(D_OBJ*C11/12,T_OBJ*30),IF(INICIO&lt;CORTE,IF(C20&gt;T_IMPROC*30,MIN(C20,T_ANT*30),MIN(C20+C22,T_IMPROC*30)),MIN(D_IMPROC*C11/12,T_IMPROC*30)),0)</f>
        <v/>
      </c>
    </row>
    <row r="26">
      <c r="B26" s="9" t="inlineStr">
        <is>
          <t>Tope aplicado</t>
        </is>
      </c>
      <c r="C26" s="43">
        <f>CHOOSE(TIPO,"—","Sin tope",IF(D_OBJ*C11/12&gt;T_OBJ*30,"12 mensualidades","No"),IF(INICIO&lt;CORTE,IF(C20&gt;T_IMPROC*30,IF(C20&gt;T_ANT*30,"42 mensualidades","Lo generado antes de 2012"),IF(C20+C22&gt;T_IMPROC*30,"24 mensualidades","No")),IF(D_IMPROC*C11/12&gt;T_IMPROC*30,"24 mensualidades","No")),"—")</f>
        <v/>
      </c>
    </row>
    <row r="27">
      <c r="B27" s="9" t="inlineStr">
        <is>
          <t>INDEMNIZACIÓN (bruta)</t>
        </is>
      </c>
      <c r="C27" s="34">
        <f>ROUND(C25*C8,2)</f>
        <v/>
      </c>
      <c r="D27" s="12" t="inlineStr">
        <is>
          <t>La indemnización legal por despido está exenta de IRPF dentro de los límites del art. 7.e de la Ley del IRPF</t>
        </is>
      </c>
    </row>
    <row r="29" ht="40" customHeight="1">
      <c r="B29" s="12" t="inlineStr">
        <is>
          <t>Improcedente: 33 días por año con tope de 24 mensualidades; si empezaste antes del 12/02/2012, 45 días por año hasta esa fecha y 33 después, con tope de 720 días salvo que el primer tramo ya lo supere (máximo 42 mensualidades). Objetivo: 20 días por año, tope 12 mensualidades. Fin de contrato temporal: 12 días por año. No es asesoramiento jurídico: es una herramienta para comprobar cifras con la ley y el convenio. Si hay mucho en juego, consulta con un abogado laboralista o con tu sindicato.</t>
        </is>
      </c>
    </row>
    <row r="30"/>
    <row r="31"/>
  </sheetData>
  <sheetProtection selectLockedCells="0" selectUnlockedCells="0" sheet="1" objects="0" insertRows="1" insertHyperlinks="1" autoFilter="1" scenarios="0" formatColumns="0" deleteColumns="1" insertColumns="1" pivotTables="1" deleteRows="1" formatCells="1" formatRows="0" sort="1"/>
  <mergeCells count="1">
    <mergeCell ref="B29:D31"/>
  </mergeCells>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7.xml><?xml version="1.0" encoding="utf-8"?>
<worksheet xmlns="http://schemas.openxmlformats.org/spreadsheetml/2006/main">
  <sheetPr>
    <tabColor rgb="00087A54"/>
    <outlinePr summaryBelow="1" summaryRight="1"/>
    <pageSetUpPr fitToPage="1"/>
  </sheetPr>
  <dimension ref="A1:F43"/>
  <sheetViews>
    <sheetView showGridLines="0" tabSelected="0" zoomScale="100" workbookViewId="0">
      <selection activeCell="A1" sqref="A1"/>
    </sheetView>
  </sheetViews>
  <sheetFormatPr baseColWidth="8" defaultRowHeight="15"/>
  <cols>
    <col width="3" customWidth="1" min="1" max="1"/>
    <col width="56" customWidth="1" min="2" max="2"/>
    <col width="18" customWidth="1" min="3" max="3"/>
    <col width="54" customWidth="1" min="4" max="4"/>
    <col width="3" customWidth="1" min="5" max="5"/>
    <col width="14" customWidth="1" min="6" max="6"/>
  </cols>
  <sheetData>
    <row r="1" ht="8" customHeight="1">
      <c r="A1" s="1" t="n"/>
      <c r="B1" s="1" t="n"/>
      <c r="C1" s="1" t="n"/>
      <c r="D1" s="1" t="n"/>
    </row>
    <row r="2" ht="34" customHeight="1">
      <c r="A2" s="1" t="n"/>
      <c r="B2" s="14" t="inlineStr">
        <is>
          <t>Plazos para reclamar</t>
        </is>
      </c>
      <c r="C2" s="1" t="n"/>
      <c r="D2" s="15" t="inlineStr">
        <is>
          <t>NetoClaro</t>
        </is>
      </c>
    </row>
    <row r="3" ht="20" customHeight="1">
      <c r="A3" s="1" t="n"/>
      <c r="B3" s="16" t="inlineStr">
        <is>
          <t>Calculados con los festivos de tu comunidad y los locales que añadas</t>
        </is>
      </c>
      <c r="C3" s="1" t="n"/>
      <c r="D3" s="1" t="n"/>
    </row>
    <row r="4" ht="4" customHeight="1">
      <c r="A4" s="6" t="n"/>
      <c r="B4" s="6" t="n"/>
      <c r="C4" s="6" t="n"/>
      <c r="D4" s="6" t="n"/>
    </row>
    <row r="7">
      <c r="B7" s="22" t="inlineStr">
        <is>
          <t>Te comunicaron el despido el</t>
        </is>
      </c>
      <c r="C7" s="46">
        <f>NOTIFICACION</f>
        <v/>
      </c>
      <c r="F7" s="47" t="inlineStr">
        <is>
          <t>Festivos que se saltan</t>
        </is>
      </c>
    </row>
    <row r="8">
      <c r="B8" s="9" t="inlineStr">
        <is>
          <t>Comunidad</t>
        </is>
      </c>
      <c r="C8" s="28">
        <f>CCAA_NOMBRE</f>
        <v/>
      </c>
      <c r="F8" s="48">
        <f>INDEX(FEST_TABLA,1,MATCH(CCAA,FEST_COD,0))</f>
        <v/>
      </c>
    </row>
    <row r="9">
      <c r="F9" s="48">
        <f>INDEX(FEST_TABLA,2,MATCH(CCAA,FEST_COD,0))</f>
        <v/>
      </c>
    </row>
    <row r="10" ht="30" customHeight="1">
      <c r="B10" s="30" t="inlineStr">
        <is>
          <t>Plazo</t>
        </is>
      </c>
      <c r="C10" s="30" t="inlineStr">
        <is>
          <t>Último día</t>
        </is>
      </c>
      <c r="D10" s="30" t="inlineStr">
        <is>
          <t>Qué hacer</t>
        </is>
      </c>
      <c r="F10" s="48">
        <f>INDEX(FEST_TABLA,3,MATCH(CCAA,FEST_COD,0))</f>
        <v/>
      </c>
    </row>
    <row r="11" ht="40" customHeight="1">
      <c r="B11" s="22" t="inlineStr">
        <is>
          <t>Papeleta de conciliación por despido (20 días hábiles)</t>
        </is>
      </c>
      <c r="C11" s="37">
        <f>WORKDAY(NOTIFICACION,P_DESPIDO,FEST_APLICA)</f>
        <v/>
      </c>
      <c r="D11" s="12" t="inlineStr">
        <is>
          <t>Presentarla en el servicio de mediación, arbitraje y conciliación de tu comunidad. Suspende el plazo. Agosto cuenta.</t>
        </is>
      </c>
      <c r="F11" s="48">
        <f>INDEX(FEST_TABLA,4,MATCH(CCAA,FEST_COD,0))</f>
        <v/>
      </c>
    </row>
    <row r="12" ht="40" customHeight="1">
      <c r="B12" s="22" t="inlineStr">
        <is>
          <t>Pedir el paro sin perder días (15 días hábiles)</t>
        </is>
      </c>
      <c r="C12" s="37">
        <f>WORKDAY(FIN,P_PARO,FEST_APLICA)</f>
        <v/>
      </c>
      <c r="D12" s="12" t="inlineStr">
        <is>
          <t>Solicitud en el SEPE (sede electrónica o cita previa). Fuera de plazo se cobra igual, pero pierdes los días de retraso.</t>
        </is>
      </c>
      <c r="F12" s="48">
        <f>INDEX(FEST_TABLA,5,MATCH(CCAA,FEST_COD,0))</f>
        <v/>
      </c>
    </row>
    <row r="13" ht="40" customHeight="1">
      <c r="B13" s="22" t="inlineStr">
        <is>
          <t>Reclamar cantidades del finiquito (1 año)</t>
        </is>
      </c>
      <c r="C13" s="37">
        <f>EDATE(FIN,12*P_CANTIDAD)</f>
        <v/>
      </c>
      <c r="D13" s="12" t="inlineStr">
        <is>
          <t>Salarios, vacaciones o pagas que no te hayan pagado bien. Se interrumpe con una reclamación por escrito o con la papeleta.</t>
        </is>
      </c>
      <c r="F13" s="48">
        <f>INDEX(FEST_TABLA,6,MATCH(CCAA,FEST_COD,0))</f>
        <v/>
      </c>
    </row>
    <row r="14">
      <c r="F14" s="48">
        <f>INDEX(FEST_TABLA,7,MATCH(CCAA,FEST_COD,0))</f>
        <v/>
      </c>
    </row>
    <row r="15">
      <c r="B15" s="9" t="inlineStr">
        <is>
          <t>Días naturales que quedan para la papeleta</t>
        </is>
      </c>
      <c r="C15" s="49">
        <f>PLAZO_DESPIDO-TODAY()</f>
        <v/>
      </c>
      <c r="F15" s="48">
        <f>INDEX(FEST_TABLA,8,MATCH(CCAA,FEST_COD,0))</f>
        <v/>
      </c>
    </row>
    <row r="16">
      <c r="F16" s="48">
        <f>INDEX(FEST_TABLA,9,MATCH(CCAA,FEST_COD,0))</f>
        <v/>
      </c>
    </row>
    <row r="17">
      <c r="B17" s="22" t="inlineStr">
        <is>
          <t>Festivos locales de tu municipio</t>
        </is>
      </c>
      <c r="C17" s="12" t="inlineStr">
        <is>
          <t>Escríbelos en la columna F, filas 38 a 43 (en amarillo). Los de tu comunidad ya están puestos.</t>
        </is>
      </c>
      <c r="F17" s="48">
        <f>INDEX(FEST_TABLA,10,MATCH(CCAA,FEST_COD,0))</f>
        <v/>
      </c>
    </row>
    <row r="18">
      <c r="F18" s="48">
        <f>INDEX(FEST_TABLA,11,MATCH(CCAA,FEST_COD,0))</f>
        <v/>
      </c>
    </row>
    <row r="19" ht="90" customHeight="1">
      <c r="B19" s="12" t="inlineStr">
        <is>
          <t>Despido: 20 días hábiles desde el día siguiente al despido (art. 59.3 ET y art. 103 LRJS); no cuentan sábados, domingos ni festivos (art. 182 LOPJ) y agosto sí cuenta para el despido (art. 43.4 LRJS). La papeleta de conciliación suspende el plazo, que se reanuda al día siguiente del acto o a los 15 días hábiles si no se celebra (art. 65 LRJS); si la conciliación no se celebra en 30 días, se puede seguir con la demanda. Cantidades (finiquito, salarios): 1 año (art. 59.1 y 59.2 ET). Paro: 15 días hábiles desde la situación legal de desempleo para no perder días (art. 276 LGSS).</t>
        </is>
      </c>
      <c r="F19" s="48">
        <f>INDEX(FEST_TABLA,12,MATCH(CCAA,FEST_COD,0))</f>
        <v/>
      </c>
    </row>
    <row r="20" ht="30" customHeight="1">
      <c r="B20" s="12" t="inlineStr">
        <is>
          <t>Si un día del plazo es inhábil por otro motivo (por ejemplo, del 24 al 31 de diciembre en algunos juzgados), no te arriesgues: presenta la papeleta antes.</t>
        </is>
      </c>
      <c r="F20" s="48">
        <f>INDEX(FEST_TABLA,13,MATCH(CCAA,FEST_COD,0))</f>
        <v/>
      </c>
    </row>
    <row r="21" ht="30" customHeight="1">
      <c r="B21" s="12" t="inlineStr">
        <is>
          <t>No es asesoramiento jurídico: es una herramienta para comprobar cifras con la ley y el convenio. Si hay mucho en juego, consulta con un abogado laboralista o con tu sindicato.</t>
        </is>
      </c>
      <c r="F21" s="48">
        <f>INDEX(FEST_TABLA,14,MATCH(CCAA,FEST_COD,0))</f>
        <v/>
      </c>
    </row>
    <row r="22">
      <c r="B22" s="12" t="inlineStr">
        <is>
          <t>Fuente: Estatuto de los Trabajadores, art. 59; Ley 36/2011 reguladora de la jurisdicción social, arts. 43, 63-65 y 103</t>
        </is>
      </c>
      <c r="F22" s="48">
        <f>INDEX(FEST_TABLA,15,MATCH(CCAA,FEST_COD,0))</f>
        <v/>
      </c>
    </row>
    <row r="23">
      <c r="F23" s="48">
        <f>INDEX(FEST_TABLA,16,MATCH(CCAA,FEST_COD,0))</f>
        <v/>
      </c>
    </row>
    <row r="24">
      <c r="F24" s="48">
        <f>INDEX(FEST_TABLA,17,MATCH(CCAA,FEST_COD,0))</f>
        <v/>
      </c>
    </row>
    <row r="25">
      <c r="F25" s="48">
        <f>INDEX(FEST_TABLA,18,MATCH(CCAA,FEST_COD,0))</f>
        <v/>
      </c>
    </row>
    <row r="26">
      <c r="F26" s="48">
        <f>INDEX(FEST_TABLA,19,MATCH(CCAA,FEST_COD,0))</f>
        <v/>
      </c>
    </row>
    <row r="27">
      <c r="F27" s="48">
        <f>INDEX(FEST_TABLA,20,MATCH(CCAA,FEST_COD,0))</f>
        <v/>
      </c>
    </row>
    <row r="28">
      <c r="F28" s="48">
        <f>INDEX(FEST_TABLA,21,MATCH(CCAA,FEST_COD,0))</f>
        <v/>
      </c>
    </row>
    <row r="29">
      <c r="F29" s="48">
        <f>INDEX(FEST_TABLA,22,MATCH(CCAA,FEST_COD,0))</f>
        <v/>
      </c>
    </row>
    <row r="30">
      <c r="F30" s="48">
        <f>INDEX(FEST_TABLA,23,MATCH(CCAA,FEST_COD,0))</f>
        <v/>
      </c>
    </row>
    <row r="31">
      <c r="F31" s="48">
        <f>INDEX(FEST_TABLA,24,MATCH(CCAA,FEST_COD,0))</f>
        <v/>
      </c>
    </row>
    <row r="32">
      <c r="F32" s="48">
        <f>INDEX(FEST_TABLA,25,MATCH(CCAA,FEST_COD,0))</f>
        <v/>
      </c>
    </row>
    <row r="33">
      <c r="F33" s="48">
        <f>INDEX(FEST_TABLA,26,MATCH(CCAA,FEST_COD,0))</f>
        <v/>
      </c>
    </row>
    <row r="34">
      <c r="F34" s="48">
        <f>INDEX(FEST_TABLA,27,MATCH(CCAA,FEST_COD,0))</f>
        <v/>
      </c>
    </row>
    <row r="35">
      <c r="F35" s="48">
        <f>INDEX(FEST_TABLA,28,MATCH(CCAA,FEST_COD,0))</f>
        <v/>
      </c>
    </row>
    <row r="36">
      <c r="F36" s="48">
        <f>INDEX(FEST_TABLA,29,MATCH(CCAA,FEST_COD,0))</f>
        <v/>
      </c>
    </row>
    <row r="37">
      <c r="F37" s="48">
        <f>INDEX(FEST_TABLA,30,MATCH(CCAA,FEST_COD,0))</f>
        <v/>
      </c>
    </row>
    <row r="38">
      <c r="F38" s="50" t="n"/>
    </row>
    <row r="39">
      <c r="F39" s="50" t="n"/>
    </row>
    <row r="40">
      <c r="F40" s="50" t="n"/>
    </row>
    <row r="41">
      <c r="F41" s="50" t="n"/>
    </row>
    <row r="42">
      <c r="F42" s="50" t="n"/>
    </row>
    <row r="43">
      <c r="F43" s="50" t="n"/>
    </row>
  </sheetData>
  <sheetProtection selectLockedCells="0" selectUnlockedCells="0" sheet="1" objects="0" insertRows="1" insertHyperlinks="1" autoFilter="1" scenarios="0" formatColumns="0" deleteColumns="1" insertColumns="1" pivotTables="1" deleteRows="1" formatCells="1" formatRows="0" sort="1"/>
  <mergeCells count="4">
    <mergeCell ref="C17:D17"/>
    <mergeCell ref="B19:D19"/>
    <mergeCell ref="B21:D21"/>
    <mergeCell ref="B20:D20"/>
  </mergeCells>
  <conditionalFormatting sqref="C15">
    <cfRule type="expression" priority="1" dxfId="2">
      <formula>C15&lt;=5</formula>
    </cfRule>
  </conditionalFormatting>
  <dataValidations count="1">
    <dataValidation sqref="F38:F43" showDropDown="0" showInputMessage="0" showErrorMessage="1" allowBlank="1" errorTitle="Fecha no válida" error="Escribe una fecha, por ejemplo 15/03/2027." type="date" operator="greaterThan">
      <formula1>1</formula1>
    </dataValidation>
  </dataValidations>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8.xml><?xml version="1.0" encoding="utf-8"?>
<worksheet xmlns="http://schemas.openxmlformats.org/spreadsheetml/2006/main">
  <sheetPr>
    <tabColor rgb="004A5C54"/>
    <outlinePr summaryBelow="1" summaryRight="1"/>
    <pageSetUpPr fitToPage="1"/>
  </sheetPr>
  <dimension ref="A1:T39"/>
  <sheetViews>
    <sheetView showGridLines="0" tabSelected="0" zoomScale="10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row>
    <row r="2" ht="34" customHeight="1">
      <c r="A2" s="1" t="n"/>
      <c r="B2" s="14" t="inlineStr">
        <is>
          <t>Festivos de comunidad</t>
        </is>
      </c>
      <c r="C2" s="1" t="n"/>
      <c r="D2" s="1" t="n"/>
      <c r="E2" s="1" t="n"/>
      <c r="F2" s="1" t="n"/>
      <c r="G2" s="1" t="n"/>
      <c r="H2" s="1" t="n"/>
      <c r="I2" s="1" t="n"/>
      <c r="J2" s="1" t="n"/>
      <c r="K2" s="1" t="n"/>
      <c r="L2" s="1" t="n"/>
      <c r="M2" s="1" t="n"/>
      <c r="N2" s="1" t="n"/>
      <c r="O2" s="1" t="n"/>
      <c r="P2" s="1" t="n"/>
      <c r="Q2" s="1" t="n"/>
      <c r="R2" s="1" t="n"/>
      <c r="S2" s="1" t="n"/>
      <c r="T2" s="15" t="inlineStr">
        <is>
          <t>NetoClaro</t>
        </is>
      </c>
    </row>
    <row r="3" ht="20" customHeight="1">
      <c r="A3" s="1" t="n"/>
      <c r="B3" s="16" t="inlineStr">
        <is>
          <t>Nacionales y autonómicos de 2026 y 2027 (BOE y boletines). Los locales se añaden en «Plazos».</t>
        </is>
      </c>
      <c r="C3" s="1" t="n"/>
      <c r="D3" s="1" t="n"/>
      <c r="E3" s="1" t="n"/>
      <c r="F3" s="1" t="n"/>
      <c r="G3" s="1" t="n"/>
      <c r="H3" s="1" t="n"/>
      <c r="I3" s="1" t="n"/>
      <c r="J3" s="1" t="n"/>
      <c r="K3" s="1" t="n"/>
      <c r="L3" s="1" t="n"/>
      <c r="M3" s="1" t="n"/>
      <c r="N3" s="1" t="n"/>
      <c r="O3" s="1" t="n"/>
      <c r="P3" s="1" t="n"/>
      <c r="Q3" s="1" t="n"/>
      <c r="R3" s="1" t="n"/>
      <c r="S3" s="1" t="n"/>
      <c r="T3" s="1" t="n"/>
    </row>
    <row r="4" ht="4" customHeight="1">
      <c r="A4" s="6" t="n"/>
      <c r="B4" s="6" t="n"/>
      <c r="C4" s="6" t="n"/>
      <c r="D4" s="6" t="n"/>
      <c r="E4" s="6" t="n"/>
      <c r="F4" s="6" t="n"/>
      <c r="G4" s="6" t="n"/>
      <c r="H4" s="6" t="n"/>
      <c r="I4" s="6" t="n"/>
      <c r="J4" s="6" t="n"/>
      <c r="K4" s="6" t="n"/>
      <c r="L4" s="6" t="n"/>
      <c r="M4" s="6" t="n"/>
      <c r="N4" s="6" t="n"/>
      <c r="O4" s="6" t="n"/>
      <c r="P4" s="6" t="n"/>
      <c r="Q4" s="6" t="n"/>
      <c r="R4" s="6" t="n"/>
      <c r="S4" s="6" t="n"/>
      <c r="T4" s="6" t="n"/>
    </row>
    <row r="6" ht="18" customHeight="1">
      <c r="B6" s="30" t="inlineStr">
        <is>
          <t>AN</t>
        </is>
      </c>
      <c r="C6" s="30" t="inlineStr">
        <is>
          <t>AR</t>
        </is>
      </c>
      <c r="D6" s="30" t="inlineStr">
        <is>
          <t>AS</t>
        </is>
      </c>
      <c r="E6" s="30" t="inlineStr">
        <is>
          <t>IB</t>
        </is>
      </c>
      <c r="F6" s="30" t="inlineStr">
        <is>
          <t>CN</t>
        </is>
      </c>
      <c r="G6" s="30" t="inlineStr">
        <is>
          <t>CB</t>
        </is>
      </c>
      <c r="H6" s="30" t="inlineStr">
        <is>
          <t>CL</t>
        </is>
      </c>
      <c r="I6" s="30" t="inlineStr">
        <is>
          <t>CM</t>
        </is>
      </c>
      <c r="J6" s="30" t="inlineStr">
        <is>
          <t>CT</t>
        </is>
      </c>
      <c r="K6" s="30" t="inlineStr">
        <is>
          <t>EX</t>
        </is>
      </c>
      <c r="L6" s="30" t="inlineStr">
        <is>
          <t>GA</t>
        </is>
      </c>
      <c r="M6" s="30" t="inlineStr">
        <is>
          <t>MD</t>
        </is>
      </c>
      <c r="N6" s="30" t="inlineStr">
        <is>
          <t>MC</t>
        </is>
      </c>
      <c r="O6" s="30" t="inlineStr">
        <is>
          <t>NA</t>
        </is>
      </c>
      <c r="P6" s="30" t="inlineStr">
        <is>
          <t>PV</t>
        </is>
      </c>
      <c r="Q6" s="30" t="inlineStr">
        <is>
          <t>RI</t>
        </is>
      </c>
      <c r="R6" s="30" t="inlineStr">
        <is>
          <t>VC</t>
        </is>
      </c>
      <c r="S6" s="30" t="inlineStr">
        <is>
          <t>CE</t>
        </is>
      </c>
      <c r="T6" s="30" t="inlineStr">
        <is>
          <t>ML</t>
        </is>
      </c>
    </row>
    <row r="7" ht="30" customHeight="1">
      <c r="B7" s="51" t="inlineStr">
        <is>
          <t>Andalucía</t>
        </is>
      </c>
      <c r="C7" s="51" t="inlineStr">
        <is>
          <t>Aragón</t>
        </is>
      </c>
      <c r="D7" s="51" t="inlineStr">
        <is>
          <t>Asturias</t>
        </is>
      </c>
      <c r="E7" s="51" t="inlineStr">
        <is>
          <t>Illes Balears</t>
        </is>
      </c>
      <c r="F7" s="51" t="inlineStr">
        <is>
          <t>Canarias</t>
        </is>
      </c>
      <c r="G7" s="51" t="inlineStr">
        <is>
          <t>Cantabria</t>
        </is>
      </c>
      <c r="H7" s="51" t="inlineStr">
        <is>
          <t>Castilla y León</t>
        </is>
      </c>
      <c r="I7" s="51" t="inlineStr">
        <is>
          <t>Castilla-La Mancha</t>
        </is>
      </c>
      <c r="J7" s="51" t="inlineStr">
        <is>
          <t>Cataluña</t>
        </is>
      </c>
      <c r="K7" s="51" t="inlineStr">
        <is>
          <t>Extremadura</t>
        </is>
      </c>
      <c r="L7" s="51" t="inlineStr">
        <is>
          <t>Galicia</t>
        </is>
      </c>
      <c r="M7" s="51" t="inlineStr">
        <is>
          <t>Comunidad de Madrid</t>
        </is>
      </c>
      <c r="N7" s="51" t="inlineStr">
        <is>
          <t>Región de Murcia</t>
        </is>
      </c>
      <c r="O7" s="51" t="inlineStr">
        <is>
          <t>Navarra</t>
        </is>
      </c>
      <c r="P7" s="51" t="inlineStr">
        <is>
          <t>País Vasco</t>
        </is>
      </c>
      <c r="Q7" s="51" t="inlineStr">
        <is>
          <t>La Rioja</t>
        </is>
      </c>
      <c r="R7" s="51" t="inlineStr">
        <is>
          <t>Comunitat Valenciana</t>
        </is>
      </c>
      <c r="S7" s="51" t="inlineStr">
        <is>
          <t>Ceuta</t>
        </is>
      </c>
      <c r="T7" s="51" t="inlineStr">
        <is>
          <t>Melilla</t>
        </is>
      </c>
    </row>
    <row r="8">
      <c r="B8" s="46" t="n">
        <v>46023</v>
      </c>
      <c r="C8" s="46" t="n">
        <v>46023</v>
      </c>
      <c r="D8" s="46" t="n">
        <v>46023</v>
      </c>
      <c r="E8" s="46" t="n">
        <v>46023</v>
      </c>
      <c r="F8" s="46" t="n">
        <v>46023</v>
      </c>
      <c r="G8" s="46" t="n">
        <v>46023</v>
      </c>
      <c r="H8" s="46" t="n">
        <v>46023</v>
      </c>
      <c r="I8" s="46" t="n">
        <v>46023</v>
      </c>
      <c r="J8" s="46" t="n">
        <v>46023</v>
      </c>
      <c r="K8" s="46" t="n">
        <v>46023</v>
      </c>
      <c r="L8" s="46" t="n">
        <v>46023</v>
      </c>
      <c r="M8" s="46" t="n">
        <v>46023</v>
      </c>
      <c r="N8" s="46" t="n">
        <v>46023</v>
      </c>
      <c r="O8" s="46" t="n">
        <v>46023</v>
      </c>
      <c r="P8" s="46" t="n">
        <v>46023</v>
      </c>
      <c r="Q8" s="46" t="n">
        <v>46023</v>
      </c>
      <c r="R8" s="46" t="n">
        <v>46023</v>
      </c>
      <c r="S8" s="46" t="n">
        <v>46388</v>
      </c>
      <c r="T8" s="46" t="n">
        <v>46388</v>
      </c>
    </row>
    <row r="9">
      <c r="B9" s="46" t="n">
        <v>46028</v>
      </c>
      <c r="C9" s="46" t="n">
        <v>46028</v>
      </c>
      <c r="D9" s="46" t="n">
        <v>46028</v>
      </c>
      <c r="E9" s="46" t="n">
        <v>46028</v>
      </c>
      <c r="F9" s="46" t="n">
        <v>46028</v>
      </c>
      <c r="G9" s="46" t="n">
        <v>46028</v>
      </c>
      <c r="H9" s="46" t="n">
        <v>46028</v>
      </c>
      <c r="I9" s="46" t="n">
        <v>46028</v>
      </c>
      <c r="J9" s="46" t="n">
        <v>46028</v>
      </c>
      <c r="K9" s="46" t="n">
        <v>46028</v>
      </c>
      <c r="L9" s="46" t="n">
        <v>46028</v>
      </c>
      <c r="M9" s="46" t="n">
        <v>46028</v>
      </c>
      <c r="N9" s="46" t="n">
        <v>46028</v>
      </c>
      <c r="O9" s="46" t="n">
        <v>46028</v>
      </c>
      <c r="P9" s="46" t="n">
        <v>46028</v>
      </c>
      <c r="Q9" s="46" t="n">
        <v>46028</v>
      </c>
      <c r="R9" s="46" t="n">
        <v>46028</v>
      </c>
      <c r="S9" s="46" t="n">
        <v>46393</v>
      </c>
      <c r="T9" s="46" t="n">
        <v>46393</v>
      </c>
    </row>
    <row r="10">
      <c r="B10" s="46" t="n">
        <v>46081</v>
      </c>
      <c r="C10" s="46" t="n">
        <v>46114</v>
      </c>
      <c r="D10" s="46" t="n">
        <v>46114</v>
      </c>
      <c r="E10" s="46" t="n">
        <v>46083</v>
      </c>
      <c r="F10" s="46" t="n">
        <v>46114</v>
      </c>
      <c r="G10" s="46" t="n">
        <v>46114</v>
      </c>
      <c r="H10" s="46" t="n">
        <v>46114</v>
      </c>
      <c r="I10" s="46" t="n">
        <v>46114</v>
      </c>
      <c r="J10" s="46" t="n">
        <v>46115</v>
      </c>
      <c r="K10" s="46" t="n">
        <v>46114</v>
      </c>
      <c r="L10" s="46" t="n">
        <v>46100</v>
      </c>
      <c r="M10" s="46" t="n">
        <v>46114</v>
      </c>
      <c r="N10" s="46" t="n">
        <v>46100</v>
      </c>
      <c r="O10" s="46" t="n">
        <v>46100</v>
      </c>
      <c r="P10" s="46" t="n">
        <v>46100</v>
      </c>
      <c r="Q10" s="46" t="n">
        <v>46114</v>
      </c>
      <c r="R10" s="46" t="n">
        <v>46100</v>
      </c>
      <c r="S10" s="46" t="n">
        <v>46471</v>
      </c>
      <c r="T10" s="46" t="n">
        <v>46471</v>
      </c>
    </row>
    <row r="11">
      <c r="B11" s="46" t="n">
        <v>46114</v>
      </c>
      <c r="C11" s="46" t="n">
        <v>46115</v>
      </c>
      <c r="D11" s="46" t="n">
        <v>46115</v>
      </c>
      <c r="E11" s="46" t="n">
        <v>46114</v>
      </c>
      <c r="F11" s="46" t="n">
        <v>46115</v>
      </c>
      <c r="G11" s="46" t="n">
        <v>46115</v>
      </c>
      <c r="H11" s="46" t="n">
        <v>46115</v>
      </c>
      <c r="I11" s="46" t="n">
        <v>46115</v>
      </c>
      <c r="J11" s="46" t="n">
        <v>46118</v>
      </c>
      <c r="K11" s="46" t="n">
        <v>46115</v>
      </c>
      <c r="L11" s="46" t="n">
        <v>46114</v>
      </c>
      <c r="M11" s="46" t="n">
        <v>46115</v>
      </c>
      <c r="N11" s="46" t="n">
        <v>46114</v>
      </c>
      <c r="O11" s="46" t="n">
        <v>46114</v>
      </c>
      <c r="P11" s="46" t="n">
        <v>46114</v>
      </c>
      <c r="Q11" s="46" t="n">
        <v>46115</v>
      </c>
      <c r="R11" s="46" t="n">
        <v>46115</v>
      </c>
      <c r="S11" s="46" t="n">
        <v>46472</v>
      </c>
      <c r="T11" s="46" t="n">
        <v>46472</v>
      </c>
    </row>
    <row r="12">
      <c r="B12" s="46" t="n">
        <v>46115</v>
      </c>
      <c r="C12" s="46" t="n">
        <v>46135</v>
      </c>
      <c r="D12" s="46" t="n">
        <v>46143</v>
      </c>
      <c r="E12" s="46" t="n">
        <v>46115</v>
      </c>
      <c r="F12" s="46" t="n">
        <v>46143</v>
      </c>
      <c r="G12" s="46" t="n">
        <v>46143</v>
      </c>
      <c r="H12" s="46" t="n">
        <v>46135</v>
      </c>
      <c r="I12" s="46" t="n">
        <v>46118</v>
      </c>
      <c r="J12" s="46" t="n">
        <v>46143</v>
      </c>
      <c r="K12" s="46" t="n">
        <v>46143</v>
      </c>
      <c r="L12" s="46" t="n">
        <v>46115</v>
      </c>
      <c r="M12" s="46" t="n">
        <v>46143</v>
      </c>
      <c r="N12" s="46" t="n">
        <v>46115</v>
      </c>
      <c r="O12" s="46" t="n">
        <v>46115</v>
      </c>
      <c r="P12" s="46" t="n">
        <v>46115</v>
      </c>
      <c r="Q12" s="46" t="n">
        <v>46118</v>
      </c>
      <c r="R12" s="46" t="n">
        <v>46118</v>
      </c>
      <c r="S12" s="46" t="n">
        <v>46508</v>
      </c>
      <c r="T12" s="46" t="n">
        <v>46508</v>
      </c>
    </row>
    <row r="13">
      <c r="B13" s="46" t="n">
        <v>46143</v>
      </c>
      <c r="C13" s="46" t="n">
        <v>46143</v>
      </c>
      <c r="D13" s="46" t="n">
        <v>46249</v>
      </c>
      <c r="E13" s="46" t="n">
        <v>46118</v>
      </c>
      <c r="F13" s="46" t="n">
        <v>46172</v>
      </c>
      <c r="G13" s="46" t="n">
        <v>46231</v>
      </c>
      <c r="H13" s="46" t="n">
        <v>46143</v>
      </c>
      <c r="I13" s="46" t="n">
        <v>46143</v>
      </c>
      <c r="J13" s="46" t="n">
        <v>46197</v>
      </c>
      <c r="K13" s="46" t="n">
        <v>46249</v>
      </c>
      <c r="L13" s="46" t="n">
        <v>46143</v>
      </c>
      <c r="M13" s="46" t="n">
        <v>46144</v>
      </c>
      <c r="N13" s="46" t="n">
        <v>46143</v>
      </c>
      <c r="O13" s="46" t="n">
        <v>46118</v>
      </c>
      <c r="P13" s="46" t="n">
        <v>46118</v>
      </c>
      <c r="Q13" s="46" t="n">
        <v>46143</v>
      </c>
      <c r="R13" s="46" t="n">
        <v>46143</v>
      </c>
      <c r="S13" s="46" t="n">
        <v>46524</v>
      </c>
      <c r="T13" s="46" t="n">
        <v>46524</v>
      </c>
    </row>
    <row r="14">
      <c r="B14" s="46" t="n">
        <v>46249</v>
      </c>
      <c r="C14" s="46" t="n">
        <v>46249</v>
      </c>
      <c r="D14" s="46" t="n">
        <v>46273</v>
      </c>
      <c r="E14" s="46" t="n">
        <v>46143</v>
      </c>
      <c r="F14" s="46" t="n">
        <v>46249</v>
      </c>
      <c r="G14" s="46" t="n">
        <v>46249</v>
      </c>
      <c r="H14" s="46" t="n">
        <v>46249</v>
      </c>
      <c r="I14" s="46" t="n">
        <v>46177</v>
      </c>
      <c r="J14" s="46" t="n">
        <v>46249</v>
      </c>
      <c r="K14" s="46" t="n">
        <v>46273</v>
      </c>
      <c r="L14" s="46" t="n">
        <v>46197</v>
      </c>
      <c r="M14" s="46" t="n">
        <v>46249</v>
      </c>
      <c r="N14" s="46" t="n">
        <v>46182</v>
      </c>
      <c r="O14" s="46" t="n">
        <v>46143</v>
      </c>
      <c r="P14" s="46" t="n">
        <v>46143</v>
      </c>
      <c r="Q14" s="46" t="n">
        <v>46182</v>
      </c>
      <c r="R14" s="46" t="n">
        <v>46197</v>
      </c>
      <c r="S14" s="46" t="n">
        <v>46604</v>
      </c>
      <c r="T14" s="46" t="n">
        <v>46672</v>
      </c>
    </row>
    <row r="15">
      <c r="B15" s="46" t="n">
        <v>46307</v>
      </c>
      <c r="C15" s="46" t="n">
        <v>46307</v>
      </c>
      <c r="D15" s="46" t="n">
        <v>46307</v>
      </c>
      <c r="E15" s="46" t="n">
        <v>46249</v>
      </c>
      <c r="F15" s="46" t="n">
        <v>46307</v>
      </c>
      <c r="G15" s="46" t="n">
        <v>46280</v>
      </c>
      <c r="H15" s="46" t="n">
        <v>46307</v>
      </c>
      <c r="I15" s="46" t="n">
        <v>46249</v>
      </c>
      <c r="J15" s="46" t="n">
        <v>46276</v>
      </c>
      <c r="K15" s="46" t="n">
        <v>46307</v>
      </c>
      <c r="L15" s="46" t="n">
        <v>46228</v>
      </c>
      <c r="M15" s="46" t="n">
        <v>46307</v>
      </c>
      <c r="N15" s="46" t="n">
        <v>46249</v>
      </c>
      <c r="O15" s="46" t="n">
        <v>46249</v>
      </c>
      <c r="P15" s="46" t="n">
        <v>46228</v>
      </c>
      <c r="Q15" s="46" t="n">
        <v>46249</v>
      </c>
      <c r="R15" s="46" t="n">
        <v>46249</v>
      </c>
      <c r="S15" s="46" t="n">
        <v>46672</v>
      </c>
      <c r="T15" s="46" t="n">
        <v>46692</v>
      </c>
    </row>
    <row r="16">
      <c r="B16" s="46" t="n">
        <v>46328</v>
      </c>
      <c r="C16" s="46" t="n">
        <v>46328</v>
      </c>
      <c r="D16" s="46" t="n">
        <v>46328</v>
      </c>
      <c r="E16" s="46" t="n">
        <v>46307</v>
      </c>
      <c r="F16" s="46" t="n">
        <v>46328</v>
      </c>
      <c r="G16" s="46" t="n">
        <v>46307</v>
      </c>
      <c r="H16" s="46" t="n">
        <v>46328</v>
      </c>
      <c r="I16" s="46" t="n">
        <v>46307</v>
      </c>
      <c r="J16" s="46" t="n">
        <v>46307</v>
      </c>
      <c r="K16" s="46" t="n">
        <v>46328</v>
      </c>
      <c r="L16" s="46" t="n">
        <v>46249</v>
      </c>
      <c r="M16" s="46" t="n">
        <v>46328</v>
      </c>
      <c r="N16" s="46" t="n">
        <v>46307</v>
      </c>
      <c r="O16" s="46" t="n">
        <v>46307</v>
      </c>
      <c r="P16" s="46" t="n">
        <v>46249</v>
      </c>
      <c r="Q16" s="46" t="n">
        <v>46307</v>
      </c>
      <c r="R16" s="46" t="n">
        <v>46304</v>
      </c>
      <c r="S16" s="46" t="n">
        <v>46692</v>
      </c>
      <c r="T16" s="46" t="n">
        <v>46727</v>
      </c>
    </row>
    <row r="17">
      <c r="B17" s="46" t="n">
        <v>46363</v>
      </c>
      <c r="C17" s="46" t="n">
        <v>46363</v>
      </c>
      <c r="D17" s="46" t="n">
        <v>46363</v>
      </c>
      <c r="E17" s="46" t="n">
        <v>46364</v>
      </c>
      <c r="F17" s="46" t="n">
        <v>46364</v>
      </c>
      <c r="G17" s="46" t="n">
        <v>46363</v>
      </c>
      <c r="H17" s="46" t="n">
        <v>46363</v>
      </c>
      <c r="I17" s="46" t="n">
        <v>46328</v>
      </c>
      <c r="J17" s="46" t="n">
        <v>46364</v>
      </c>
      <c r="K17" s="46" t="n">
        <v>46363</v>
      </c>
      <c r="L17" s="46" t="n">
        <v>46307</v>
      </c>
      <c r="M17" s="46" t="n">
        <v>46363</v>
      </c>
      <c r="N17" s="46" t="n">
        <v>46363</v>
      </c>
      <c r="O17" s="46" t="n">
        <v>46359</v>
      </c>
      <c r="P17" s="46" t="n">
        <v>46307</v>
      </c>
      <c r="Q17" s="46" t="n">
        <v>46363</v>
      </c>
      <c r="R17" s="46" t="n">
        <v>46307</v>
      </c>
      <c r="S17" s="46" t="n">
        <v>46727</v>
      </c>
      <c r="T17" s="46" t="n">
        <v>46729</v>
      </c>
    </row>
    <row r="18">
      <c r="B18" s="46" t="n">
        <v>46364</v>
      </c>
      <c r="C18" s="46" t="n">
        <v>46364</v>
      </c>
      <c r="D18" s="46" t="n">
        <v>46364</v>
      </c>
      <c r="E18" s="46" t="n">
        <v>46381</v>
      </c>
      <c r="F18" s="46" t="n">
        <v>46381</v>
      </c>
      <c r="G18" s="46" t="n">
        <v>46364</v>
      </c>
      <c r="H18" s="46" t="n">
        <v>46364</v>
      </c>
      <c r="I18" s="46" t="n">
        <v>46364</v>
      </c>
      <c r="J18" s="46" t="n">
        <v>46381</v>
      </c>
      <c r="K18" s="46" t="n">
        <v>46364</v>
      </c>
      <c r="L18" s="46" t="n">
        <v>46364</v>
      </c>
      <c r="M18" s="46" t="n">
        <v>46364</v>
      </c>
      <c r="N18" s="46" t="n">
        <v>46364</v>
      </c>
      <c r="O18" s="46" t="n">
        <v>46364</v>
      </c>
      <c r="P18" s="46" t="n">
        <v>46364</v>
      </c>
      <c r="Q18" s="46" t="n">
        <v>46364</v>
      </c>
      <c r="R18" s="46" t="n">
        <v>46364</v>
      </c>
      <c r="S18" s="46" t="n">
        <v>46729</v>
      </c>
      <c r="T18" s="46" t="n">
        <v>46746</v>
      </c>
    </row>
    <row r="19">
      <c r="B19" s="46" t="n">
        <v>46381</v>
      </c>
      <c r="C19" s="46" t="n">
        <v>46381</v>
      </c>
      <c r="D19" s="46" t="n">
        <v>46381</v>
      </c>
      <c r="E19" s="46" t="n">
        <v>46388</v>
      </c>
      <c r="F19" s="46" t="n">
        <v>46388</v>
      </c>
      <c r="G19" s="46" t="n">
        <v>46381</v>
      </c>
      <c r="H19" s="46" t="n">
        <v>46381</v>
      </c>
      <c r="I19" s="46" t="n">
        <v>46381</v>
      </c>
      <c r="J19" s="46" t="n">
        <v>46382</v>
      </c>
      <c r="K19" s="46" t="n">
        <v>46381</v>
      </c>
      <c r="L19" s="46" t="n">
        <v>46381</v>
      </c>
      <c r="M19" s="46" t="n">
        <v>46381</v>
      </c>
      <c r="N19" s="46" t="n">
        <v>46381</v>
      </c>
      <c r="O19" s="46" t="n">
        <v>46381</v>
      </c>
      <c r="P19" s="46" t="n">
        <v>46381</v>
      </c>
      <c r="Q19" s="46" t="n">
        <v>46381</v>
      </c>
      <c r="R19" s="46" t="n">
        <v>46381</v>
      </c>
      <c r="S19" s="46" t="n">
        <v>46746</v>
      </c>
    </row>
    <row r="20">
      <c r="B20" s="46" t="n">
        <v>46388</v>
      </c>
      <c r="C20" s="46" t="n">
        <v>46388</v>
      </c>
      <c r="D20" s="46" t="n">
        <v>46388</v>
      </c>
      <c r="E20" s="46" t="n">
        <v>46393</v>
      </c>
      <c r="F20" s="46" t="n">
        <v>46393</v>
      </c>
      <c r="G20" s="46" t="n">
        <v>46388</v>
      </c>
      <c r="H20" s="46" t="n">
        <v>46388</v>
      </c>
      <c r="I20" s="46" t="n">
        <v>46388</v>
      </c>
      <c r="J20" s="46" t="n">
        <v>46388</v>
      </c>
      <c r="K20" s="46" t="n">
        <v>46388</v>
      </c>
      <c r="L20" s="46" t="n">
        <v>46388</v>
      </c>
      <c r="M20" s="46" t="n">
        <v>46388</v>
      </c>
      <c r="N20" s="46" t="n">
        <v>46388</v>
      </c>
      <c r="O20" s="46" t="n">
        <v>46388</v>
      </c>
      <c r="P20" s="46" t="n">
        <v>46388</v>
      </c>
      <c r="Q20" s="46" t="n">
        <v>46388</v>
      </c>
      <c r="R20" s="46" t="n">
        <v>46388</v>
      </c>
    </row>
    <row r="21">
      <c r="B21" s="46" t="n">
        <v>46393</v>
      </c>
      <c r="C21" s="46" t="n">
        <v>46393</v>
      </c>
      <c r="D21" s="46" t="n">
        <v>46393</v>
      </c>
      <c r="E21" s="46" t="n">
        <v>46447</v>
      </c>
      <c r="F21" s="46" t="n">
        <v>46471</v>
      </c>
      <c r="G21" s="46" t="n">
        <v>46393</v>
      </c>
      <c r="H21" s="46" t="n">
        <v>46393</v>
      </c>
      <c r="I21" s="46" t="n">
        <v>46393</v>
      </c>
      <c r="J21" s="46" t="n">
        <v>46393</v>
      </c>
      <c r="K21" s="46" t="n">
        <v>46393</v>
      </c>
      <c r="L21" s="46" t="n">
        <v>46393</v>
      </c>
      <c r="M21" s="46" t="n">
        <v>46393</v>
      </c>
      <c r="N21" s="46" t="n">
        <v>46393</v>
      </c>
      <c r="O21" s="46" t="n">
        <v>46393</v>
      </c>
      <c r="P21" s="46" t="n">
        <v>46393</v>
      </c>
      <c r="Q21" s="46" t="n">
        <v>46393</v>
      </c>
      <c r="R21" s="46" t="n">
        <v>46393</v>
      </c>
    </row>
    <row r="22">
      <c r="B22" s="46" t="n">
        <v>46447</v>
      </c>
      <c r="C22" s="46" t="n">
        <v>46471</v>
      </c>
      <c r="D22" s="46" t="n">
        <v>46471</v>
      </c>
      <c r="E22" s="46" t="n">
        <v>46471</v>
      </c>
      <c r="F22" s="46" t="n">
        <v>46472</v>
      </c>
      <c r="G22" s="46" t="n">
        <v>46471</v>
      </c>
      <c r="H22" s="46" t="n">
        <v>46471</v>
      </c>
      <c r="I22" s="46" t="n">
        <v>46471</v>
      </c>
      <c r="J22" s="46" t="n">
        <v>46472</v>
      </c>
      <c r="K22" s="46" t="n">
        <v>46471</v>
      </c>
      <c r="L22" s="46" t="n">
        <v>46465</v>
      </c>
      <c r="M22" s="46" t="n">
        <v>46465</v>
      </c>
      <c r="N22" s="46" t="n">
        <v>46465</v>
      </c>
      <c r="O22" s="46" t="n">
        <v>46471</v>
      </c>
      <c r="P22" s="46" t="n">
        <v>46471</v>
      </c>
      <c r="Q22" s="46" t="n">
        <v>46471</v>
      </c>
      <c r="R22" s="46" t="n">
        <v>46465</v>
      </c>
    </row>
    <row r="23">
      <c r="B23" s="46" t="n">
        <v>46471</v>
      </c>
      <c r="C23" s="46" t="n">
        <v>46472</v>
      </c>
      <c r="D23" s="46" t="n">
        <v>46472</v>
      </c>
      <c r="E23" s="46" t="n">
        <v>46472</v>
      </c>
      <c r="F23" s="46" t="n">
        <v>46508</v>
      </c>
      <c r="G23" s="46" t="n">
        <v>46472</v>
      </c>
      <c r="H23" s="46" t="n">
        <v>46472</v>
      </c>
      <c r="I23" s="46" t="n">
        <v>46472</v>
      </c>
      <c r="J23" s="46" t="n">
        <v>46475</v>
      </c>
      <c r="K23" s="46" t="n">
        <v>46472</v>
      </c>
      <c r="L23" s="46" t="n">
        <v>46471</v>
      </c>
      <c r="M23" s="46" t="n">
        <v>46471</v>
      </c>
      <c r="N23" s="46" t="n">
        <v>46471</v>
      </c>
      <c r="O23" s="46" t="n">
        <v>46472</v>
      </c>
      <c r="P23" s="46" t="n">
        <v>46472</v>
      </c>
      <c r="Q23" s="46" t="n">
        <v>46472</v>
      </c>
      <c r="R23" s="46" t="n">
        <v>46472</v>
      </c>
    </row>
    <row r="24">
      <c r="B24" s="46" t="n">
        <v>46472</v>
      </c>
      <c r="C24" s="46" t="n">
        <v>46500</v>
      </c>
      <c r="D24" s="46" t="n">
        <v>46508</v>
      </c>
      <c r="E24" s="46" t="n">
        <v>46475</v>
      </c>
      <c r="F24" s="46" t="n">
        <v>46537</v>
      </c>
      <c r="G24" s="46" t="n">
        <v>46508</v>
      </c>
      <c r="H24" s="46" t="n">
        <v>46500</v>
      </c>
      <c r="I24" s="46" t="n">
        <v>46508</v>
      </c>
      <c r="J24" s="46" t="n">
        <v>46508</v>
      </c>
      <c r="K24" s="46" t="n">
        <v>46508</v>
      </c>
      <c r="L24" s="46" t="n">
        <v>46472</v>
      </c>
      <c r="M24" s="46" t="n">
        <v>46472</v>
      </c>
      <c r="N24" s="46" t="n">
        <v>46472</v>
      </c>
      <c r="O24" s="46" t="n">
        <v>46475</v>
      </c>
      <c r="P24" s="46" t="n">
        <v>46475</v>
      </c>
      <c r="Q24" s="46" t="n">
        <v>46475</v>
      </c>
      <c r="R24" s="46" t="n">
        <v>46475</v>
      </c>
    </row>
    <row r="25">
      <c r="B25" s="46" t="n">
        <v>46508</v>
      </c>
      <c r="C25" s="46" t="n">
        <v>46508</v>
      </c>
      <c r="D25" s="46" t="n">
        <v>46615</v>
      </c>
      <c r="E25" s="46" t="n">
        <v>46508</v>
      </c>
      <c r="F25" s="46" t="n">
        <v>46615</v>
      </c>
      <c r="G25" s="46" t="n">
        <v>46596</v>
      </c>
      <c r="H25" s="46" t="n">
        <v>46508</v>
      </c>
      <c r="I25" s="46" t="n">
        <v>46534</v>
      </c>
      <c r="J25" s="46" t="n">
        <v>46562</v>
      </c>
      <c r="K25" s="46" t="n">
        <v>46638</v>
      </c>
      <c r="L25" s="46" t="n">
        <v>46508</v>
      </c>
      <c r="M25" s="46" t="n">
        <v>46508</v>
      </c>
      <c r="N25" s="46" t="n">
        <v>46508</v>
      </c>
      <c r="O25" s="46" t="n">
        <v>46508</v>
      </c>
      <c r="P25" s="46" t="n">
        <v>46508</v>
      </c>
      <c r="Q25" s="46" t="n">
        <v>46508</v>
      </c>
      <c r="R25" s="46" t="n">
        <v>46508</v>
      </c>
    </row>
    <row r="26">
      <c r="B26" s="46" t="n">
        <v>46615</v>
      </c>
      <c r="C26" s="46" t="n">
        <v>46615</v>
      </c>
      <c r="D26" s="46" t="n">
        <v>46638</v>
      </c>
      <c r="E26" s="46" t="n">
        <v>46672</v>
      </c>
      <c r="F26" s="46" t="n">
        <v>46672</v>
      </c>
      <c r="G26" s="46" t="n">
        <v>46645</v>
      </c>
      <c r="H26" s="46" t="n">
        <v>46615</v>
      </c>
      <c r="I26" s="46" t="n">
        <v>46538</v>
      </c>
      <c r="J26" s="46" t="n">
        <v>46641</v>
      </c>
      <c r="K26" s="46" t="n">
        <v>46671</v>
      </c>
      <c r="L26" s="46" t="n">
        <v>46524</v>
      </c>
      <c r="M26" s="46" t="n">
        <v>46615</v>
      </c>
      <c r="N26" s="46" t="n">
        <v>46547</v>
      </c>
      <c r="O26" s="46" t="n">
        <v>46672</v>
      </c>
      <c r="P26" s="46" t="n">
        <v>46667</v>
      </c>
      <c r="Q26" s="46" t="n">
        <v>46547</v>
      </c>
      <c r="R26" s="46" t="n">
        <v>46669</v>
      </c>
    </row>
    <row r="27">
      <c r="B27" s="46" t="n">
        <v>46672</v>
      </c>
      <c r="C27" s="46" t="n">
        <v>46672</v>
      </c>
      <c r="D27" s="46" t="n">
        <v>46672</v>
      </c>
      <c r="E27" s="46" t="n">
        <v>46692</v>
      </c>
      <c r="F27" s="46" t="n">
        <v>46692</v>
      </c>
      <c r="G27" s="46" t="n">
        <v>46672</v>
      </c>
      <c r="H27" s="46" t="n">
        <v>46672</v>
      </c>
      <c r="I27" s="46" t="n">
        <v>46672</v>
      </c>
      <c r="J27" s="46" t="n">
        <v>46672</v>
      </c>
      <c r="K27" s="46" t="n">
        <v>46672</v>
      </c>
      <c r="L27" s="46" t="n">
        <v>46672</v>
      </c>
      <c r="M27" s="46" t="n">
        <v>46672</v>
      </c>
      <c r="N27" s="46" t="n">
        <v>46672</v>
      </c>
      <c r="O27" s="46" t="n">
        <v>46692</v>
      </c>
      <c r="P27" s="46" t="n">
        <v>46672</v>
      </c>
      <c r="Q27" s="46" t="n">
        <v>46672</v>
      </c>
      <c r="R27" s="46" t="n">
        <v>46672</v>
      </c>
    </row>
    <row r="28">
      <c r="B28" s="46" t="n">
        <v>46692</v>
      </c>
      <c r="C28" s="46" t="n">
        <v>46692</v>
      </c>
      <c r="D28" s="46" t="n">
        <v>46692</v>
      </c>
      <c r="E28" s="46" t="n">
        <v>46727</v>
      </c>
      <c r="F28" s="46" t="n">
        <v>46727</v>
      </c>
      <c r="G28" s="46" t="n">
        <v>46692</v>
      </c>
      <c r="H28" s="46" t="n">
        <v>46692</v>
      </c>
      <c r="I28" s="46" t="n">
        <v>46692</v>
      </c>
      <c r="J28" s="46" t="n">
        <v>46692</v>
      </c>
      <c r="K28" s="46" t="n">
        <v>46692</v>
      </c>
      <c r="L28" s="46" t="n">
        <v>46692</v>
      </c>
      <c r="M28" s="46" t="n">
        <v>46692</v>
      </c>
      <c r="N28" s="46" t="n">
        <v>46692</v>
      </c>
      <c r="O28" s="46" t="n">
        <v>46724</v>
      </c>
      <c r="P28" s="46" t="n">
        <v>46692</v>
      </c>
      <c r="Q28" s="46" t="n">
        <v>46692</v>
      </c>
      <c r="R28" s="46" t="n">
        <v>46692</v>
      </c>
    </row>
    <row r="29">
      <c r="B29" s="46" t="n">
        <v>46727</v>
      </c>
      <c r="C29" s="46" t="n">
        <v>46727</v>
      </c>
      <c r="D29" s="46" t="n">
        <v>46727</v>
      </c>
      <c r="E29" s="46" t="n">
        <v>46729</v>
      </c>
      <c r="F29" s="46" t="n">
        <v>46729</v>
      </c>
      <c r="G29" s="46" t="n">
        <v>46727</v>
      </c>
      <c r="H29" s="46" t="n">
        <v>46727</v>
      </c>
      <c r="I29" s="46" t="n">
        <v>46727</v>
      </c>
      <c r="J29" s="46" t="n">
        <v>46727</v>
      </c>
      <c r="K29" s="46" t="n">
        <v>46727</v>
      </c>
      <c r="L29" s="46" t="n">
        <v>46727</v>
      </c>
      <c r="M29" s="46" t="n">
        <v>46727</v>
      </c>
      <c r="N29" s="46" t="n">
        <v>46727</v>
      </c>
      <c r="O29" s="46" t="n">
        <v>46727</v>
      </c>
      <c r="P29" s="46" t="n">
        <v>46727</v>
      </c>
      <c r="Q29" s="46" t="n">
        <v>46727</v>
      </c>
      <c r="R29" s="46" t="n">
        <v>46727</v>
      </c>
    </row>
    <row r="30">
      <c r="B30" s="46" t="n">
        <v>46729</v>
      </c>
      <c r="C30" s="46" t="n">
        <v>46729</v>
      </c>
      <c r="D30" s="46" t="n">
        <v>46729</v>
      </c>
      <c r="E30" s="46" t="n">
        <v>46746</v>
      </c>
      <c r="F30" s="46" t="n">
        <v>46746</v>
      </c>
      <c r="G30" s="46" t="n">
        <v>46729</v>
      </c>
      <c r="H30" s="46" t="n">
        <v>46729</v>
      </c>
      <c r="I30" s="46" t="n">
        <v>46729</v>
      </c>
      <c r="J30" s="46" t="n">
        <v>46729</v>
      </c>
      <c r="K30" s="46" t="n">
        <v>46729</v>
      </c>
      <c r="L30" s="46" t="n">
        <v>46729</v>
      </c>
      <c r="M30" s="46" t="n">
        <v>46729</v>
      </c>
      <c r="N30" s="46" t="n">
        <v>46729</v>
      </c>
      <c r="O30" s="46" t="n">
        <v>46729</v>
      </c>
      <c r="P30" s="46" t="n">
        <v>46729</v>
      </c>
      <c r="Q30" s="46" t="n">
        <v>46729</v>
      </c>
      <c r="R30" s="46" t="n">
        <v>46729</v>
      </c>
    </row>
    <row r="31">
      <c r="B31" s="46" t="n">
        <v>46746</v>
      </c>
      <c r="C31" s="46" t="n">
        <v>46746</v>
      </c>
      <c r="D31" s="46" t="n">
        <v>46746</v>
      </c>
      <c r="G31" s="46" t="n">
        <v>46746</v>
      </c>
      <c r="H31" s="46" t="n">
        <v>46746</v>
      </c>
      <c r="I31" s="46" t="n">
        <v>46746</v>
      </c>
      <c r="J31" s="46" t="n">
        <v>46746</v>
      </c>
      <c r="K31" s="46" t="n">
        <v>46746</v>
      </c>
      <c r="L31" s="46" t="n">
        <v>46746</v>
      </c>
      <c r="M31" s="46" t="n">
        <v>46746</v>
      </c>
      <c r="N31" s="46" t="n">
        <v>46746</v>
      </c>
      <c r="O31" s="46" t="n">
        <v>46746</v>
      </c>
      <c r="P31" s="46" t="n">
        <v>46746</v>
      </c>
      <c r="Q31" s="46" t="n">
        <v>46746</v>
      </c>
      <c r="R31" s="46" t="n">
        <v>46746</v>
      </c>
    </row>
    <row r="39">
      <c r="B39" s="12" t="inlineStr">
        <is>
          <t>Fuentes: Resolución de 17 de octubre de 2025, de la Dirección General de Trabajo, por la que se publica la relación de fiestas laborales para el año 2026 (BOE de 28 de octubre de 2025); Resolución de 8 de octubre de 2026, de la Dirección General de Trabajo, por la que se publica la relación de fiestas laborales para el año 2027 (BOE 13/10/2026, BOE-A-2026-21254)</t>
        </is>
      </c>
    </row>
  </sheetData>
  <sheetProtection selectLockedCells="0" selectUnlockedCells="0" sheet="1" objects="0" insertRows="1" insertHyperlinks="1" autoFilter="1" scenarios="0" formatColumns="0" deleteColumns="1" insertColumns="1" pivotTables="1" deleteRows="1" formatCells="1" formatRows="0" sort="1"/>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xl/worksheets/sheet9.xml><?xml version="1.0" encoding="utf-8"?>
<worksheet xmlns="http://schemas.openxmlformats.org/spreadsheetml/2006/main">
  <sheetPr>
    <tabColor rgb="004A5C54"/>
    <outlinePr summaryBelow="1" summaryRight="1"/>
    <pageSetUpPr fitToPage="1"/>
  </sheetPr>
  <dimension ref="A1:D22"/>
  <sheetViews>
    <sheetView showGridLines="0" tabSelected="0" zoomScale="100" workbookViewId="0">
      <selection activeCell="A1" sqref="A1"/>
    </sheetView>
  </sheetViews>
  <sheetFormatPr baseColWidth="8" defaultRowHeight="15"/>
  <cols>
    <col width="3" customWidth="1" min="1" max="1"/>
    <col width="46" customWidth="1" min="2" max="2"/>
    <col width="16" customWidth="1" min="3" max="3"/>
    <col width="58" customWidth="1" min="4" max="4"/>
    <col width="3" customWidth="1" min="5" max="5"/>
  </cols>
  <sheetData>
    <row r="1" ht="8" customHeight="1">
      <c r="A1" s="1" t="n"/>
      <c r="B1" s="1" t="n"/>
      <c r="C1" s="1" t="n"/>
      <c r="D1" s="1" t="n"/>
    </row>
    <row r="2" ht="34" customHeight="1">
      <c r="A2" s="1" t="n"/>
      <c r="B2" s="14" t="inlineStr">
        <is>
          <t>Parámetros</t>
        </is>
      </c>
      <c r="C2" s="1" t="n"/>
      <c r="D2" s="15" t="inlineStr">
        <is>
          <t>NetoClaro</t>
        </is>
      </c>
    </row>
    <row r="3" ht="20" customHeight="1">
      <c r="A3" s="1" t="n"/>
      <c r="B3" s="16" t="inlineStr">
        <is>
          <t>Cifras de params/es/2026/laboral.json a 2026-10-27.</t>
        </is>
      </c>
      <c r="C3" s="1" t="n"/>
      <c r="D3" s="1" t="n"/>
    </row>
    <row r="4" ht="4" customHeight="1">
      <c r="A4" s="6" t="n"/>
      <c r="B4" s="6" t="n"/>
      <c r="C4" s="6" t="n"/>
      <c r="D4" s="6" t="n"/>
    </row>
    <row r="6" ht="30" customHeight="1">
      <c r="B6" s="30" t="inlineStr">
        <is>
          <t>Concepto</t>
        </is>
      </c>
      <c r="C6" s="30" t="inlineStr">
        <is>
          <t>Valor</t>
        </is>
      </c>
      <c r="D6" s="30" t="inlineStr">
        <is>
          <t>Fuente oficial</t>
        </is>
      </c>
    </row>
    <row r="7" ht="22" customHeight="1">
      <c r="B7" s="17" t="inlineStr">
        <is>
          <t>Indemnización por despido (Estatuto de los Trabajadores)</t>
        </is>
      </c>
      <c r="C7" s="18" t="n"/>
      <c r="D7" s="18" t="n"/>
    </row>
    <row r="8" ht="24" customHeight="1">
      <c r="B8" s="52" t="inlineStr">
        <is>
          <t>Despido improcedente: días por año</t>
        </is>
      </c>
      <c r="C8" s="53" t="n">
        <v>33</v>
      </c>
      <c r="D8" s="54" t="inlineStr">
        <is>
          <t>Estatuto de los Trabajadores (RDLeg 2/2015), arts. 38, 49, 53, 56 y DT 11ª</t>
        </is>
      </c>
    </row>
    <row r="9" ht="24" customHeight="1">
      <c r="B9" s="52" t="inlineStr">
        <is>
          <t>Despido improcedente: tope en mensualidades</t>
        </is>
      </c>
      <c r="C9" s="53" t="n">
        <v>24</v>
      </c>
      <c r="D9" s="54" t="inlineStr">
        <is>
          <t>Estatuto de los Trabajadores (RDLeg 2/2015), arts. 38, 49, 53, 56 y DT 11ª</t>
        </is>
      </c>
    </row>
    <row r="10" ht="24" customHeight="1">
      <c r="B10" s="52" t="inlineStr">
        <is>
          <t>Tiempo anterior a la reforma de 2012: días por año</t>
        </is>
      </c>
      <c r="C10" s="53" t="n">
        <v>45</v>
      </c>
      <c r="D10" s="54" t="inlineStr">
        <is>
          <t>Estatuto de los Trabajadores (RDLeg 2/2015), arts. 38, 49, 53, 56 y DT 11ª</t>
        </is>
      </c>
    </row>
    <row r="11" ht="24" customHeight="1">
      <c r="B11" s="52" t="inlineStr">
        <is>
          <t>Tope máximo con tiempo anterior a 2012 (mensualidades)</t>
        </is>
      </c>
      <c r="C11" s="53" t="n">
        <v>42</v>
      </c>
      <c r="D11" s="54" t="inlineStr">
        <is>
          <t>Estatuto de los Trabajadores (RDLeg 2/2015), arts. 38, 49, 53, 56 y DT 11ª</t>
        </is>
      </c>
    </row>
    <row r="12" ht="24" customHeight="1">
      <c r="B12" s="52" t="inlineStr">
        <is>
          <t>Fecha de la reforma (RDL 3/2012)</t>
        </is>
      </c>
      <c r="C12" s="41" t="n">
        <v>40951</v>
      </c>
      <c r="D12" s="54" t="inlineStr">
        <is>
          <t>Estatuto de los Trabajadores (RDLeg 2/2015), arts. 38, 49, 53, 56 y DT 11ª, DT 11.ª</t>
        </is>
      </c>
    </row>
    <row r="13" ht="24" customHeight="1">
      <c r="B13" s="52" t="inlineStr">
        <is>
          <t>Despido objetivo o ERE: días por año</t>
        </is>
      </c>
      <c r="C13" s="53" t="n">
        <v>20</v>
      </c>
      <c r="D13" s="54" t="inlineStr">
        <is>
          <t>Estatuto de los Trabajadores (RDLeg 2/2015), arts. 38, 49, 53, 56 y DT 11ª</t>
        </is>
      </c>
    </row>
    <row r="14" ht="24" customHeight="1">
      <c r="B14" s="52" t="inlineStr">
        <is>
          <t>Despido objetivo: tope en mensualidades</t>
        </is>
      </c>
      <c r="C14" s="53" t="n">
        <v>12</v>
      </c>
      <c r="D14" s="54" t="inlineStr">
        <is>
          <t>Estatuto de los Trabajadores (RDLeg 2/2015), arts. 38, 49, 53, 56 y DT 11ª</t>
        </is>
      </c>
    </row>
    <row r="15" ht="24" customHeight="1">
      <c r="B15" s="52" t="inlineStr">
        <is>
          <t>Fin de contrato temporal: días por año</t>
        </is>
      </c>
      <c r="C15" s="53" t="n">
        <v>12</v>
      </c>
      <c r="D15" s="54" t="inlineStr">
        <is>
          <t>Estatuto de los Trabajadores (RDLeg 2/2015), arts. 38, 49, 53, 56 y DT 11ª</t>
        </is>
      </c>
    </row>
    <row r="16" ht="22" customHeight="1">
      <c r="B16" s="17" t="inlineStr">
        <is>
          <t>Vacaciones</t>
        </is>
      </c>
      <c r="C16" s="18" t="n"/>
      <c r="D16" s="18" t="n"/>
    </row>
    <row r="17" ht="16" customHeight="1">
      <c r="B17" s="52" t="inlineStr">
        <is>
          <t>Vacaciones mínimas al año (días naturales)</t>
        </is>
      </c>
      <c r="C17" s="53" t="n">
        <v>30</v>
      </c>
      <c r="D17" s="54" t="inlineStr">
        <is>
          <t>Estatuto de los Trabajadores, art. 38</t>
        </is>
      </c>
    </row>
    <row r="18" ht="22" customHeight="1">
      <c r="B18" s="17" t="inlineStr">
        <is>
          <t>Plazos</t>
        </is>
      </c>
      <c r="C18" s="18" t="n"/>
      <c r="D18" s="18" t="n"/>
    </row>
    <row r="19" ht="24" customHeight="1">
      <c r="B19" s="52" t="inlineStr">
        <is>
          <t>Caducidad de la acción de despido (días hábiles)</t>
        </is>
      </c>
      <c r="C19" s="53" t="n">
        <v>20</v>
      </c>
      <c r="D19" s="54" t="inlineStr">
        <is>
          <t>Estatuto de los Trabajadores, art. 59; Ley 36/2011 reguladora de la jurisdicción social, arts. 43, 63-65 y 103</t>
        </is>
      </c>
    </row>
    <row r="20" ht="24" customHeight="1">
      <c r="B20" s="52" t="inlineStr">
        <is>
          <t>Reclamación de cantidades (años)</t>
        </is>
      </c>
      <c r="C20" s="53" t="n">
        <v>1</v>
      </c>
      <c r="D20" s="54" t="inlineStr">
        <is>
          <t>Estatuto de los Trabajadores, art. 59; Ley 36/2011 reguladora de la jurisdicción social, arts. 43, 63-65 y 103</t>
        </is>
      </c>
    </row>
    <row r="21" ht="24" customHeight="1">
      <c r="B21" s="52" t="inlineStr">
        <is>
          <t>Si no hay conciliación en estos días, se puede seguir con la demanda</t>
        </is>
      </c>
      <c r="C21" s="53" t="n">
        <v>30</v>
      </c>
      <c r="D21" s="54" t="inlineStr">
        <is>
          <t>Estatuto de los Trabajadores, art. 59; Ley 36/2011 reguladora de la jurisdicción social, arts. 43, 63-65 y 103</t>
        </is>
      </c>
    </row>
    <row r="22" ht="16" customHeight="1">
      <c r="B22" s="52" t="inlineStr">
        <is>
          <t>Pedir el paro sin perder días (días hábiles)</t>
        </is>
      </c>
      <c r="C22" s="53" t="n">
        <v>15</v>
      </c>
      <c r="D22" s="54" t="inlineStr">
        <is>
          <t>Ley General de la Seguridad Social, art. 276</t>
        </is>
      </c>
    </row>
  </sheetData>
  <sheetProtection selectLockedCells="0" selectUnlockedCells="0" sheet="1" objects="0" insertRows="1" insertHyperlinks="1" autoFilter="1" scenarios="0" formatColumns="0" deleteColumns="1" insertColumns="1" pivotTables="1" deleteRows="1" formatCells="1" formatRows="0" sort="1"/>
  <hyperlinks>
    <hyperlink xmlns:r="http://schemas.openxmlformats.org/officeDocument/2006/relationships" ref="D8" r:id="rId1"/>
    <hyperlink xmlns:r="http://schemas.openxmlformats.org/officeDocument/2006/relationships" ref="D9" r:id="rId2"/>
    <hyperlink xmlns:r="http://schemas.openxmlformats.org/officeDocument/2006/relationships" ref="D10" r:id="rId3"/>
    <hyperlink xmlns:r="http://schemas.openxmlformats.org/officeDocument/2006/relationships" ref="D11" r:id="rId4"/>
    <hyperlink xmlns:r="http://schemas.openxmlformats.org/officeDocument/2006/relationships" ref="D12" r:id="rId5"/>
    <hyperlink xmlns:r="http://schemas.openxmlformats.org/officeDocument/2006/relationships" ref="D13" r:id="rId6"/>
    <hyperlink xmlns:r="http://schemas.openxmlformats.org/officeDocument/2006/relationships" ref="D14" r:id="rId7"/>
    <hyperlink xmlns:r="http://schemas.openxmlformats.org/officeDocument/2006/relationships" ref="D15" r:id="rId8"/>
    <hyperlink xmlns:r="http://schemas.openxmlformats.org/officeDocument/2006/relationships" ref="D17" r:id="rId9"/>
    <hyperlink xmlns:r="http://schemas.openxmlformats.org/officeDocument/2006/relationships" ref="D19" r:id="rId10"/>
    <hyperlink xmlns:r="http://schemas.openxmlformats.org/officeDocument/2006/relationships" ref="D20" r:id="rId11"/>
    <hyperlink xmlns:r="http://schemas.openxmlformats.org/officeDocument/2006/relationships" ref="D21" r:id="rId12"/>
    <hyperlink xmlns:r="http://schemas.openxmlformats.org/officeDocument/2006/relationships" ref="D22" r:id="rId13"/>
  </hyperlinks>
  <printOptions horizontalCentered="1"/>
  <pageMargins left="0.4" right="0.4" top="0.5" bottom="0.5" header="0.5" footer="0.5"/>
  <pageSetup orientation="landscape" paperSize="9" fitToHeight="0" fitToWidth="1"/>
  <headerFooter>
    <oddHeader/>
    <oddFooter>&amp;C&amp;8 NetoClaro · &amp;A ·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Familia Claro</dc:creator>
  <dcterms:created xmlns:dcterms="http://purl.org/dc/terms/" xmlns:xsi="http://www.w3.org/2001/XMLSchema-instance" xsi:type="dcterms:W3CDTF">2026-10-31T04:04:41Z</dcterms:created>
  <dcterms:modified xmlns:dcterms="http://purl.org/dc/terms/" xmlns:xsi="http://www.w3.org/2001/XMLSchema-instance" xsi:type="dcterms:W3CDTF">2026-10-31T04:04:41Z</dcterms:modified>
  <cp:lastModifiedBy>Familia Claro</cp:lastModifiedBy>
</cp:coreProperties>
</file>