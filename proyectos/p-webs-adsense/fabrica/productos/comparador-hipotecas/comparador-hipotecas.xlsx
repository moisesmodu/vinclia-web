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Comparativa" sheetId="3" state="visible" r:id="rId3"/>
    <sheet xmlns:r="http://schemas.openxmlformats.org/officeDocument/2006/relationships" name="Tu hipoteca" sheetId="4" state="visible" r:id="rId4"/>
    <sheet xmlns:r="http://schemas.openxmlformats.org/officeDocument/2006/relationships" name="Ofertas" sheetId="5" state="visible" r:id="rId5"/>
    <sheet xmlns:r="http://schemas.openxmlformats.org/officeDocument/2006/relationships" name="Escenarios Euríbor" sheetId="6" state="visible" r:id="rId6"/>
    <sheet xmlns:r="http://schemas.openxmlformats.org/officeDocument/2006/relationships" name="Amortizar antes" sheetId="7" state="visible" r:id="rId7"/>
    <sheet xmlns:r="http://schemas.openxmlformats.org/officeDocument/2006/relationships" name="Cuadro anual" sheetId="8" state="visible" r:id="rId8"/>
    <sheet xmlns:r="http://schemas.openxmlformats.org/officeDocument/2006/relationships" name="Cuadro mensual" sheetId="9" state="visible" r:id="rId9"/>
    <sheet xmlns:r="http://schemas.openxmlformats.org/officeDocument/2006/relationships" name="Parámetros" sheetId="10" state="visible" r:id="rId10"/>
  </sheets>
  <definedNames>
    <definedName name="EURIBOR_ULTIMO">'Parámetros'!$C$8</definedName>
    <definedName name="COM_FIJO_10">'Parámetros'!$C$10</definedName>
    <definedName name="COM_FIJO_RESTO">'Parámetros'!$C$11</definedName>
    <definedName name="COM_VAR_A">'Parámetros'!$C$12</definedName>
    <definedName name="COM_VAR_A_ANIOS">'Parámetros'!$C$13</definedName>
    <definedName name="COM_VAR_B">'Parámetros'!$C$14</definedName>
    <definedName name="COM_VAR_B_ANIOS">'Parámetros'!$C$15</definedName>
    <definedName name="COM_VAR_DESPUES">'Parámetros'!$C$16</definedName>
    <definedName name="ESFUERZO">'Parámetros'!$C$18</definedName>
    <definedName name="CAPITAL">'Tu hipoteca'!$C$8</definedName>
    <definedName name="PLAZO">'Tu hipoteca'!$C$9</definedName>
    <definedName name="EURIBOR_HOY">'Tu hipoteca'!$C$10</definedName>
    <definedName name="ESCENARIO">'Tu hipoteca'!$C$11</definedName>
    <definedName name="EURIBOR_PERS">'Tu hipoteca'!$C$12</definedName>
    <definedName name="INGRESOS">'Tu hipoteca'!$C$13</definedName>
    <definedName name="EURIBOR">'Tu hipoteca'!$C$15</definedName>
    <definedName name="MESES">'Tu hipoteca'!$C$16</definedName>
    <definedName name="OF_BANCO_1">'Ofertas'!$D$9</definedName>
    <definedName name="OF_BANCO_2">'Ofertas'!$E$9</definedName>
    <definedName name="OF_BANCO_3">'Ofertas'!$F$9</definedName>
    <definedName name="OF_BANCO_4">'Ofertas'!$G$9</definedName>
    <definedName name="OF_TIPO_1">'Ofertas'!$D$10</definedName>
    <definedName name="OF_TIPO_2">'Ofertas'!$E$10</definedName>
    <definedName name="OF_TIPO_3">'Ofertas'!$F$10</definedName>
    <definedName name="OF_TIPO_4">'Ofertas'!$G$10</definedName>
    <definedName name="OF_TIN_1">'Ofertas'!$D$11</definedName>
    <definedName name="OF_TIN_2">'Ofertas'!$E$11</definedName>
    <definedName name="OF_TIN_3">'Ofertas'!$F$11</definedName>
    <definedName name="OF_TIN_4">'Ofertas'!$G$11</definedName>
    <definedName name="OF_ANIOS_INI_1">'Ofertas'!$D$12</definedName>
    <definedName name="OF_ANIOS_INI_2">'Ofertas'!$E$12</definedName>
    <definedName name="OF_ANIOS_INI_3">'Ofertas'!$F$12</definedName>
    <definedName name="OF_ANIOS_INI_4">'Ofertas'!$G$12</definedName>
    <definedName name="OF_DIF_1">'Ofertas'!$D$13</definedName>
    <definedName name="OF_DIF_2">'Ofertas'!$E$13</definedName>
    <definedName name="OF_DIF_3">'Ofertas'!$F$13</definedName>
    <definedName name="OF_DIF_4">'Ofertas'!$G$13</definedName>
    <definedName name="OF_SIN_1">'Ofertas'!$D$14</definedName>
    <definedName name="OF_SIN_2">'Ofertas'!$E$14</definedName>
    <definedName name="OF_SIN_3">'Ofertas'!$F$14</definedName>
    <definedName name="OF_SIN_4">'Ofertas'!$G$14</definedName>
    <definedName name="OF_APERTURA_1">'Ofertas'!$D$15</definedName>
    <definedName name="OF_APERTURA_2">'Ofertas'!$E$15</definedName>
    <definedName name="OF_APERTURA_3">'Ofertas'!$F$15</definedName>
    <definedName name="OF_APERTURA_4">'Ofertas'!$G$15</definedName>
    <definedName name="OF_TASACION_1">'Ofertas'!$D$16</definedName>
    <definedName name="OF_TASACION_2">'Ofertas'!$E$16</definedName>
    <definedName name="OF_TASACION_3">'Ofertas'!$F$16</definedName>
    <definedName name="OF_TASACION_4">'Ofertas'!$G$16</definedName>
    <definedName name="OF_OTROS_1">'Ofertas'!$D$17</definedName>
    <definedName name="OF_OTROS_2">'Ofertas'!$E$17</definedName>
    <definedName name="OF_OTROS_3">'Ofertas'!$F$17</definedName>
    <definedName name="OF_OTROS_4">'Ofertas'!$G$17</definedName>
    <definedName name="OF_VIDA_1">'Ofertas'!$D$18</definedName>
    <definedName name="OF_VIDA_2">'Ofertas'!$E$18</definedName>
    <definedName name="OF_VIDA_3">'Ofertas'!$F$18</definedName>
    <definedName name="OF_VIDA_4">'Ofertas'!$G$18</definedName>
    <definedName name="OF_HOGAR_1">'Ofertas'!$D$19</definedName>
    <definedName name="OF_HOGAR_2">'Ofertas'!$E$19</definedName>
    <definedName name="OF_HOGAR_3">'Ofertas'!$F$19</definedName>
    <definedName name="OF_HOGAR_4">'Ofertas'!$G$19</definedName>
    <definedName name="OF_VINC_1">'Ofertas'!$D$20</definedName>
    <definedName name="OF_VINC_2">'Ofertas'!$E$20</definedName>
    <definedName name="OF_VINC_3">'Ofertas'!$F$20</definedName>
    <definedName name="OF_VINC_4">'Ofertas'!$G$20</definedName>
    <definedName name="OF_COMISION_1">'Ofertas'!$D$21</definedName>
    <definedName name="OF_COMISION_2">'Ofertas'!$E$21</definedName>
    <definedName name="OF_COMISION_3">'Ofertas'!$F$21</definedName>
    <definedName name="OF_COMISION_4">'Ofertas'!$G$21</definedName>
    <definedName name="CUOTA1_1">'Ofertas'!$D$24</definedName>
    <definedName name="CUOTA1_2">'Ofertas'!$E$24</definedName>
    <definedName name="CUOTA1_3">'Ofertas'!$F$24</definedName>
    <definedName name="CUOTA1_4">'Ofertas'!$G$24</definedName>
    <definedName name="CUOTA2_1">'Ofertas'!$D$25</definedName>
    <definedName name="CUOTA2_2">'Ofertas'!$E$25</definedName>
    <definedName name="CUOTA2_3">'Ofertas'!$F$25</definedName>
    <definedName name="CUOTA2_4">'Ofertas'!$G$25</definedName>
    <definedName name="VINCMES_1">'Ofertas'!$D$26</definedName>
    <definedName name="VINC_MES_1">'Ofertas'!$D$26</definedName>
    <definedName name="VINCMES_2">'Ofertas'!$E$26</definedName>
    <definedName name="VINC_MES_2">'Ofertas'!$E$26</definedName>
    <definedName name="VINCMES_3">'Ofertas'!$F$26</definedName>
    <definedName name="VINC_MES_3">'Ofertas'!$F$26</definedName>
    <definedName name="VINCMES_4">'Ofertas'!$G$26</definedName>
    <definedName name="VINC_MES_4">'Ofertas'!$G$26</definedName>
    <definedName name="GASTOS_1">'Ofertas'!$D$27</definedName>
    <definedName name="GASTOS_2">'Ofertas'!$E$27</definedName>
    <definedName name="GASTOS_3">'Ofertas'!$F$27</definedName>
    <definedName name="GASTOS_4">'Ofertas'!$G$27</definedName>
    <definedName name="INTERESES_1">'Ofertas'!$D$28</definedName>
    <definedName name="INTERESES_2">'Ofertas'!$E$28</definedName>
    <definedName name="INTERESES_3">'Ofertas'!$F$28</definedName>
    <definedName name="INTERESES_4">'Ofertas'!$G$28</definedName>
    <definedName name="VINCTOT_1">'Ofertas'!$D$29</definedName>
    <definedName name="VINC_TOT_1">'Ofertas'!$D$29</definedName>
    <definedName name="VINCTOT_2">'Ofertas'!$E$29</definedName>
    <definedName name="VINC_TOT_2">'Ofertas'!$E$29</definedName>
    <definedName name="VINCTOT_3">'Ofertas'!$F$29</definedName>
    <definedName name="VINC_TOT_3">'Ofertas'!$F$29</definedName>
    <definedName name="VINCTOT_4">'Ofertas'!$G$29</definedName>
    <definedName name="VINC_TOT_4">'Ofertas'!$G$29</definedName>
    <definedName name="COSTE_1">'Ofertas'!$D$30</definedName>
    <definedName name="COSTE_2">'Ofertas'!$E$30</definedName>
    <definedName name="COSTE_3">'Ofertas'!$F$30</definedName>
    <definedName name="COSTE_4">'Ofertas'!$G$30</definedName>
    <definedName name="TAE_1">'Ofertas'!$D$31</definedName>
    <definedName name="TAE_2">'Ofertas'!$E$31</definedName>
    <definedName name="TAE_3">'Ofertas'!$F$31</definedName>
    <definedName name="TAE_4">'Ofertas'!$G$31</definedName>
    <definedName name="SINBON_1">'Ofertas'!$D$32</definedName>
    <definedName name="SINBON_2">'Ofertas'!$E$32</definedName>
    <definedName name="SINBON_3">'Ofertas'!$F$32</definedName>
    <definedName name="SINBON_4">'Ofertas'!$G$32</definedName>
    <definedName name="COMPENSA_1">'Ofertas'!$D$33</definedName>
    <definedName name="COMPENSA_2">'Ofertas'!$E$33</definedName>
    <definedName name="COMPENSA_3">'Ofertas'!$F$33</definedName>
    <definedName name="COMPENSA_4">'Ofertas'!$G$33</definedName>
    <definedName name="ESFUERZO_1">'Ofertas'!$D$34</definedName>
    <definedName name="ESFUERZO_2">'Ofertas'!$E$34</definedName>
    <definedName name="ESFUERZO_3">'Ofertas'!$F$34</definedName>
    <definedName name="ESFUERZO_4">'Ofertas'!$G$34</definedName>
    <definedName name="RANK_1">'Ofertas'!$D$35</definedName>
    <definedName name="RANK_2">'Ofertas'!$E$35</definedName>
    <definedName name="RANK_3">'Ofertas'!$F$35</definedName>
    <definedName name="RANK_4">'Ofertas'!$G$35</definedName>
    <definedName name="RANK_RANGO">'Ofertas'!$D$30:$G$30</definedName>
    <definedName name="BANCO_OK_1">'Ofertas'!$D$36</definedName>
    <definedName name="BANCO_OK_2">'Ofertas'!$E$36</definedName>
    <definedName name="BANCO_OK_3">'Ofertas'!$F$36</definedName>
    <definedName name="BANCO_OK_4">'Ofertas'!$G$36</definedName>
    <definedName name="CM_ANIO">'Cuadro mensual'!$C$9:$C$488</definedName>
    <definedName name="CMES_TIN_1">'Cuadro mensual'!$D$9:$D$488</definedName>
    <definedName name="CMES_CUOTA_1">'Cuadro mensual'!$E$9:$E$488</definedName>
    <definedName name="CMES_INT_1">'Cuadro mensual'!$F$9:$F$488</definedName>
    <definedName name="CMES_CAP_1">'Cuadro mensual'!$G$9:$G$488</definedName>
    <definedName name="CMES_PEND_1">'Cuadro mensual'!$H$9:$H$488</definedName>
    <definedName name="CMES_TIN_2">'Cuadro mensual'!$J$9:$J$488</definedName>
    <definedName name="CMES_CUOTA_2">'Cuadro mensual'!$K$9:$K$488</definedName>
    <definedName name="CMES_INT_2">'Cuadro mensual'!$L$9:$L$488</definedName>
    <definedName name="CMES_CAP_2">'Cuadro mensual'!$M$9:$M$488</definedName>
    <definedName name="CMES_PEND_2">'Cuadro mensual'!$N$9:$N$488</definedName>
    <definedName name="CMES_TIN_3">'Cuadro mensual'!$P$9:$P$488</definedName>
    <definedName name="CMES_CUOTA_3">'Cuadro mensual'!$Q$9:$Q$488</definedName>
    <definedName name="CMES_INT_3">'Cuadro mensual'!$R$9:$R$488</definedName>
    <definedName name="CMES_CAP_3">'Cuadro mensual'!$S$9:$S$488</definedName>
    <definedName name="CMES_PEND_3">'Cuadro mensual'!$T$9:$T$488</definedName>
    <definedName name="CMES_TIN_4">'Cuadro mensual'!$V$9:$V$488</definedName>
    <definedName name="CMES_CUOTA_4">'Cuadro mensual'!$W$9:$W$488</definedName>
    <definedName name="CMES_INT_4">'Cuadro mensual'!$X$9:$X$488</definedName>
    <definedName name="CMES_CAP_4">'Cuadro mensual'!$Y$9:$Y$488</definedName>
    <definedName name="CMES_PEND_4">'Cuadro mensual'!$Z$9:$Z$488</definedName>
    <definedName name="AA_OFERTA">'Amortizar antes'!$C$8</definedName>
    <definedName name="AA_ANIO">'Amortizar antes'!$C$9</definedName>
    <definedName name="AA_IMPORTE">'Amortizar antes'!$C$10</definedName>
    <definedName name="AA_OPCION">'Amortizar antes'!$C$11</definedName>
    <definedName name="AA_PENDIENTE">'Amortizar antes'!$C$14</definedName>
    <definedName name="AA_TIN">'Amortizar antes'!$C$15</definedName>
    <definedName name="AA_N">'Amortizar antes'!$C$16</definedName>
    <definedName name="AA_TIPO">'Amortizar antes'!$C$17</definedName>
    <definedName name="AA_CUOTAANTES">'Amortizar antes'!$C$18</definedName>
    <definedName name="AA_INTANTES">'Amortizar antes'!$C$19</definedName>
    <definedName name="AA_NUEVO">'Amortizar antes'!$C$20</definedName>
    <definedName name="AA_CUOTACUOTA">'Amortizar antes'!$C$23</definedName>
    <definedName name="AA_INTCUOTA">'Amortizar antes'!$C$24</definedName>
    <definedName name="AA_AHORROCUOTA">'Amortizar antes'!$C$25</definedName>
    <definedName name="AA_MESESPLAZO">'Amortizar antes'!$C$28</definedName>
    <definedName name="AA_MESESMENOS">'Amortizar antes'!$C$29</definedName>
    <definedName name="AA_INTPLAZO">'Amortizar antes'!$C$30</definedName>
    <definedName name="AA_AHORROPLAZO">'Amortizar antes'!$C$31</definedName>
    <definedName name="AA_TOPEPCT">'Amortizar antes'!$C$34</definedName>
    <definedName name="AA_COMISION">'Amortizar antes'!$C$35</definedName>
    <definedName name="AA_NETO">'Amortizar antes'!$C$36</definedName>
    <definedName name="CA_OFERTA">'Cuadro anual'!$C$6</definedName>
    <definedName name="CA_INT_1">'Cuadro anual'!$F$9</definedName>
    <definedName name="CA_PEND_1">'Cuadro anual'!$H$9</definedName>
    <definedName name="CA_INT_10">'Cuadro anual'!$F$18</definedName>
    <definedName name="CA_PEND_10">'Cuadro anual'!$H$18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00"/>
    <numFmt numFmtId="165" formatCode="#,##0.00 &quot;€&quot;"/>
    <numFmt numFmtId="166" formatCode="#,##0 &quot;€&quot;"/>
    <numFmt numFmtId="167" formatCode="0.00&quot; %&quot;"/>
    <numFmt numFmtId="168" formatCode="0.0%"/>
    <numFmt numFmtId="169" formatCode="0&quot;º&quot;"/>
    <numFmt numFmtId="170" formatCode="+0.0;-0.0;0"/>
    <numFmt numFmtId="171" formatCode="0.000&quot; %&quot;"/>
  </numFmts>
  <fonts count="25">
    <font>
      <name val="Calibri"/>
      <family val="2"/>
      <color theme="1"/>
      <sz val="11"/>
      <scheme val="minor"/>
    </font>
    <font>
      <name val="Arial"/>
      <b val="1"/>
      <color rgb="00FFD166"/>
      <sz val="11"/>
    </font>
    <font>
      <name val="Arial"/>
      <b val="1"/>
      <color rgb="00FFFFFF"/>
      <sz val="26"/>
    </font>
    <font>
      <name val="Arial"/>
      <color rgb="009FD6DF"/>
      <sz val="12"/>
    </font>
    <font>
      <name val="Arial"/>
      <b val="1"/>
      <color rgb="00FFD166"/>
      <sz val="10"/>
    </font>
    <font>
      <name val="Arial"/>
      <b val="1"/>
      <color rgb="000A6E80"/>
      <sz val="13"/>
    </font>
    <font>
      <name val="Arial"/>
      <b val="1"/>
      <color rgb="00FFFFFF"/>
      <sz val="12"/>
    </font>
    <font>
      <name val="Arial"/>
      <color rgb="000B1F17"/>
      <sz val="10"/>
    </font>
    <font>
      <name val="Arial"/>
      <b val="1"/>
      <color rgb="000A6E80"/>
      <sz val="10"/>
      <u val="single"/>
    </font>
    <font>
      <name val="Arial"/>
      <color rgb="004A5A5E"/>
      <sz val="10"/>
    </font>
    <font>
      <name val="Arial"/>
      <color rgb="004A5A5E"/>
      <sz val="9"/>
    </font>
    <font>
      <name val="Arial"/>
      <b val="1"/>
      <color rgb="00FFFFFF"/>
      <sz val="18"/>
    </font>
    <font>
      <name val="Arial"/>
      <color rgb="0093D1DB"/>
      <sz val="10"/>
    </font>
    <font>
      <name val="Arial"/>
      <b val="1"/>
      <color rgb="000A6E80"/>
      <sz val="12"/>
    </font>
    <font>
      <name val="Arial"/>
      <b val="1"/>
      <color rgb="000E98B0"/>
      <sz val="10"/>
    </font>
    <font>
      <name val="Arial"/>
      <b val="1"/>
      <color rgb="00FFFFFF"/>
      <sz val="9"/>
    </font>
    <font>
      <name val="Arial"/>
      <color rgb="000A6E80"/>
      <sz val="8"/>
      <u val="single"/>
    </font>
    <font>
      <name val="Arial"/>
      <color rgb="004A5A5E"/>
      <sz val="8"/>
    </font>
    <font>
      <name val="Arial"/>
      <b val="1"/>
      <color rgb="001F3B57"/>
      <sz val="9"/>
    </font>
    <font>
      <name val="Arial"/>
      <b val="1"/>
      <color rgb="000B1F17"/>
      <sz val="10"/>
    </font>
    <font>
      <name val="Arial"/>
      <b val="1"/>
      <color rgb="001F3B57"/>
      <sz val="10"/>
    </font>
    <font>
      <name val="Arial"/>
      <i val="1"/>
      <color rgb="004A5A5E"/>
      <sz val="9"/>
    </font>
    <font>
      <name val="Arial"/>
      <color rgb="00BBBBBB"/>
      <sz val="10"/>
    </font>
    <font>
      <name val="Arial"/>
      <color rgb="00BBBBBB"/>
      <sz val="8"/>
    </font>
    <font>
      <name val="Arial"/>
      <b val="1"/>
      <color rgb="000A6E80"/>
      <sz val="10"/>
    </font>
  </fonts>
  <fills count="7">
    <fill>
      <patternFill/>
    </fill>
    <fill>
      <patternFill patternType="gray125"/>
    </fill>
    <fill>
      <patternFill patternType="solid">
        <fgColor rgb="00085766"/>
        <bgColor rgb="00085766"/>
      </patternFill>
    </fill>
    <fill>
      <patternFill patternType="solid">
        <fgColor rgb="000A6E80"/>
        <bgColor rgb="000A6E80"/>
      </patternFill>
    </fill>
    <fill>
      <patternFill patternType="solid">
        <fgColor rgb="000E98B0"/>
        <bgColor rgb="000E98B0"/>
      </patternFill>
    </fill>
    <fill>
      <patternFill patternType="solid">
        <fgColor rgb="00F0F7F8"/>
        <bgColor rgb="00F0F7F8"/>
      </patternFill>
    </fill>
    <fill>
      <patternFill patternType="solid">
        <fgColor rgb="00FFF2D4"/>
        <bgColor rgb="00FFF2D4"/>
      </patternFill>
    </fill>
  </fills>
  <borders count="9">
    <border>
      <left/>
      <right/>
      <top/>
      <bottom/>
      <diagonal/>
    </border>
    <border>
      <bottom style="medium">
        <color rgb="000E98B0"/>
      </bottom>
    </border>
    <border>
      <left style="thin">
        <color rgb="00D6E5E8"/>
      </left>
      <right style="thin">
        <color rgb="00D6E5E8"/>
      </right>
      <top style="thin">
        <color rgb="00D6E5E8"/>
      </top>
      <bottom style="thin">
        <color rgb="00D6E5E8"/>
      </bottom>
    </border>
    <border>
      <left style="thin">
        <color rgb="000E98B0"/>
      </left>
      <right style="thin">
        <color rgb="000E98B0"/>
      </right>
      <top style="thin">
        <color rgb="000E98B0"/>
      </top>
      <bottom style="thin">
        <color rgb="000E98B0"/>
      </bottom>
    </border>
    <border>
      <left style="medium">
        <color rgb="000A6E80"/>
      </left>
      <right style="medium">
        <color rgb="000A6E80"/>
      </right>
      <top style="medium">
        <color rgb="000A6E80"/>
      </top>
      <bottom style="medium">
        <color rgb="000A6E80"/>
      </bottom>
    </border>
    <border>
      <left/>
      <right/>
      <top style="thin">
        <color rgb="00D6E5E8"/>
      </top>
      <bottom/>
      <diagonal/>
    </border>
    <border>
      <left/>
      <right style="thin">
        <color rgb="00D6E5E8"/>
      </right>
      <top style="thin">
        <color rgb="00D6E5E8"/>
      </top>
      <bottom/>
      <diagonal/>
    </border>
    <border>
      <left/>
      <right/>
      <top style="thin">
        <color rgb="00D6E5E8"/>
      </top>
      <bottom style="thin">
        <color rgb="00D6E5E8"/>
      </bottom>
      <diagonal/>
    </border>
    <border>
      <left/>
      <right style="thin">
        <color rgb="00D6E5E8"/>
      </right>
      <top style="thin">
        <color rgb="00D6E5E8"/>
      </top>
      <bottom style="thin">
        <color rgb="00D6E5E8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0" fillId="3" borderId="0" pivotButton="0" quotePrefix="0" xfId="0"/>
    <xf numFmtId="0" fontId="5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right" vertical="center"/>
    </xf>
    <xf numFmtId="0" fontId="12" fillId="2" borderId="0" applyAlignment="1" pivotButton="0" quotePrefix="0" xfId="0">
      <alignment vertical="center"/>
    </xf>
    <xf numFmtId="0" fontId="13" fillId="5" borderId="1" applyAlignment="1" pivotButton="0" quotePrefix="0" xfId="0">
      <alignment vertical="center"/>
    </xf>
    <xf numFmtId="0" fontId="0" fillId="5" borderId="1" pivotButton="0" quotePrefix="0" xfId="0"/>
    <xf numFmtId="0" fontId="14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15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165" fontId="13" fillId="5" borderId="4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7" fontId="13" fillId="5" borderId="4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166" fontId="13" fillId="5" borderId="4" applyAlignment="1" pivotButton="0" quotePrefix="0" xfId="0">
      <alignment horizontal="right" vertical="center"/>
    </xf>
    <xf numFmtId="169" fontId="13" fillId="5" borderId="4" applyAlignment="1" pivotButton="0" quotePrefix="0" xfId="0">
      <alignment horizontal="right" vertical="center"/>
    </xf>
    <xf numFmtId="0" fontId="24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21" fillId="0" borderId="0" applyAlignment="1" pivotButton="0" quotePrefix="0" xfId="0">
      <alignment vertical="top" wrapText="1"/>
    </xf>
    <xf numFmtId="0" fontId="18" fillId="6" borderId="3" applyAlignment="1" pivotButton="0" quotePrefix="0" xfId="0">
      <alignment vertical="center"/>
    </xf>
    <xf numFmtId="165" fontId="20" fillId="6" borderId="3" applyAlignment="1" applyProtection="1" pivotButton="0" quotePrefix="0" xfId="0">
      <alignment horizontal="right" vertical="center"/>
      <protection locked="0" hidden="0"/>
    </xf>
    <xf numFmtId="0" fontId="20" fillId="6" borderId="3" applyAlignment="1" applyProtection="1" pivotButton="0" quotePrefix="0" xfId="0">
      <alignment horizontal="right" vertical="center"/>
      <protection locked="0" hidden="0"/>
    </xf>
    <xf numFmtId="164" fontId="20" fillId="6" borderId="3" applyAlignment="1" applyProtection="1" pivotButton="0" quotePrefix="0" xfId="0">
      <alignment horizontal="right" vertical="center"/>
      <protection locked="0" hidden="0"/>
    </xf>
    <xf numFmtId="0" fontId="20" fillId="6" borderId="3" applyAlignment="1" applyProtection="1" pivotButton="0" quotePrefix="0" xfId="0">
      <alignment horizontal="left" vertical="center"/>
      <protection locked="0" hidden="0"/>
    </xf>
    <xf numFmtId="164" fontId="13" fillId="5" borderId="4" applyAlignment="1" pivotButton="0" quotePrefix="0" xfId="0">
      <alignment horizontal="right" vertical="center"/>
    </xf>
    <xf numFmtId="1" fontId="7" fillId="0" borderId="2" applyAlignment="1" pivotButton="0" quotePrefix="0" xfId="0">
      <alignment horizontal="right" vertical="center"/>
    </xf>
    <xf numFmtId="0" fontId="20" fillId="6" borderId="3" applyAlignment="1" applyProtection="1" pivotButton="0" quotePrefix="0" xfId="0">
      <alignment horizontal="center" vertical="center"/>
      <protection locked="0" hidden="0"/>
    </xf>
    <xf numFmtId="2" fontId="20" fillId="6" borderId="3" applyAlignment="1" applyProtection="1" pivotButton="0" quotePrefix="0" xfId="0">
      <alignment horizontal="right" vertical="center"/>
      <protection locked="0" hidden="0"/>
    </xf>
    <xf numFmtId="1" fontId="20" fillId="6" borderId="3" applyAlignment="1" applyProtection="1" pivotButton="0" quotePrefix="0" xfId="0">
      <alignment horizontal="right" vertical="center"/>
      <protection locked="0" hidden="0"/>
    </xf>
    <xf numFmtId="166" fontId="20" fillId="6" borderId="3" applyAlignment="1" applyProtection="1" pivotButton="0" quotePrefix="0" xfId="0">
      <alignment horizontal="right" vertical="center"/>
      <protection locked="0" hidden="0"/>
    </xf>
    <xf numFmtId="0" fontId="7" fillId="0" borderId="2" applyAlignment="1" pivotButton="0" quotePrefix="0" xfId="0">
      <alignment horizontal="right" vertical="center"/>
    </xf>
    <xf numFmtId="168" fontId="7" fillId="0" borderId="2" applyAlignment="1" pivotButton="0" quotePrefix="0" xfId="0">
      <alignment horizontal="right" vertical="center"/>
    </xf>
    <xf numFmtId="0" fontId="23" fillId="0" borderId="0" applyAlignment="1" pivotButton="0" quotePrefix="0" xfId="0">
      <alignment vertical="center"/>
    </xf>
    <xf numFmtId="0" fontId="22" fillId="0" borderId="2" applyAlignment="1" pivotButton="0" quotePrefix="0" xfId="0">
      <alignment horizontal="center" vertical="center"/>
    </xf>
    <xf numFmtId="171" fontId="19" fillId="0" borderId="2" applyAlignment="1" pivotButton="0" quotePrefix="0" xfId="0">
      <alignment horizontal="right" vertical="center"/>
    </xf>
    <xf numFmtId="170" fontId="20" fillId="6" borderId="3" applyAlignment="1" applyProtection="1" pivotButton="0" quotePrefix="0" xfId="0">
      <alignment horizontal="right" vertical="center"/>
      <protection locked="0" hidden="0"/>
    </xf>
    <xf numFmtId="165" fontId="19" fillId="0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1" fontId="19" fillId="0" borderId="2" applyAlignment="1" pivotButton="0" quotePrefix="0" xfId="0">
      <alignment horizontal="right" vertical="center"/>
    </xf>
    <xf numFmtId="2" fontId="7" fillId="0" borderId="2" applyAlignment="1" pivotButton="0" quotePrefix="0" xfId="0">
      <alignment horizontal="right" vertical="center"/>
    </xf>
    <xf numFmtId="1" fontId="20" fillId="6" borderId="3" applyAlignment="1" applyProtection="1" pivotButton="0" quotePrefix="0" xfId="0">
      <alignment horizontal="center" vertical="center"/>
      <protection locked="0" hidden="0"/>
    </xf>
    <xf numFmtId="0" fontId="7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4" fontId="7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vertical="center" wrapText="1"/>
    </xf>
    <xf numFmtId="0" fontId="16" fillId="0" borderId="2" applyAlignment="1" pivotButton="0" quotePrefix="0" xfId="0">
      <alignment vertical="center" wrapText="1"/>
    </xf>
    <xf numFmtId="0" fontId="17" fillId="0" borderId="2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name val="Arial"/>
        <b val="1"/>
      </font>
      <fill>
        <patternFill patternType="solid">
          <fgColor rgb="00FFE6AB"/>
          <bgColor rgb="00FFE6AB"/>
        </patternFill>
      </fill>
    </dxf>
    <dxf>
      <font>
        <name val="Arial"/>
        <b val="1"/>
      </font>
      <fill>
        <patternFill patternType="solid">
          <fgColor rgb="00FFEDC2"/>
          <bgColor rgb="00FFED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Coste total de cada oferta (€)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0A6E80"/>
            </a:solidFill>
            <a:ln xmlns:a="http://schemas.openxmlformats.org/drawingml/2006/main">
              <a:solidFill>
                <a:srgbClr val="0A6E80"/>
              </a:solidFill>
              <a:prstDash val="solid"/>
            </a:ln>
          </spPr>
          <cat>
            <numRef>
              <f>'Comparativa'!$C$7:$F$7</f>
            </numRef>
          </cat>
          <val>
            <numRef>
              <f>'Comparativa'!$C$16:$F$16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21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mparativa'!A1" TargetMode="External" Id="rId1"/><Relationship Type="http://schemas.openxmlformats.org/officeDocument/2006/relationships/hyperlink" Target="#'Tu hipoteca'!A1" TargetMode="External" Id="rId2"/><Relationship Type="http://schemas.openxmlformats.org/officeDocument/2006/relationships/hyperlink" Target="#'Ofertas'!A1" TargetMode="External" Id="rId3"/><Relationship Type="http://schemas.openxmlformats.org/officeDocument/2006/relationships/hyperlink" Target="#'Escenarios Eur&#237;bor'!A1" TargetMode="External" Id="rId4"/><Relationship Type="http://schemas.openxmlformats.org/officeDocument/2006/relationships/hyperlink" Target="#'Amortizar antes'!A1" TargetMode="External" Id="rId5"/><Relationship Type="http://schemas.openxmlformats.org/officeDocument/2006/relationships/hyperlink" Target="#'Cuadro anual'!A1" TargetMode="External" Id="rId6"/><Relationship Type="http://schemas.openxmlformats.org/officeDocument/2006/relationships/hyperlink" Target="#'Cuadro mensual'!A1" TargetMode="External" Id="rId7"/><Relationship Type="http://schemas.openxmlformats.org/officeDocument/2006/relationships/hyperlink" Target="#'Par&#225;metros'!A1" TargetMode="External" Id="rId8"/><Relationship Type="http://schemas.openxmlformats.org/officeDocument/2006/relationships/hyperlink" Target="https://hogarclaro.vercel.app/comparador-hipotecas-excel/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bde.es/webbe/es/estadisticas/temas/tipos-interes.html" TargetMode="External" Id="rId1"/><Relationship Type="http://schemas.openxmlformats.org/officeDocument/2006/relationships/hyperlink" Target="https://www.boe.es/buscar/act.php?id=BOE-A-2019-3814" TargetMode="External" Id="rId2"/><Relationship Type="http://schemas.openxmlformats.org/officeDocument/2006/relationships/hyperlink" Target="https://www.boe.es/buscar/act.php?id=BOE-A-2019-3814" TargetMode="External" Id="rId3"/><Relationship Type="http://schemas.openxmlformats.org/officeDocument/2006/relationships/hyperlink" Target="https://www.boe.es/buscar/act.php?id=BOE-A-2019-3814" TargetMode="External" Id="rId4"/><Relationship Type="http://schemas.openxmlformats.org/officeDocument/2006/relationships/hyperlink" Target="https://www.boe.es/buscar/act.php?id=BOE-A-2019-3814" TargetMode="External" Id="rId5"/><Relationship Type="http://schemas.openxmlformats.org/officeDocument/2006/relationships/hyperlink" Target="https://www.boe.es/buscar/act.php?id=BOE-A-2019-3814" TargetMode="External" Id="rId6"/><Relationship Type="http://schemas.openxmlformats.org/officeDocument/2006/relationships/hyperlink" Target="https://www.boe.es/buscar/act.php?id=BOE-A-2019-3814" TargetMode="External" Id="rId7"/><Relationship Type="http://schemas.openxmlformats.org/officeDocument/2006/relationships/hyperlink" Target="https://www.boe.es/buscar/act.php?id=BOE-A-2019-3814" TargetMode="External" Id="rId8"/></Relationships>
</file>

<file path=xl/worksheets/sheet1.xml><?xml version="1.0" encoding="utf-8"?>
<worksheet xmlns="http://schemas.openxmlformats.org/spreadsheetml/2006/main">
  <sheetPr>
    <tabColor rgb="00FFD166"/>
    <outlinePr summaryBelow="1" summaryRight="1"/>
    <pageSetUpPr fitToPage="1"/>
  </sheetPr>
  <dimension ref="A1:E35"/>
  <sheetViews>
    <sheetView showGridLines="0" tabSelected="1" zoomScale="11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4" customWidth="1" min="3" max="3"/>
    <col width="60" customWidth="1" min="4" max="4"/>
    <col width="4" customWidth="1" min="5" max="5"/>
  </cols>
  <sheetData>
    <row r="1" ht="18" customHeight="1">
      <c r="A1" s="1" t="n"/>
      <c r="B1" s="1" t="n"/>
      <c r="C1" s="1" t="n"/>
      <c r="D1" s="1" t="n"/>
      <c r="E1" s="1" t="n"/>
    </row>
    <row r="2" ht="18" customHeight="1">
      <c r="A2" s="1" t="n"/>
      <c r="B2" s="1" t="n"/>
      <c r="C2" s="1" t="n"/>
      <c r="D2" s="1" t="n"/>
      <c r="E2" s="1" t="n"/>
    </row>
    <row r="3" ht="18" customHeight="1">
      <c r="A3" s="1" t="n"/>
      <c r="B3" s="1" t="n"/>
      <c r="C3" s="2" t="inlineStr">
        <is>
          <t>HOGARCLARO</t>
        </is>
      </c>
      <c r="D3" s="1" t="n"/>
      <c r="E3" s="1" t="n"/>
    </row>
    <row r="4" ht="18" customHeight="1">
      <c r="A4" s="1" t="n"/>
      <c r="B4" s="1" t="n"/>
      <c r="C4" s="1" t="n"/>
      <c r="D4" s="1" t="n"/>
      <c r="E4" s="1" t="n"/>
    </row>
    <row r="5" ht="40" customHeight="1">
      <c r="A5" s="1" t="n"/>
      <c r="B5" s="1" t="n"/>
      <c r="C5" s="3" t="inlineStr">
        <is>
          <t>Comparador de hipotecas para negociar</t>
        </is>
      </c>
      <c r="D5" s="1" t="n"/>
      <c r="E5" s="1" t="n"/>
    </row>
    <row r="6" ht="18" customHeight="1">
      <c r="A6" s="1" t="n"/>
      <c r="B6" s="1" t="n"/>
      <c r="C6" s="1" t="n"/>
      <c r="D6" s="1" t="n"/>
      <c r="E6" s="1" t="n"/>
    </row>
    <row r="7" ht="18" customHeight="1">
      <c r="A7" s="1" t="n"/>
      <c r="B7" s="1" t="n"/>
      <c r="C7" s="4" t="inlineStr">
        <is>
          <t>Pon hasta cuatro ofertas (FEIN) una al lado de otra y mira lo que de verdad te cuesta cada una: TAE con seguros, vinculaciones, escenarios de Euríbor y amortizar antes.</t>
        </is>
      </c>
      <c r="E7" s="1" t="n"/>
    </row>
    <row r="8" ht="18" customHeight="1">
      <c r="A8" s="1" t="n"/>
      <c r="B8" s="1" t="n"/>
      <c r="E8" s="1" t="n"/>
    </row>
    <row r="9" ht="18" customHeight="1">
      <c r="A9" s="1" t="n"/>
      <c r="B9" s="1" t="n"/>
      <c r="C9" s="1" t="n"/>
      <c r="D9" s="1" t="n"/>
      <c r="E9" s="1" t="n"/>
    </row>
    <row r="10" ht="18" customHeight="1">
      <c r="A10" s="1" t="n"/>
      <c r="B10" s="1" t="n"/>
      <c r="C10" s="5" t="inlineStr">
        <is>
          <t>Edición 2027 · Euríbor de septiembre de 2026: 3,247 %</t>
        </is>
      </c>
      <c r="D10" s="1" t="n"/>
      <c r="E10" s="1" t="n"/>
    </row>
    <row r="11" ht="18" customHeight="1">
      <c r="A11" s="1" t="n"/>
      <c r="B11" s="1" t="n"/>
      <c r="C11" s="1" t="n"/>
      <c r="D11" s="1" t="n"/>
      <c r="E11" s="1" t="n"/>
    </row>
    <row r="12" ht="6" customHeight="1">
      <c r="A12" s="6" t="n"/>
      <c r="B12" s="6" t="n"/>
      <c r="C12" s="6" t="n"/>
      <c r="D12" s="6" t="n"/>
      <c r="E12" s="6" t="n"/>
    </row>
    <row r="14">
      <c r="C14" s="7" t="inlineStr">
        <is>
          <t>Empieza en tres pasos</t>
        </is>
      </c>
    </row>
    <row r="15" ht="30" customHeight="1">
      <c r="B15" s="8" t="n">
        <v>1</v>
      </c>
      <c r="C15" s="9" t="inlineStr">
        <is>
          <t>En «Tu hipoteca» pon el importe, el plazo y el escenario de Euríbor.</t>
        </is>
      </c>
    </row>
    <row r="16" ht="30" customHeight="1">
      <c r="B16" s="8" t="n">
        <v>2</v>
      </c>
      <c r="C16" s="9" t="inlineStr">
        <is>
          <t>En «Ofertas» copia los datos de cada FEIN: tipo, TIN, diferencial, comisiones, seguros y productos vinculados.</t>
        </is>
      </c>
    </row>
    <row r="17" ht="30" customHeight="1">
      <c r="B17" s="8" t="n">
        <v>3</v>
      </c>
      <c r="C17" s="9" t="inlineStr">
        <is>
          <t>Mira «Comparativa»: coste total, TAE real y cuál conviene. Lleva al banco las preguntas del PDF.</t>
        </is>
      </c>
    </row>
    <row r="19">
      <c r="C19" s="7" t="inlineStr">
        <is>
          <t>Qué hay en este libro</t>
        </is>
      </c>
    </row>
    <row r="20" ht="18" customHeight="1">
      <c r="C20" s="10" t="inlineStr">
        <is>
          <t>→ Comparativa</t>
        </is>
      </c>
      <c r="D20" s="11" t="inlineStr">
        <is>
          <t>Las cuatro ofertas resumidas, ordenadas por coste total, con gráfico</t>
        </is>
      </c>
    </row>
    <row r="21" ht="18" customHeight="1">
      <c r="C21" s="10" t="inlineStr">
        <is>
          <t>→ Tu hipoteca</t>
        </is>
      </c>
      <c r="D21" s="11" t="inlineStr">
        <is>
          <t>Importe, plazo y escenario de Euríbor</t>
        </is>
      </c>
    </row>
    <row r="22" ht="18" customHeight="1">
      <c r="C22" s="10" t="inlineStr">
        <is>
          <t>→ Ofertas</t>
        </is>
      </c>
      <c r="D22" s="11" t="inlineStr">
        <is>
          <t>Los datos de cada FEIN y sus resultados</t>
        </is>
      </c>
    </row>
    <row r="23" ht="18" customHeight="1">
      <c r="C23" s="10" t="inlineStr">
        <is>
          <t>→ Escenarios Euríbor</t>
        </is>
      </c>
      <c r="D23" s="11" t="inlineStr">
        <is>
          <t>Cuánto pagarías si el Euríbor baja o sube</t>
        </is>
      </c>
    </row>
    <row r="24" ht="18" customHeight="1">
      <c r="C24" s="10" t="inlineStr">
        <is>
          <t>→ Amortizar antes</t>
        </is>
      </c>
      <c r="D24" s="11" t="inlineStr">
        <is>
          <t>Reducir cuota o plazo: ahorro y comisión legal</t>
        </is>
      </c>
    </row>
    <row r="25" ht="18" customHeight="1">
      <c r="C25" s="10" t="inlineStr">
        <is>
          <t>→ Cuadro anual</t>
        </is>
      </c>
      <c r="D25" s="11" t="inlineStr">
        <is>
          <t>Cuadro de amortización por años de la oferta que elijas</t>
        </is>
      </c>
    </row>
    <row r="26" ht="18" customHeight="1">
      <c r="C26" s="10" t="inlineStr">
        <is>
          <t>→ Cuadro mensual</t>
        </is>
      </c>
      <c r="D26" s="11" t="inlineStr">
        <is>
          <t>Mes a mes de las cuatro ofertas (lo usan las demás hojas)</t>
        </is>
      </c>
    </row>
    <row r="27" ht="18" customHeight="1">
      <c r="C27" s="10" t="inlineStr">
        <is>
          <t>→ Parámetros</t>
        </is>
      </c>
      <c r="D27" s="11" t="inlineStr">
        <is>
          <t>Euríbor y topes legales con su fuente</t>
        </is>
      </c>
    </row>
    <row r="29">
      <c r="C29" s="7" t="inlineStr">
        <is>
          <t>Antes de usarlo</t>
        </is>
      </c>
    </row>
    <row r="30" ht="30" customHeight="1">
      <c r="C30" s="12" t="inlineStr">
        <is>
          <t>Cálculo orientativo para comparar ofertas: la TAE oficial de la FEIN (Orden EHA/2899/2011) puede diferir unas centésimas. No es asesoramiento financiero.</t>
        </is>
      </c>
    </row>
    <row r="31" ht="30" customHeight="1">
      <c r="C31" s="12" t="inlineStr">
        <is>
          <t>El Euríbor por defecto es la media de septiembre de 2026 (3.247 %). Cámbialo o elige un escenario: nadie sabe cuánto valdrá.</t>
        </is>
      </c>
    </row>
    <row r="32" ht="30" customHeight="1">
      <c r="C32" s="12" t="inlineStr">
        <is>
          <t>Contenido preparado con ayuda de inteligencia artificial y revisado con las fuentes oficiales citadas (Ley 5/2019, Banco de España, BOE).</t>
        </is>
      </c>
    </row>
    <row r="33" ht="30" customHeight="1">
      <c r="C33" s="12" t="inlineStr">
        <is>
          <t>Funciona en Excel, LibreOffice y Google Sheets. Las hojas de cálculo están protegidas sin contraseña: Revisar → Desproteger hoja.</t>
        </is>
      </c>
    </row>
    <row r="35">
      <c r="C35" s="10" t="inlineStr">
        <is>
          <t>https://hogarclaro.vercel.app/comparador-hipotecas-excel/</t>
        </is>
      </c>
      <c r="D35" s="13" t="inlineStr">
        <is>
          <t>Contacto: hola@numimates.com</t>
        </is>
      </c>
    </row>
  </sheetData>
  <mergeCells count="8">
    <mergeCell ref="C32:D32"/>
    <mergeCell ref="C30:D30"/>
    <mergeCell ref="C16:D16"/>
    <mergeCell ref="C7:D8"/>
    <mergeCell ref="C15:D15"/>
    <mergeCell ref="C33:D33"/>
    <mergeCell ref="C31:D31"/>
    <mergeCell ref="C17:D17"/>
  </mergeCells>
  <hyperlinks>
    <hyperlink xmlns:r="http://schemas.openxmlformats.org/officeDocument/2006/relationships" ref="C20" r:id="rId1"/>
    <hyperlink xmlns:r="http://schemas.openxmlformats.org/officeDocument/2006/relationships" ref="C21" r:id="rId2"/>
    <hyperlink xmlns:r="http://schemas.openxmlformats.org/officeDocument/2006/relationships" ref="C22" r:id="rId3"/>
    <hyperlink xmlns:r="http://schemas.openxmlformats.org/officeDocument/2006/relationships" ref="C23" r:id="rId4"/>
    <hyperlink xmlns:r="http://schemas.openxmlformats.org/officeDocument/2006/relationships" ref="C24" r:id="rId5"/>
    <hyperlink xmlns:r="http://schemas.openxmlformats.org/officeDocument/2006/relationships" ref="C25" r:id="rId6"/>
    <hyperlink xmlns:r="http://schemas.openxmlformats.org/officeDocument/2006/relationships" ref="C26" r:id="rId7"/>
    <hyperlink xmlns:r="http://schemas.openxmlformats.org/officeDocument/2006/relationships" ref="C27" r:id="rId8"/>
    <hyperlink xmlns:r="http://schemas.openxmlformats.org/officeDocument/2006/relationships" ref="C35" r:id="rId9"/>
  </hyperlinks>
  <printOptions horizontalCentered="1"/>
  <pageMargins left="0.4" right="0.4" top="0.5" bottom="0.5" header="0.5" footer="0.5"/>
  <pageSetup orientation="landscape" paperSize="9" fitToHeight="0" fitToWidth="1"/>
  <headerFooter>
    <oddHeader/>
    <oddFooter>&amp;C&amp;8 HogarClaro · &amp;A ·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E98B0"/>
    <outlinePr summaryBelow="1" summaryRight="1"/>
    <pageSetUpPr fitToPage="1"/>
  </sheetPr>
  <dimension ref="A1:C26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110" customWidth="1" min="3" max="3"/>
  </cols>
  <sheetData>
    <row r="1" ht="8" customHeight="1">
      <c r="A1" s="1" t="n"/>
      <c r="B1" s="1" t="n"/>
      <c r="C1" s="1" t="n"/>
    </row>
    <row r="2" ht="34" customHeight="1">
      <c r="A2" s="1" t="n"/>
      <c r="B2" s="14" t="inlineStr">
        <is>
          <t>Cómo se usa el comparador</t>
        </is>
      </c>
      <c r="C2" s="15" t="inlineStr">
        <is>
          <t>HogarClaro</t>
        </is>
      </c>
    </row>
    <row r="3" ht="20" customHeight="1">
      <c r="A3" s="1" t="n"/>
      <c r="B3" s="16" t="inlineStr">
        <is>
          <t>Léelo una vez: son cinco minutos</t>
        </is>
      </c>
      <c r="C3" s="1" t="n"/>
    </row>
    <row r="4" ht="4" customHeight="1">
      <c r="A4" s="6" t="n"/>
      <c r="B4" s="6" t="n"/>
      <c r="C4" s="6" t="n"/>
    </row>
    <row r="6" ht="22" customHeight="1">
      <c r="B6" s="17" t="inlineStr">
        <is>
          <t>1. Pide la FEIN</t>
        </is>
      </c>
      <c r="C6" s="18" t="n"/>
    </row>
    <row r="7" ht="45" customHeight="1">
      <c r="B7" s="19" t="inlineStr">
        <is>
          <t>•</t>
        </is>
      </c>
      <c r="C7" s="20" t="inlineStr">
        <is>
          <t>La Ficha Europea de Información Normalizada es obligatoria y gratuita: el banco te la tiene que dar con las condiciones personalizadas y al menos 10 días naturales antes de firmar (Ley 5/2019, art. 14). Pídela a cada banco aunque solo estés comparando.</t>
        </is>
      </c>
    </row>
    <row r="8" ht="30" customHeight="1">
      <c r="B8" s="19" t="inlineStr">
        <is>
          <t>•</t>
        </is>
      </c>
      <c r="C8" s="20" t="inlineStr">
        <is>
          <t>De la FEIN necesitas: tipo de interés (TIN) con y sin bonificaciones, diferencial si es variable, años a tipo fijo si es mixta, comisiones, gastos de tasación y el precio de los seguros y productos que te exigen para bonificar.</t>
        </is>
      </c>
    </row>
    <row r="10" ht="22" customHeight="1">
      <c r="B10" s="17" t="inlineStr">
        <is>
          <t>2. Rellena las ofertas</t>
        </is>
      </c>
      <c r="C10" s="18" t="n"/>
    </row>
    <row r="11" ht="30" customHeight="1">
      <c r="B11" s="19" t="inlineStr">
        <is>
          <t>•</t>
        </is>
      </c>
      <c r="C11" s="20" t="inlineStr">
        <is>
          <t>Fija: el TIN de todo el plazo. Mixta: el TIN de los años fijos, cuántos años son y el diferencial sobre el Euríbor del resto. Variable: el tipo del primer año (pon 1 en años iniciales) y el diferencial.</t>
        </is>
      </c>
    </row>
    <row r="12" ht="30" customHeight="1">
      <c r="B12" s="19" t="inlineStr">
        <is>
          <t>•</t>
        </is>
      </c>
      <c r="C12" s="20" t="inlineStr">
        <is>
          <t>Seguros: el precio anual de vida y hogar si los contratas con el banco para bonificar. Otros vinculados: lo que cuestan al mes la cuenta, la tarjeta, el plan de pensiones o la nómina que te piden.</t>
        </is>
      </c>
    </row>
    <row r="13" ht="15" customHeight="1">
      <c r="B13" s="19" t="inlineStr">
        <is>
          <t>•</t>
        </is>
      </c>
      <c r="C13" s="20" t="inlineStr">
        <is>
          <t>TIN o diferencial sin bonificar: el que tendrías sin contratar nada. El comparador te dice si bonificarte compensa.</t>
        </is>
      </c>
    </row>
    <row r="15" ht="22" customHeight="1">
      <c r="B15" s="17" t="inlineStr">
        <is>
          <t>3. Lee los resultados</t>
        </is>
      </c>
      <c r="C15" s="18" t="n"/>
    </row>
    <row r="16" ht="30" customHeight="1">
      <c r="B16" s="19" t="inlineStr">
        <is>
          <t>•</t>
        </is>
      </c>
      <c r="C16" s="20" t="inlineStr">
        <is>
          <t>Coste total = intereses + seguros y vinculaciones + gastos iniciales. Es la cifra para comparar. La TAE aproximada incluye las vinculaciones que pongas, así que puede ser más alta que la de la FEIN.</t>
        </is>
      </c>
    </row>
    <row r="17" ht="30" customHeight="1">
      <c r="B17" s="19" t="inlineStr">
        <is>
          <t>•</t>
        </is>
      </c>
      <c r="C17" s="20" t="inlineStr">
        <is>
          <t>En las variables y mixtas, la cuota después del periodo inicial depende del Euríbor: mira «Escenarios Euríbor» para ver cuánto subiría.</t>
        </is>
      </c>
    </row>
    <row r="19" ht="22" customHeight="1">
      <c r="B19" s="17" t="inlineStr">
        <is>
          <t>4. Amortizar antes</t>
        </is>
      </c>
      <c r="C19" s="18" t="n"/>
    </row>
    <row r="20" ht="30" customHeight="1">
      <c r="B20" s="19" t="inlineStr">
        <is>
          <t>•</t>
        </is>
      </c>
      <c r="C20" s="20" t="inlineStr">
        <is>
          <t>En «Amortizar antes» elige la oferta, el año y el importe: verás cuánto ahorras reduciendo cuota o plazo y la comisión máxima que permite la ley.</t>
        </is>
      </c>
    </row>
    <row r="22" ht="22" customHeight="1">
      <c r="B22" s="17" t="inlineStr">
        <is>
          <t>Qué no hace</t>
        </is>
      </c>
      <c r="C22" s="18" t="n"/>
    </row>
    <row r="23" ht="45" customHeight="1">
      <c r="B23" s="19" t="inlineStr">
        <is>
          <t>•</t>
        </is>
      </c>
      <c r="C23" s="20" t="inlineStr">
        <is>
          <t>No incluye la subida de las primas con la edad, la revisión de los seguros ni los cambios de condiciones a mitad del préstamo. Cálculo orientativo para comparar ofertas: la TAE oficial de la FEIN (Orden EHA/2899/2011) puede diferir unas centésimas. No es asesoramiento financiero.</t>
        </is>
      </c>
    </row>
    <row r="25" ht="22" customHeight="1">
      <c r="B25" s="17" t="inlineStr">
        <is>
          <t>Ayuda</t>
        </is>
      </c>
      <c r="C25" s="18" t="n"/>
    </row>
    <row r="26" ht="15" customHeight="1">
      <c r="B26" s="19" t="inlineStr">
        <is>
          <t>•</t>
        </is>
      </c>
      <c r="C26" s="20" t="inlineStr">
        <is>
          <t>¿Algo no cuadra? Escribe a hola@numimates.com.</t>
        </is>
      </c>
    </row>
  </sheetData>
  <printOptions horizontalCentered="1"/>
  <pageMargins left="0.4" right="0.4" top="0.5" bottom="0.5" header="0.5" footer="0.5"/>
  <pageSetup orientation="landscape" paperSize="9" fitToHeight="0" fitToWidth="1"/>
  <headerFooter>
    <oddHeader/>
    <oddFooter>&amp;C&amp;8 HogarClaro · &amp;A ·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166"/>
    <outlinePr summaryBelow="1" summaryRight="1"/>
    <pageSetUpPr fitToPage="1"/>
  </sheetPr>
  <dimension ref="A1:F38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</row>
    <row r="2" ht="34" customHeight="1">
      <c r="A2" s="1" t="n"/>
      <c r="B2" s="14" t="inlineStr">
        <is>
          <t>Comparativa</t>
        </is>
      </c>
      <c r="C2" s="1" t="n"/>
      <c r="D2" s="1" t="n"/>
      <c r="E2" s="1" t="n"/>
      <c r="F2" s="15" t="inlineStr">
        <is>
          <t>HogarClaro</t>
        </is>
      </c>
    </row>
    <row r="3" ht="20" customHeight="1">
      <c r="A3" s="1" t="n"/>
      <c r="B3" s="16">
        <f>"Préstamo de "&amp;FIXED(CAPITAL,0)&amp;" € a "&amp;PLAZO&amp;" años · Euríbor "&amp;EURIBOR&amp;" %"</f>
        <v/>
      </c>
      <c r="C3" s="1" t="n"/>
      <c r="D3" s="1" t="n"/>
      <c r="E3" s="1" t="n"/>
      <c r="F3" s="1" t="n"/>
    </row>
    <row r="4" ht="4" customHeight="1">
      <c r="A4" s="6" t="n"/>
      <c r="B4" s="6" t="n"/>
      <c r="C4" s="6" t="n"/>
      <c r="D4" s="6" t="n"/>
      <c r="E4" s="6" t="n"/>
      <c r="F4" s="6" t="n"/>
    </row>
    <row r="7" ht="30" customHeight="1">
      <c r="B7" s="21" t="inlineStr"/>
      <c r="C7" s="21">
        <f>IF(OF_BANCO_1="","Oferta 1",OF_BANCO_1)</f>
        <v/>
      </c>
      <c r="D7" s="21">
        <f>IF(OF_BANCO_2="","Oferta 2",OF_BANCO_2)</f>
        <v/>
      </c>
      <c r="E7" s="21">
        <f>IF(OF_BANCO_3="","Oferta 3",OF_BANCO_3)</f>
        <v/>
      </c>
      <c r="F7" s="21">
        <f>IF(OF_BANCO_4="","Oferta 4",OF_BANCO_4)</f>
        <v/>
      </c>
    </row>
    <row r="8" ht="30" customHeight="1">
      <c r="B8" s="9" t="inlineStr">
        <is>
          <t>Tipo</t>
        </is>
      </c>
      <c r="C8" s="22">
        <f>IF(BANCO_OK_1,OF_TIPO_1&amp;IF(OF_TIPO_1="Fija"," "&amp;OF_TIN_1&amp;" %"," · "&amp;OF_ANIOS_INI_1&amp;IF(OF_ANIOS_INI_1=1," año"," años")&amp;" + Euríbor + "&amp;OF_DIF_1),"")</f>
        <v/>
      </c>
      <c r="D8" s="22">
        <f>IF(BANCO_OK_2,OF_TIPO_2&amp;IF(OF_TIPO_2="Fija"," "&amp;OF_TIN_2&amp;" %"," · "&amp;OF_ANIOS_INI_2&amp;IF(OF_ANIOS_INI_2=1," año"," años")&amp;" + Euríbor + "&amp;OF_DIF_2),"")</f>
        <v/>
      </c>
      <c r="E8" s="22">
        <f>IF(BANCO_OK_3,OF_TIPO_3&amp;IF(OF_TIPO_3="Fija"," "&amp;OF_TIN_3&amp;" %"," · "&amp;OF_ANIOS_INI_3&amp;IF(OF_ANIOS_INI_3=1," año"," años")&amp;" + Euríbor + "&amp;OF_DIF_3),"")</f>
        <v/>
      </c>
      <c r="F8" s="22">
        <f>IF(BANCO_OK_4,OF_TIPO_4&amp;IF(OF_TIPO_4="Fija"," "&amp;OF_TIN_4&amp;" %"," · "&amp;OF_ANIOS_INI_4&amp;IF(OF_ANIOS_INI_4=1," año"," años")&amp;" + Euríbor + "&amp;OF_DIF_4),"")</f>
        <v/>
      </c>
    </row>
    <row r="9">
      <c r="B9" s="23" t="inlineStr">
        <is>
          <t>Cuota inicial</t>
        </is>
      </c>
      <c r="C9" s="24">
        <f>CUOTA1_1</f>
        <v/>
      </c>
      <c r="D9" s="24">
        <f>CUOTA1_2</f>
        <v/>
      </c>
      <c r="E9" s="24">
        <f>CUOTA1_3</f>
        <v/>
      </c>
      <c r="F9" s="24">
        <f>CUOTA1_4</f>
        <v/>
      </c>
    </row>
    <row r="10">
      <c r="B10" s="9" t="inlineStr">
        <is>
          <t>Cuota después del periodo inicial</t>
        </is>
      </c>
      <c r="C10" s="25">
        <f>CUOTA2_1</f>
        <v/>
      </c>
      <c r="D10" s="25">
        <f>CUOTA2_2</f>
        <v/>
      </c>
      <c r="E10" s="25">
        <f>CUOTA2_3</f>
        <v/>
      </c>
      <c r="F10" s="25">
        <f>CUOTA2_4</f>
        <v/>
      </c>
    </row>
    <row r="11">
      <c r="B11" s="9" t="inlineStr">
        <is>
          <t>Seguros y vinculados al mes</t>
        </is>
      </c>
      <c r="C11" s="25">
        <f>VINCMES_1</f>
        <v/>
      </c>
      <c r="D11" s="25">
        <f>VINCMES_2</f>
        <v/>
      </c>
      <c r="E11" s="25">
        <f>VINCMES_3</f>
        <v/>
      </c>
      <c r="F11" s="25">
        <f>VINCMES_4</f>
        <v/>
      </c>
    </row>
    <row r="12">
      <c r="B12" s="23" t="inlineStr">
        <is>
          <t>TAE aproximada (con vinculaciones)</t>
        </is>
      </c>
      <c r="C12" s="26">
        <f>TAE_1</f>
        <v/>
      </c>
      <c r="D12" s="26">
        <f>TAE_2</f>
        <v/>
      </c>
      <c r="E12" s="26">
        <f>TAE_3</f>
        <v/>
      </c>
      <c r="F12" s="26">
        <f>TAE_4</f>
        <v/>
      </c>
    </row>
    <row r="13">
      <c r="B13" s="9" t="inlineStr">
        <is>
          <t>Intereses totales</t>
        </is>
      </c>
      <c r="C13" s="27">
        <f>INTERESES_1</f>
        <v/>
      </c>
      <c r="D13" s="27">
        <f>INTERESES_2</f>
        <v/>
      </c>
      <c r="E13" s="27">
        <f>INTERESES_3</f>
        <v/>
      </c>
      <c r="F13" s="27">
        <f>INTERESES_4</f>
        <v/>
      </c>
    </row>
    <row r="14">
      <c r="B14" s="9" t="inlineStr">
        <is>
          <t>Vinculaciones totales</t>
        </is>
      </c>
      <c r="C14" s="27">
        <f>VINCTOT_1</f>
        <v/>
      </c>
      <c r="D14" s="27">
        <f>VINCTOT_2</f>
        <v/>
      </c>
      <c r="E14" s="27">
        <f>VINCTOT_3</f>
        <v/>
      </c>
      <c r="F14" s="27">
        <f>VINCTOT_4</f>
        <v/>
      </c>
    </row>
    <row r="15">
      <c r="B15" s="9" t="inlineStr">
        <is>
          <t>Gastos iniciales</t>
        </is>
      </c>
      <c r="C15" s="27">
        <f>GASTOS_1</f>
        <v/>
      </c>
      <c r="D15" s="27">
        <f>GASTOS_2</f>
        <v/>
      </c>
      <c r="E15" s="27">
        <f>GASTOS_3</f>
        <v/>
      </c>
      <c r="F15" s="27">
        <f>GASTOS_4</f>
        <v/>
      </c>
    </row>
    <row r="16">
      <c r="B16" s="23" t="inlineStr">
        <is>
          <t>COSTE TOTAL</t>
        </is>
      </c>
      <c r="C16" s="28">
        <f>COSTE_1</f>
        <v/>
      </c>
      <c r="D16" s="28">
        <f>COSTE_2</f>
        <v/>
      </c>
      <c r="E16" s="28">
        <f>COSTE_3</f>
        <v/>
      </c>
      <c r="F16" s="28">
        <f>COSTE_4</f>
        <v/>
      </c>
    </row>
    <row r="17" ht="30" customHeight="1">
      <c r="B17" s="9" t="inlineStr">
        <is>
          <t>¿Compensa bonificarte?</t>
        </is>
      </c>
      <c r="C17" s="22">
        <f>COMPENSA_1</f>
        <v/>
      </c>
      <c r="D17" s="22">
        <f>COMPENSA_2</f>
        <v/>
      </c>
      <c r="E17" s="22">
        <f>COMPENSA_3</f>
        <v/>
      </c>
      <c r="F17" s="22">
        <f>COMPENSA_4</f>
        <v/>
      </c>
    </row>
    <row r="18">
      <c r="B18" s="23" t="inlineStr">
        <is>
          <t>Posición</t>
        </is>
      </c>
      <c r="C18" s="29">
        <f>RANK_1</f>
        <v/>
      </c>
      <c r="D18" s="29">
        <f>RANK_2</f>
        <v/>
      </c>
      <c r="E18" s="29">
        <f>RANK_3</f>
        <v/>
      </c>
      <c r="F18" s="29">
        <f>RANK_4</f>
        <v/>
      </c>
    </row>
    <row r="20">
      <c r="B20" s="30">
        <f>IF(COUNT(C16:F16)&lt;2,"Rellena al menos dos ofertas para compararlas.","La más barata en todo el plazo es "&amp;INDEX(C7:F7,MATCH(MIN(C16:F16),C16:F16,0))&amp;": "&amp;FIXED(MIN(C16:F16),0)&amp;" € de coste total.")</f>
        <v/>
      </c>
      <c r="C20" s="31" t="n"/>
      <c r="D20" s="31" t="n"/>
      <c r="E20" s="31" t="n"/>
      <c r="F20" s="32" t="n"/>
    </row>
    <row r="38">
      <c r="B38" s="33" t="inlineStr">
        <is>
          <t>Cálculo orientativo para comparar ofertas: la TAE oficial de la FEIN (Orden EHA/2899/2011) puede diferir unas centésimas. No es asesoramiento financiero.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B20:F20"/>
    <mergeCell ref="B38:F38"/>
  </mergeCells>
  <conditionalFormatting sqref="C16:F16">
    <cfRule type="expression" priority="1" dxfId="0">
      <formula>AND(ISNUMBER(C16),C16=MIN($C16:$F16))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&amp;C&amp;8 HogarClaro · &amp;A · &amp;P/&amp;N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FD166"/>
    <outlinePr summaryBelow="1" summaryRight="1"/>
    <pageSetUpPr fitToPage="1"/>
  </sheetPr>
  <dimension ref="A1:D18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22" customWidth="1" min="3" max="3"/>
    <col width="66" customWidth="1" min="4" max="4"/>
  </cols>
  <sheetData>
    <row r="1" ht="8" customHeight="1">
      <c r="A1" s="1" t="n"/>
      <c r="B1" s="1" t="n"/>
      <c r="C1" s="1" t="n"/>
      <c r="D1" s="1" t="n"/>
    </row>
    <row r="2" ht="34" customHeight="1">
      <c r="A2" s="1" t="n"/>
      <c r="B2" s="14" t="inlineStr">
        <is>
          <t>Tu hipoteca</t>
        </is>
      </c>
      <c r="C2" s="1" t="n"/>
      <c r="D2" s="15" t="inlineStr">
        <is>
          <t>HogarClaro</t>
        </is>
      </c>
    </row>
    <row r="3" ht="20" customHeight="1">
      <c r="A3" s="1" t="n"/>
      <c r="B3" s="16" t="inlineStr">
        <is>
          <t>Lo común a todas las ofertas</t>
        </is>
      </c>
      <c r="C3" s="1" t="n"/>
      <c r="D3" s="1" t="n"/>
    </row>
    <row r="4" ht="4" customHeight="1">
      <c r="A4" s="6" t="n"/>
      <c r="B4" s="6" t="n"/>
      <c r="C4" s="6" t="n"/>
      <c r="D4" s="6" t="n"/>
    </row>
    <row r="6" ht="20" customHeight="1">
      <c r="B6" s="34" t="inlineStr">
        <is>
          <t>✎  Las celdas amarillas las rellenas tú; el resto se calcula solo.</t>
        </is>
      </c>
    </row>
    <row r="8" ht="24" customHeight="1">
      <c r="B8" s="23" t="inlineStr">
        <is>
          <t>Importe del préstamo (€)</t>
        </is>
      </c>
      <c r="C8" s="35" t="n">
        <v>180000</v>
      </c>
      <c r="D8" s="12" t="inlineStr">
        <is>
          <t>Lo que te presta el banco (no el precio de la casa).</t>
        </is>
      </c>
    </row>
    <row r="9" ht="24" customHeight="1">
      <c r="B9" s="23" t="inlineStr">
        <is>
          <t>Plazo (años)</t>
        </is>
      </c>
      <c r="C9" s="36" t="n">
        <v>30</v>
      </c>
      <c r="D9" s="12" t="inlineStr">
        <is>
          <t>Hasta 40 años.</t>
        </is>
      </c>
    </row>
    <row r="10" ht="24" customHeight="1">
      <c r="B10" s="23" t="inlineStr">
        <is>
          <t>Euríbor de partida (%)</t>
        </is>
      </c>
      <c r="C10" s="37">
        <f>EURIBOR_ULTIMO</f>
        <v/>
      </c>
      <c r="D10" s="12" t="inlineStr">
        <is>
          <t>Último dato publicado: septiembre de 2026. Cámbialo si quieres.</t>
        </is>
      </c>
    </row>
    <row r="11" ht="24" customHeight="1">
      <c r="B11" s="23" t="inlineStr">
        <is>
          <t>Escenario de Euríbor para después del periodo inicial</t>
        </is>
      </c>
      <c r="C11" s="38" t="inlineStr">
        <is>
          <t>Euríbor de hoy</t>
        </is>
      </c>
      <c r="D11" s="12" t="inlineStr">
        <is>
          <t>Se supone constante durante todo el préstamo.</t>
        </is>
      </c>
    </row>
    <row r="12" ht="24" customHeight="1">
      <c r="B12" s="23" t="inlineStr">
        <is>
          <t>Euríbor personalizado (%)</t>
        </is>
      </c>
      <c r="C12" s="37" t="n">
        <v>3.5</v>
      </c>
      <c r="D12" s="12" t="inlineStr">
        <is>
          <t>Solo si eliges «Personalizado».</t>
        </is>
      </c>
    </row>
    <row r="13" ht="24" customHeight="1">
      <c r="B13" s="23" t="inlineStr">
        <is>
          <t>Tus ingresos netos al mes (opcional) (€)</t>
        </is>
      </c>
      <c r="C13" s="35" t="n">
        <v>3200</v>
      </c>
      <c r="D13" s="12">
        <f>"Para ver el esfuerzo: los bancos suelen pedir que la cuota no pase del "&amp;ESFUERZO&amp;" %."</f>
        <v/>
      </c>
    </row>
    <row r="15">
      <c r="B15" s="23" t="inlineStr">
        <is>
          <t>Euríbor que se usa en los cálculos (%)</t>
        </is>
      </c>
      <c r="C15" s="39">
        <f>CHOOSE(MATCH(ESCENARIO,{"Euríbor de hoy","Baja 1 punto","Sube 1 punto","Sube 2 puntos","Personalizado"},0),EURIBOR_HOY,EURIBOR_HOY-1,EURIBOR_HOY+1,EURIBOR_HOY+2,EURIBOR_PERS)</f>
        <v/>
      </c>
    </row>
    <row r="16">
      <c r="B16" s="9" t="inlineStr">
        <is>
          <t>Meses del préstamo</t>
        </is>
      </c>
      <c r="C16" s="40">
        <f>MIN(480,ROUND(PLAZO*12,0))</f>
        <v/>
      </c>
    </row>
    <row r="18">
      <c r="B18" s="33" t="inlineStr">
        <is>
          <t>Cálculo orientativo para comparar ofertas: la TAE oficial de la FEIN (Orden EHA/2899/2011) puede diferir unas centésimas. No es asesoramiento financiero.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18:D18"/>
  </mergeCells>
  <dataValidations count="2">
    <dataValidation sqref="C9" showDropDown="0" showInputMessage="0" showErrorMessage="1" allowBlank="1" errorTitle="Número no válido" error="Escribe un número (sin el símbolo de moneda)." type="decimal" operator="between">
      <formula1>1</formula1>
      <formula2>40</formula2>
    </dataValidation>
    <dataValidation sqref="C11" showDropDown="0" showInputMessage="0" showErrorMessage="1" allowBlank="1" errorTitle="Valor no válido" error="Elige una opción de la lista." type="list">
      <formula1>"Euríbor de hoy,Baja 1 punto,Sube 1 punto,Sube 2 puntos,Personalizado"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HogarClaro · &amp;A · 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A6E80"/>
    <outlinePr summaryBelow="1" summaryRight="1"/>
    <pageSetUpPr fitToPage="1"/>
  </sheetPr>
  <dimension ref="A1:H39"/>
  <sheetViews>
    <sheetView showGridLines="0" tabSelected="0" zoomScale="10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0" customWidth="1" min="2" max="2"/>
    <col width="3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34" customHeight="1">
      <c r="A2" s="1" t="n"/>
      <c r="B2" s="14" t="inlineStr">
        <is>
          <t>Las ofertas</t>
        </is>
      </c>
      <c r="C2" s="1" t="n"/>
      <c r="D2" s="1" t="n"/>
      <c r="E2" s="1" t="n"/>
      <c r="F2" s="1" t="n"/>
      <c r="G2" s="15" t="inlineStr">
        <is>
          <t>HogarClaro</t>
        </is>
      </c>
    </row>
    <row r="3" ht="20" customHeight="1">
      <c r="A3" s="1" t="n"/>
      <c r="B3" s="16" t="inlineStr">
        <is>
          <t>Una columna por FEIN</t>
        </is>
      </c>
      <c r="C3" s="1" t="n"/>
      <c r="D3" s="1" t="n"/>
      <c r="E3" s="1" t="n"/>
      <c r="F3" s="1" t="n"/>
      <c r="G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</row>
    <row r="6" ht="20" customHeight="1">
      <c r="B6" s="34" t="inlineStr">
        <is>
          <t>✎  Las celdas amarillas las rellenas tú; el resto se calcula solo.</t>
        </is>
      </c>
    </row>
    <row r="8" ht="30" customHeight="1">
      <c r="B8" s="21" t="inlineStr"/>
      <c r="C8" s="21" t="inlineStr"/>
      <c r="D8" s="21" t="inlineStr">
        <is>
          <t>Oferta 1</t>
        </is>
      </c>
      <c r="E8" s="21" t="inlineStr">
        <is>
          <t>Oferta 2</t>
        </is>
      </c>
      <c r="F8" s="21" t="inlineStr">
        <is>
          <t>Oferta 3</t>
        </is>
      </c>
      <c r="G8" s="21" t="inlineStr">
        <is>
          <t>Oferta 4</t>
        </is>
      </c>
    </row>
    <row r="9">
      <c r="B9" s="23" t="inlineStr">
        <is>
          <t>Banco u oferta</t>
        </is>
      </c>
      <c r="D9" s="38" t="n"/>
      <c r="E9" s="38" t="n"/>
      <c r="F9" s="38" t="n"/>
      <c r="G9" s="38" t="n"/>
    </row>
    <row r="10">
      <c r="B10" s="23" t="inlineStr">
        <is>
          <t>Tipo de interés</t>
        </is>
      </c>
      <c r="D10" s="41" t="inlineStr">
        <is>
          <t>Fija</t>
        </is>
      </c>
      <c r="E10" s="41" t="inlineStr">
        <is>
          <t>Mixta</t>
        </is>
      </c>
      <c r="F10" s="41" t="inlineStr">
        <is>
          <t>Variable</t>
        </is>
      </c>
      <c r="G10" s="41" t="inlineStr">
        <is>
          <t>Fija</t>
        </is>
      </c>
    </row>
    <row r="11">
      <c r="B11" s="23" t="inlineStr">
        <is>
          <t>TIN con bonificaciones (fija) o del periodo inicial (%)</t>
        </is>
      </c>
      <c r="D11" s="42" t="n"/>
      <c r="E11" s="42" t="n"/>
      <c r="F11" s="42" t="n"/>
      <c r="G11" s="42" t="n"/>
    </row>
    <row r="12">
      <c r="B12" s="23" t="inlineStr">
        <is>
          <t>Años del periodo inicial (mixta o variable)</t>
        </is>
      </c>
      <c r="D12" s="43" t="n"/>
      <c r="E12" s="43" t="n"/>
      <c r="F12" s="43" t="n"/>
      <c r="G12" s="43" t="n"/>
    </row>
    <row r="13">
      <c r="B13" s="23" t="inlineStr">
        <is>
          <t>Diferencial sobre el Euríbor con bonificaciones (%)</t>
        </is>
      </c>
      <c r="D13" s="42" t="n"/>
      <c r="E13" s="42" t="n"/>
      <c r="F13" s="42" t="n"/>
      <c r="G13" s="42" t="n"/>
    </row>
    <row r="14">
      <c r="B14" s="23" t="inlineStr">
        <is>
          <t>TIN (fija) o diferencial (variable) SIN bonificar (%)</t>
        </is>
      </c>
      <c r="D14" s="42" t="n"/>
      <c r="E14" s="42" t="n"/>
      <c r="F14" s="42" t="n"/>
      <c r="G14" s="42" t="n"/>
    </row>
    <row r="15">
      <c r="B15" s="23" t="inlineStr">
        <is>
          <t>Comisión de apertura (%)</t>
        </is>
      </c>
      <c r="D15" s="42" t="n"/>
      <c r="E15" s="42" t="n"/>
      <c r="F15" s="42" t="n"/>
      <c r="G15" s="42" t="n"/>
    </row>
    <row r="16">
      <c r="B16" s="23" t="inlineStr">
        <is>
          <t>Tasación a tu cargo (€)</t>
        </is>
      </c>
      <c r="D16" s="44" t="n"/>
      <c r="E16" s="44" t="n"/>
      <c r="F16" s="44" t="n"/>
      <c r="G16" s="44" t="n"/>
    </row>
    <row r="17">
      <c r="B17" s="23" t="inlineStr">
        <is>
          <t>Otros gastos a tu cargo (€)</t>
        </is>
      </c>
      <c r="D17" s="44" t="n"/>
      <c r="E17" s="44" t="n"/>
      <c r="F17" s="44" t="n"/>
      <c r="G17" s="44" t="n"/>
    </row>
    <row r="18">
      <c r="B18" s="23" t="inlineStr">
        <is>
          <t>Seguro de vida vinculado (€ al año)</t>
        </is>
      </c>
      <c r="D18" s="44" t="n"/>
      <c r="E18" s="44" t="n"/>
      <c r="F18" s="44" t="n"/>
      <c r="G18" s="44" t="n"/>
    </row>
    <row r="19">
      <c r="B19" s="23" t="inlineStr">
        <is>
          <t>Seguro de hogar vinculado (€ al año)</t>
        </is>
      </c>
      <c r="D19" s="44" t="n"/>
      <c r="E19" s="44" t="n"/>
      <c r="F19" s="44" t="n"/>
      <c r="G19" s="44" t="n"/>
    </row>
    <row r="20">
      <c r="B20" s="23" t="inlineStr">
        <is>
          <t>Otros productos vinculados (€ al mes)</t>
        </is>
      </c>
      <c r="D20" s="35" t="n"/>
      <c r="E20" s="35" t="n"/>
      <c r="F20" s="35" t="n"/>
      <c r="G20" s="35" t="n"/>
    </row>
    <row r="21">
      <c r="B21" s="23" t="inlineStr">
        <is>
          <t>Comisión por amortizar antes (%)</t>
        </is>
      </c>
      <c r="D21" s="42">
        <f>IF(D10="Fija",COM_FIJO_10,COM_VAR_A)</f>
        <v/>
      </c>
      <c r="E21" s="42">
        <f>IF(E10="Fija",COM_FIJO_10,COM_VAR_A)</f>
        <v/>
      </c>
      <c r="F21" s="42">
        <f>IF(F10="Fija",COM_FIJO_10,COM_VAR_A)</f>
        <v/>
      </c>
      <c r="G21" s="42">
        <f>IF(G10="Fija",COM_FIJO_10,COM_VAR_A)</f>
        <v/>
      </c>
      <c r="H21" s="12" t="inlineStr"/>
    </row>
    <row r="23" ht="30" customHeight="1">
      <c r="B23" s="21" t="inlineStr">
        <is>
          <t>Resultados</t>
        </is>
      </c>
      <c r="C23" s="21" t="inlineStr"/>
      <c r="D23" s="21" t="inlineStr">
        <is>
          <t>Oferta 1</t>
        </is>
      </c>
      <c r="E23" s="21" t="inlineStr">
        <is>
          <t>Oferta 2</t>
        </is>
      </c>
      <c r="F23" s="21" t="inlineStr">
        <is>
          <t>Oferta 3</t>
        </is>
      </c>
      <c r="G23" s="21" t="inlineStr">
        <is>
          <t>Oferta 4</t>
        </is>
      </c>
    </row>
    <row r="24">
      <c r="B24" s="23" t="inlineStr">
        <is>
          <t>Cuota inicial (€ al mes)</t>
        </is>
      </c>
      <c r="D24" s="24">
        <f>IF(BANCO_OK_1,'Cuadro mensual'!E9,"")</f>
        <v/>
      </c>
      <c r="E24" s="24">
        <f>IF(BANCO_OK_2,'Cuadro mensual'!K9,"")</f>
        <v/>
      </c>
      <c r="F24" s="24">
        <f>IF(BANCO_OK_3,'Cuadro mensual'!Q9,"")</f>
        <v/>
      </c>
      <c r="G24" s="24">
        <f>IF(BANCO_OK_4,'Cuadro mensual'!W9,"")</f>
        <v/>
      </c>
    </row>
    <row r="25">
      <c r="B25" s="9" t="inlineStr">
        <is>
          <t>Cuota después del periodo inicial (escenario)</t>
        </is>
      </c>
      <c r="D25" s="25">
        <f>IF(BANCO_OK_1,IF(D10="Fija",CUOTA1_1,INDEX('Cuadro mensual'!$E$9:$E$488,MIN(MESES,D12*12+1))),"")</f>
        <v/>
      </c>
      <c r="E25" s="25">
        <f>IF(BANCO_OK_2,IF(E10="Fija",CUOTA1_2,INDEX('Cuadro mensual'!$K$9:$K$488,MIN(MESES,E12*12+1))),"")</f>
        <v/>
      </c>
      <c r="F25" s="25">
        <f>IF(BANCO_OK_3,IF(F10="Fija",CUOTA1_3,INDEX('Cuadro mensual'!$Q$9:$Q$488,MIN(MESES,F12*12+1))),"")</f>
        <v/>
      </c>
      <c r="G25" s="25">
        <f>IF(BANCO_OK_4,IF(G10="Fija",CUOTA1_4,INDEX('Cuadro mensual'!$W$9:$W$488,MIN(MESES,G12*12+1))),"")</f>
        <v/>
      </c>
    </row>
    <row r="26">
      <c r="B26" s="9" t="inlineStr">
        <is>
          <t>Seguros y vinculaciones (€ al mes)</t>
        </is>
      </c>
      <c r="D26" s="25">
        <f>IF(BANCO_OK_1,(D18+D19)/12+D20,"")</f>
        <v/>
      </c>
      <c r="E26" s="25">
        <f>IF(BANCO_OK_2,(E18+E19)/12+E20,"")</f>
        <v/>
      </c>
      <c r="F26" s="25">
        <f>IF(BANCO_OK_3,(F18+F19)/12+F20,"")</f>
        <v/>
      </c>
      <c r="G26" s="25">
        <f>IF(BANCO_OK_4,(G18+G19)/12+G20,"")</f>
        <v/>
      </c>
    </row>
    <row r="27">
      <c r="B27" s="9" t="inlineStr">
        <is>
          <t>Gastos iniciales a tu cargo</t>
        </is>
      </c>
      <c r="D27" s="27">
        <f>IF(BANCO_OK_1,CAPITAL*D15/100+D16+D17,"")</f>
        <v/>
      </c>
      <c r="E27" s="27">
        <f>IF(BANCO_OK_2,CAPITAL*E15/100+E16+E17,"")</f>
        <v/>
      </c>
      <c r="F27" s="27">
        <f>IF(BANCO_OK_3,CAPITAL*F15/100+F16+F17,"")</f>
        <v/>
      </c>
      <c r="G27" s="27">
        <f>IF(BANCO_OK_4,CAPITAL*G15/100+G16+G17,"")</f>
        <v/>
      </c>
    </row>
    <row r="28">
      <c r="B28" s="9" t="inlineStr">
        <is>
          <t>Intereses de todo el préstamo</t>
        </is>
      </c>
      <c r="D28" s="27">
        <f>IF(BANCO_OK_1,SUM('Cuadro mensual'!$F$9:$F$488),"")</f>
        <v/>
      </c>
      <c r="E28" s="27">
        <f>IF(BANCO_OK_2,SUM('Cuadro mensual'!$L$9:$L$488),"")</f>
        <v/>
      </c>
      <c r="F28" s="27">
        <f>IF(BANCO_OK_3,SUM('Cuadro mensual'!$R$9:$R$488),"")</f>
        <v/>
      </c>
      <c r="G28" s="27">
        <f>IF(BANCO_OK_4,SUM('Cuadro mensual'!$X$9:$X$488),"")</f>
        <v/>
      </c>
    </row>
    <row r="29">
      <c r="B29" s="9" t="inlineStr">
        <is>
          <t>Seguros y vinculaciones de todo el plazo</t>
        </is>
      </c>
      <c r="D29" s="27">
        <f>IF(BANCO_OK_1,VINC_MES_1*MESES,"")</f>
        <v/>
      </c>
      <c r="E29" s="27">
        <f>IF(BANCO_OK_2,VINC_MES_2*MESES,"")</f>
        <v/>
      </c>
      <c r="F29" s="27">
        <f>IF(BANCO_OK_3,VINC_MES_3*MESES,"")</f>
        <v/>
      </c>
      <c r="G29" s="27">
        <f>IF(BANCO_OK_4,VINC_MES_4*MESES,"")</f>
        <v/>
      </c>
    </row>
    <row r="30">
      <c r="B30" s="23" t="inlineStr">
        <is>
          <t>COSTE TOTAL (intereses + vinculaciones + gastos)</t>
        </is>
      </c>
      <c r="D30" s="28">
        <f>IF(BANCO_OK_1,INTERESES_1+VINC_TOT_1+GASTOS_1,"")</f>
        <v/>
      </c>
      <c r="E30" s="28">
        <f>IF(BANCO_OK_2,INTERESES_2+VINC_TOT_2+GASTOS_2,"")</f>
        <v/>
      </c>
      <c r="F30" s="28">
        <f>IF(BANCO_OK_3,INTERESES_3+VINC_TOT_3+GASTOS_3,"")</f>
        <v/>
      </c>
      <c r="G30" s="28">
        <f>IF(BANCO_OK_4,INTERESES_4+VINC_TOT_4+GASTOS_4,"")</f>
        <v/>
      </c>
    </row>
    <row r="31">
      <c r="B31" s="23" t="inlineStr">
        <is>
          <t>TAE aproximada con las vinculaciones</t>
        </is>
      </c>
      <c r="D31" s="26">
        <f>IF(BANCO_OK_1,((1+IRR('Cuadro mensual'!$I$8:$I$488,0.003))^12-1)*100,"")</f>
        <v/>
      </c>
      <c r="E31" s="26">
        <f>IF(BANCO_OK_2,((1+IRR('Cuadro mensual'!$O$8:$O$488,0.003))^12-1)*100,"")</f>
        <v/>
      </c>
      <c r="F31" s="26">
        <f>IF(BANCO_OK_3,((1+IRR('Cuadro mensual'!$U$8:$U$488,0.003))^12-1)*100,"")</f>
        <v/>
      </c>
      <c r="G31" s="26">
        <f>IF(BANCO_OK_4,((1+IRR('Cuadro mensual'!$AA$8:$AA$488,0.003))^12-1)*100,"")</f>
        <v/>
      </c>
    </row>
    <row r="32">
      <c r="B32" s="9" t="inlineStr">
        <is>
          <t>Coste total sin bonificar (aprox., tipo constante)</t>
        </is>
      </c>
      <c r="D32" s="27">
        <f>IF(BANCO_OK_1,PMT(IF(D10="Fija",D14,MAX(0,EURIBOR+D14))/1200,MESES,-CAPITAL)*MESES-CAPITAL+GASTOS_1,"")</f>
        <v/>
      </c>
      <c r="E32" s="27">
        <f>IF(BANCO_OK_2,PMT(IF(E10="Fija",E14,MAX(0,EURIBOR+E14))/1200,MESES,-CAPITAL)*MESES-CAPITAL+GASTOS_2,"")</f>
        <v/>
      </c>
      <c r="F32" s="27">
        <f>IF(BANCO_OK_3,PMT(IF(F10="Fija",F14,MAX(0,EURIBOR+F14))/1200,MESES,-CAPITAL)*MESES-CAPITAL+GASTOS_3,"")</f>
        <v/>
      </c>
      <c r="G32" s="27">
        <f>IF(BANCO_OK_4,PMT(IF(G10="Fija",G14,MAX(0,EURIBOR+G14))/1200,MESES,-CAPITAL)*MESES-CAPITAL+GASTOS_4,"")</f>
        <v/>
      </c>
    </row>
    <row r="33">
      <c r="B33" s="9" t="inlineStr">
        <is>
          <t>¿Compensa bonificarte?</t>
        </is>
      </c>
      <c r="D33" s="45">
        <f>IF(BANCO_OK_1,IF(D14="","—",IF(ABS(COSTE_1-SINBON_1)&lt;1,"Sin diferencia",IF(COSTE_1&lt;SINBON_1,"Sí, ahorras "&amp;FIXED(SINBON_1-COSTE_1,0)&amp;" €","No: te cuesta "&amp;FIXED(COSTE_1-SINBON_1,0)&amp;" € más"))),"")</f>
        <v/>
      </c>
      <c r="E33" s="45">
        <f>IF(BANCO_OK_2,IF(E14="","—",IF(ABS(COSTE_2-SINBON_2)&lt;1,"Sin diferencia",IF(COSTE_2&lt;SINBON_2,"Sí, ahorras "&amp;FIXED(SINBON_2-COSTE_2,0)&amp;" €","No: te cuesta "&amp;FIXED(COSTE_2-SINBON_2,0)&amp;" € más"))),"")</f>
        <v/>
      </c>
      <c r="F33" s="45">
        <f>IF(BANCO_OK_3,IF(F14="","—",IF(ABS(COSTE_3-SINBON_3)&lt;1,"Sin diferencia",IF(COSTE_3&lt;SINBON_3,"Sí, ahorras "&amp;FIXED(SINBON_3-COSTE_3,0)&amp;" €","No: te cuesta "&amp;FIXED(COSTE_3-SINBON_3,0)&amp;" € más"))),"")</f>
        <v/>
      </c>
      <c r="G33" s="45">
        <f>IF(BANCO_OK_4,IF(G14="","—",IF(ABS(COSTE_4-SINBON_4)&lt;1,"Sin diferencia",IF(COSTE_4&lt;SINBON_4,"Sí, ahorras "&amp;FIXED(SINBON_4-COSTE_4,0)&amp;" €","No: te cuesta "&amp;FIXED(COSTE_4-SINBON_4,0)&amp;" € más"))),"")</f>
        <v/>
      </c>
    </row>
    <row r="34">
      <c r="B34" s="9" t="inlineStr">
        <is>
          <t>Esfuerzo: cuota + vinculaciones sobre tus ingresos</t>
        </is>
      </c>
      <c r="D34" s="46">
        <f>IF(BANCO_OK_1,IF(INGRESOS&gt;0,(CUOTA1_1+VINC_MES_1)/INGRESOS,""),"")</f>
        <v/>
      </c>
      <c r="E34" s="46">
        <f>IF(BANCO_OK_2,IF(INGRESOS&gt;0,(CUOTA1_2+VINC_MES_2)/INGRESOS,""),"")</f>
        <v/>
      </c>
      <c r="F34" s="46">
        <f>IF(BANCO_OK_3,IF(INGRESOS&gt;0,(CUOTA1_3+VINC_MES_3)/INGRESOS,""),"")</f>
        <v/>
      </c>
      <c r="G34" s="46">
        <f>IF(BANCO_OK_4,IF(INGRESOS&gt;0,(CUOTA1_4+VINC_MES_4)/INGRESOS,""),"")</f>
        <v/>
      </c>
    </row>
    <row r="35">
      <c r="B35" s="23" t="inlineStr">
        <is>
          <t>Posición por coste total</t>
        </is>
      </c>
      <c r="D35" s="29">
        <f>IF(BANCO_OK_1,RANK(COSTE_1,RANK_RANGO,1),"")</f>
        <v/>
      </c>
      <c r="E35" s="29">
        <f>IF(BANCO_OK_2,RANK(COSTE_2,RANK_RANGO,1),"")</f>
        <v/>
      </c>
      <c r="F35" s="29">
        <f>IF(BANCO_OK_3,RANK(COSTE_3,RANK_RANGO,1),"")</f>
        <v/>
      </c>
      <c r="G35" s="29">
        <f>IF(BANCO_OK_4,RANK(COSTE_4,RANK_RANGO,1),"")</f>
        <v/>
      </c>
    </row>
    <row r="36">
      <c r="B36" s="47" t="inlineStr">
        <is>
          <t>(oferta rellenada)</t>
        </is>
      </c>
      <c r="D36" s="48">
        <f>ISNUMBER(D11)</f>
        <v/>
      </c>
      <c r="E36" s="48">
        <f>ISNUMBER(E11)</f>
        <v/>
      </c>
      <c r="F36" s="48">
        <f>ISNUMBER(F11)</f>
        <v/>
      </c>
      <c r="G36" s="48">
        <f>ISNUMBER(G11)</f>
        <v/>
      </c>
    </row>
    <row r="38" ht="30" customHeight="1">
      <c r="B38" s="12" t="inlineStr">
        <is>
          <t>Cálculo orientativo para comparar ofertas: la TAE oficial de la FEIN (Orden EHA/2899/2011) puede diferir unas centésimas. No es asesoramiento financiero. «Sin bonificar» usa un tipo constante (en las variables, el Euríbor del escenario más el diferencial sin bonificar).</t>
        </is>
      </c>
    </row>
    <row r="39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38:G39"/>
  </mergeCells>
  <conditionalFormatting sqref="D30:G30">
    <cfRule type="expression" priority="1" dxfId="0">
      <formula>AND(ISNUMBER(D30),D30=MIN($D30:$G30))</formula>
    </cfRule>
  </conditionalFormatting>
  <dataValidations count="1">
    <dataValidation sqref="D10:G10" showDropDown="0" showInputMessage="0" showErrorMessage="1" allowBlank="1" errorTitle="Valor no válido" error="Elige una opción de la lista." type="list">
      <formula1>"Fija,Mixta,Variable"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HogarClaro · &amp;A · &amp;P/&amp;N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E98B0"/>
    <outlinePr summaryBelow="1" summaryRight="1"/>
    <pageSetUpPr fitToPage="1"/>
  </sheetPr>
  <dimension ref="A1:G19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34" customHeight="1">
      <c r="A2" s="1" t="n"/>
      <c r="B2" s="14" t="inlineStr">
        <is>
          <t>Escenarios de Euríbor</t>
        </is>
      </c>
      <c r="C2" s="1" t="n"/>
      <c r="D2" s="1" t="n"/>
      <c r="E2" s="1" t="n"/>
      <c r="F2" s="1" t="n"/>
      <c r="G2" s="15" t="inlineStr">
        <is>
          <t>HogarClaro</t>
        </is>
      </c>
    </row>
    <row r="3" ht="20" customHeight="1">
      <c r="A3" s="1" t="n"/>
      <c r="B3" s="16" t="inlineStr">
        <is>
          <t>Cuota después del periodo inicial con distintos Euríbor (constantes)</t>
        </is>
      </c>
      <c r="C3" s="1" t="n"/>
      <c r="D3" s="1" t="n"/>
      <c r="E3" s="1" t="n"/>
      <c r="F3" s="1" t="n"/>
      <c r="G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</row>
    <row r="6" ht="20" customHeight="1">
      <c r="B6" s="34" t="inlineStr">
        <is>
          <t>✎  Las celdas amarillas las rellenas tú; el resto se calcula solo.</t>
        </is>
      </c>
    </row>
    <row r="8" ht="30" customHeight="1">
      <c r="B8" s="21" t="inlineStr">
        <is>
          <t>Euríbor</t>
        </is>
      </c>
      <c r="C8" s="21" t="inlineStr">
        <is>
          <t>Cambio (puntos)</t>
        </is>
      </c>
      <c r="D8" s="21">
        <f>IF(OF_BANCO_1="","Oferta 1",OF_BANCO_1)</f>
        <v/>
      </c>
      <c r="E8" s="21">
        <f>IF(OF_BANCO_2="","Oferta 2",OF_BANCO_2)</f>
        <v/>
      </c>
      <c r="F8" s="21">
        <f>IF(OF_BANCO_3="","Oferta 3",OF_BANCO_3)</f>
        <v/>
      </c>
      <c r="G8" s="21">
        <f>IF(OF_BANCO_4="","Oferta 4",OF_BANCO_4)</f>
        <v/>
      </c>
    </row>
    <row r="9">
      <c r="B9" s="49">
        <f>EURIBOR_HOY+C9</f>
        <v/>
      </c>
      <c r="C9" s="50" t="n">
        <v>-1</v>
      </c>
      <c r="D9" s="25">
        <f>IF(NOT(BANCO_OK_1),"",IF(OF_TIPO_1="Fija",CUOTA1_1,PMT(MAX(0,B9+OF_DIF_1)/1200,MESES-OF_ANIOS_INI_1*12,-IF(OF_ANIOS_INI_1=0,CAPITAL,INDEX(CMES_PEND_1,MIN(MESES,OF_ANIOS_INI_1*12))))))</f>
        <v/>
      </c>
      <c r="E9" s="25">
        <f>IF(NOT(BANCO_OK_2),"",IF(OF_TIPO_2="Fija",CUOTA1_2,PMT(MAX(0,B9+OF_DIF_2)/1200,MESES-OF_ANIOS_INI_2*12,-IF(OF_ANIOS_INI_2=0,CAPITAL,INDEX(CMES_PEND_2,MIN(MESES,OF_ANIOS_INI_2*12))))))</f>
        <v/>
      </c>
      <c r="F9" s="25">
        <f>IF(NOT(BANCO_OK_3),"",IF(OF_TIPO_3="Fija",CUOTA1_3,PMT(MAX(0,B9+OF_DIF_3)/1200,MESES-OF_ANIOS_INI_3*12,-IF(OF_ANIOS_INI_3=0,CAPITAL,INDEX(CMES_PEND_3,MIN(MESES,OF_ANIOS_INI_3*12))))))</f>
        <v/>
      </c>
      <c r="G9" s="25">
        <f>IF(NOT(BANCO_OK_4),"",IF(OF_TIPO_4="Fija",CUOTA1_4,PMT(MAX(0,B9+OF_DIF_4)/1200,MESES-OF_ANIOS_INI_4*12,-IF(OF_ANIOS_INI_4=0,CAPITAL,INDEX(CMES_PEND_4,MIN(MESES,OF_ANIOS_INI_4*12))))))</f>
        <v/>
      </c>
    </row>
    <row r="10">
      <c r="B10" s="49">
        <f>EURIBOR_HOY+C10</f>
        <v/>
      </c>
      <c r="C10" s="50" t="n">
        <v>0</v>
      </c>
      <c r="D10" s="25">
        <f>IF(NOT(BANCO_OK_1),"",IF(OF_TIPO_1="Fija",CUOTA1_1,PMT(MAX(0,B10+OF_DIF_1)/1200,MESES-OF_ANIOS_INI_1*12,-IF(OF_ANIOS_INI_1=0,CAPITAL,INDEX(CMES_PEND_1,MIN(MESES,OF_ANIOS_INI_1*12))))))</f>
        <v/>
      </c>
      <c r="E10" s="25">
        <f>IF(NOT(BANCO_OK_2),"",IF(OF_TIPO_2="Fija",CUOTA1_2,PMT(MAX(0,B10+OF_DIF_2)/1200,MESES-OF_ANIOS_INI_2*12,-IF(OF_ANIOS_INI_2=0,CAPITAL,INDEX(CMES_PEND_2,MIN(MESES,OF_ANIOS_INI_2*12))))))</f>
        <v/>
      </c>
      <c r="F10" s="25">
        <f>IF(NOT(BANCO_OK_3),"",IF(OF_TIPO_3="Fija",CUOTA1_3,PMT(MAX(0,B10+OF_DIF_3)/1200,MESES-OF_ANIOS_INI_3*12,-IF(OF_ANIOS_INI_3=0,CAPITAL,INDEX(CMES_PEND_3,MIN(MESES,OF_ANIOS_INI_3*12))))))</f>
        <v/>
      </c>
      <c r="G10" s="25">
        <f>IF(NOT(BANCO_OK_4),"",IF(OF_TIPO_4="Fija",CUOTA1_4,PMT(MAX(0,B10+OF_DIF_4)/1200,MESES-OF_ANIOS_INI_4*12,-IF(OF_ANIOS_INI_4=0,CAPITAL,INDEX(CMES_PEND_4,MIN(MESES,OF_ANIOS_INI_4*12))))))</f>
        <v/>
      </c>
    </row>
    <row r="11">
      <c r="B11" s="49">
        <f>EURIBOR_HOY+C11</f>
        <v/>
      </c>
      <c r="C11" s="50" t="n">
        <v>1</v>
      </c>
      <c r="D11" s="25">
        <f>IF(NOT(BANCO_OK_1),"",IF(OF_TIPO_1="Fija",CUOTA1_1,PMT(MAX(0,B11+OF_DIF_1)/1200,MESES-OF_ANIOS_INI_1*12,-IF(OF_ANIOS_INI_1=0,CAPITAL,INDEX(CMES_PEND_1,MIN(MESES,OF_ANIOS_INI_1*12))))))</f>
        <v/>
      </c>
      <c r="E11" s="25">
        <f>IF(NOT(BANCO_OK_2),"",IF(OF_TIPO_2="Fija",CUOTA1_2,PMT(MAX(0,B11+OF_DIF_2)/1200,MESES-OF_ANIOS_INI_2*12,-IF(OF_ANIOS_INI_2=0,CAPITAL,INDEX(CMES_PEND_2,MIN(MESES,OF_ANIOS_INI_2*12))))))</f>
        <v/>
      </c>
      <c r="F11" s="25">
        <f>IF(NOT(BANCO_OK_3),"",IF(OF_TIPO_3="Fija",CUOTA1_3,PMT(MAX(0,B11+OF_DIF_3)/1200,MESES-OF_ANIOS_INI_3*12,-IF(OF_ANIOS_INI_3=0,CAPITAL,INDEX(CMES_PEND_3,MIN(MESES,OF_ANIOS_INI_3*12))))))</f>
        <v/>
      </c>
      <c r="G11" s="25">
        <f>IF(NOT(BANCO_OK_4),"",IF(OF_TIPO_4="Fija",CUOTA1_4,PMT(MAX(0,B11+OF_DIF_4)/1200,MESES-OF_ANIOS_INI_4*12,-IF(OF_ANIOS_INI_4=0,CAPITAL,INDEX(CMES_PEND_4,MIN(MESES,OF_ANIOS_INI_4*12))))))</f>
        <v/>
      </c>
    </row>
    <row r="12">
      <c r="B12" s="49">
        <f>EURIBOR_HOY+C12</f>
        <v/>
      </c>
      <c r="C12" s="50" t="n">
        <v>2</v>
      </c>
      <c r="D12" s="25">
        <f>IF(NOT(BANCO_OK_1),"",IF(OF_TIPO_1="Fija",CUOTA1_1,PMT(MAX(0,B12+OF_DIF_1)/1200,MESES-OF_ANIOS_INI_1*12,-IF(OF_ANIOS_INI_1=0,CAPITAL,INDEX(CMES_PEND_1,MIN(MESES,OF_ANIOS_INI_1*12))))))</f>
        <v/>
      </c>
      <c r="E12" s="25">
        <f>IF(NOT(BANCO_OK_2),"",IF(OF_TIPO_2="Fija",CUOTA1_2,PMT(MAX(0,B12+OF_DIF_2)/1200,MESES-OF_ANIOS_INI_2*12,-IF(OF_ANIOS_INI_2=0,CAPITAL,INDEX(CMES_PEND_2,MIN(MESES,OF_ANIOS_INI_2*12))))))</f>
        <v/>
      </c>
      <c r="F12" s="25">
        <f>IF(NOT(BANCO_OK_3),"",IF(OF_TIPO_3="Fija",CUOTA1_3,PMT(MAX(0,B12+OF_DIF_3)/1200,MESES-OF_ANIOS_INI_3*12,-IF(OF_ANIOS_INI_3=0,CAPITAL,INDEX(CMES_PEND_3,MIN(MESES,OF_ANIOS_INI_3*12))))))</f>
        <v/>
      </c>
      <c r="G12" s="25">
        <f>IF(NOT(BANCO_OK_4),"",IF(OF_TIPO_4="Fija",CUOTA1_4,PMT(MAX(0,B12+OF_DIF_4)/1200,MESES-OF_ANIOS_INI_4*12,-IF(OF_ANIOS_INI_4=0,CAPITAL,INDEX(CMES_PEND_4,MIN(MESES,OF_ANIOS_INI_4*12))))))</f>
        <v/>
      </c>
    </row>
    <row r="13">
      <c r="B13" s="49">
        <f>EURIBOR_HOY+C13</f>
        <v/>
      </c>
      <c r="C13" s="50" t="n">
        <v>3</v>
      </c>
      <c r="D13" s="25">
        <f>IF(NOT(BANCO_OK_1),"",IF(OF_TIPO_1="Fija",CUOTA1_1,PMT(MAX(0,B13+OF_DIF_1)/1200,MESES-OF_ANIOS_INI_1*12,-IF(OF_ANIOS_INI_1=0,CAPITAL,INDEX(CMES_PEND_1,MIN(MESES,OF_ANIOS_INI_1*12))))))</f>
        <v/>
      </c>
      <c r="E13" s="25">
        <f>IF(NOT(BANCO_OK_2),"",IF(OF_TIPO_2="Fija",CUOTA1_2,PMT(MAX(0,B13+OF_DIF_2)/1200,MESES-OF_ANIOS_INI_2*12,-IF(OF_ANIOS_INI_2=0,CAPITAL,INDEX(CMES_PEND_2,MIN(MESES,OF_ANIOS_INI_2*12))))))</f>
        <v/>
      </c>
      <c r="F13" s="25">
        <f>IF(NOT(BANCO_OK_3),"",IF(OF_TIPO_3="Fija",CUOTA1_3,PMT(MAX(0,B13+OF_DIF_3)/1200,MESES-OF_ANIOS_INI_3*12,-IF(OF_ANIOS_INI_3=0,CAPITAL,INDEX(CMES_PEND_3,MIN(MESES,OF_ANIOS_INI_3*12))))))</f>
        <v/>
      </c>
      <c r="G13" s="25">
        <f>IF(NOT(BANCO_OK_4),"",IF(OF_TIPO_4="Fija",CUOTA1_4,PMT(MAX(0,B13+OF_DIF_4)/1200,MESES-OF_ANIOS_INI_4*12,-IF(OF_ANIOS_INI_4=0,CAPITAL,INDEX(CMES_PEND_4,MIN(MESES,OF_ANIOS_INI_4*12))))))</f>
        <v/>
      </c>
    </row>
    <row r="15">
      <c r="B15" s="23" t="inlineStr">
        <is>
          <t>Subida de la cuota si el Euríbor sube 2 puntos</t>
        </is>
      </c>
      <c r="D15" s="51">
        <f>IF(D12="","",D12-D10)</f>
        <v/>
      </c>
      <c r="E15" s="51">
        <f>IF(E12="","",E12-E10)</f>
        <v/>
      </c>
      <c r="F15" s="51">
        <f>IF(F12="","",F12-F10)</f>
        <v/>
      </c>
      <c r="G15" s="51">
        <f>IF(G12="","",G12-G10)</f>
        <v/>
      </c>
    </row>
    <row r="16">
      <c r="B16" s="9" t="inlineStr">
        <is>
          <t>Ingresos netos necesarios con +2 puntos</t>
        </is>
      </c>
      <c r="D16" s="27">
        <f>IF(D12="","",(D12+VINC_MES_1)/(ESFUERZO/100))</f>
        <v/>
      </c>
      <c r="E16" s="27">
        <f>IF(E12="","",(E12+VINC_MES_2)/(ESFUERZO/100))</f>
        <v/>
      </c>
      <c r="F16" s="27">
        <f>IF(F12="","",(F12+VINC_MES_3)/(ESFUERZO/100))</f>
        <v/>
      </c>
      <c r="G16" s="27">
        <f>IF(G12="","",(G12+VINC_MES_4)/(ESFUERZO/100))</f>
        <v/>
      </c>
    </row>
    <row r="18" ht="30" customHeight="1">
      <c r="B18" s="12" t="inlineStr">
        <is>
          <t>Las fijas no cambian. En las mixtas y variables, la cuota se recalcula cada año con el Euríbor del momento más el diferencial; aquí se supone el mismo Euríbor durante todo el resto del préstamo. Nadie puede predecir el Euríbor: úsalo para ver si podrías pagar en un escenario malo.</t>
        </is>
      </c>
    </row>
    <row r="19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18:G19"/>
  </mergeCells>
  <conditionalFormatting sqref="B9:G13">
    <cfRule type="expression" priority="1" dxfId="1">
      <formula>$C9=0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&amp;C&amp;8 HogarClaro · &amp;A · &amp;P/&amp;N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0E98B0"/>
    <outlinePr summaryBelow="1" summaryRight="1"/>
    <pageSetUpPr fitToPage="1"/>
  </sheetPr>
  <dimension ref="A1:E39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8" customWidth="1" min="3" max="3"/>
    <col width="18" customWidth="1" min="4" max="4"/>
    <col width="52" customWidth="1" min="5" max="5"/>
  </cols>
  <sheetData>
    <row r="1" ht="8" customHeight="1">
      <c r="A1" s="1" t="n"/>
      <c r="B1" s="1" t="n"/>
      <c r="C1" s="1" t="n"/>
      <c r="D1" s="1" t="n"/>
      <c r="E1" s="1" t="n"/>
    </row>
    <row r="2" ht="34" customHeight="1">
      <c r="A2" s="1" t="n"/>
      <c r="B2" s="14" t="inlineStr">
        <is>
          <t>Amortizar antes</t>
        </is>
      </c>
      <c r="C2" s="1" t="n"/>
      <c r="D2" s="1" t="n"/>
      <c r="E2" s="15" t="inlineStr">
        <is>
          <t>HogarClaro</t>
        </is>
      </c>
    </row>
    <row r="3" ht="20" customHeight="1">
      <c r="A3" s="1" t="n"/>
      <c r="B3" s="16" t="inlineStr">
        <is>
          <t>Si un día te sobra dinero: ¿reducir cuota o reducir plazo?</t>
        </is>
      </c>
      <c r="C3" s="1" t="n"/>
      <c r="D3" s="1" t="n"/>
      <c r="E3" s="1" t="n"/>
    </row>
    <row r="4" ht="4" customHeight="1">
      <c r="A4" s="6" t="n"/>
      <c r="B4" s="6" t="n"/>
      <c r="C4" s="6" t="n"/>
      <c r="D4" s="6" t="n"/>
      <c r="E4" s="6" t="n"/>
    </row>
    <row r="6" ht="20" customHeight="1">
      <c r="B6" s="34" t="inlineStr">
        <is>
          <t>✎  Las celdas amarillas las rellenas tú; el resto se calcula solo.</t>
        </is>
      </c>
    </row>
    <row r="8">
      <c r="B8" s="23" t="inlineStr">
        <is>
          <t>Oferta (1 a 4)</t>
        </is>
      </c>
      <c r="C8" s="43" t="n">
        <v>1</v>
      </c>
    </row>
    <row r="9">
      <c r="B9" s="23" t="inlineStr">
        <is>
          <t>Amortizas al final del año</t>
        </is>
      </c>
      <c r="C9" s="43" t="n">
        <v>5</v>
      </c>
    </row>
    <row r="10">
      <c r="B10" s="23" t="inlineStr">
        <is>
          <t>Importe que amortizas (€)</t>
        </is>
      </c>
      <c r="C10" s="35" t="n">
        <v>20000</v>
      </c>
    </row>
    <row r="11">
      <c r="B11" s="23" t="inlineStr">
        <is>
          <t>Si es variable o mixta, opción de comisión del contrato</t>
        </is>
      </c>
      <c r="C11" s="36" t="inlineStr">
        <is>
          <t>A</t>
        </is>
      </c>
      <c r="D11" s="12" t="inlineStr">
        <is>
          <t>A: 0,25 % los 3 primeros años; B: 0,15 % los 5 primeros. Mira tu escritura o la FEIN.</t>
        </is>
      </c>
    </row>
    <row r="13" ht="22" customHeight="1">
      <c r="B13" s="17" t="inlineStr">
        <is>
          <t>Situación en ese momento</t>
        </is>
      </c>
      <c r="C13" s="18" t="n"/>
      <c r="D13" s="18" t="n"/>
      <c r="E13" s="18" t="n"/>
    </row>
    <row r="14">
      <c r="B14" s="9" t="inlineStr">
        <is>
          <t>Capital pendiente</t>
        </is>
      </c>
      <c r="C14" s="25">
        <f>INDEX(CHOOSE(C8,CMES_PEND_1,CMES_PEND_2,CMES_PEND_3,CMES_PEND_4),MIN(MESES,C9*12))</f>
        <v/>
      </c>
    </row>
    <row r="15">
      <c r="B15" s="9" t="inlineStr">
        <is>
          <t>TIN del año siguiente (%)</t>
        </is>
      </c>
      <c r="C15" s="52">
        <f>INDEX(CHOOSE(C8,CMES_TIN_1,CMES_TIN_2,CMES_TIN_3,CMES_TIN_4),MIN(MESES,MIN(MESES,C9*12)+1))</f>
        <v/>
      </c>
    </row>
    <row r="16">
      <c r="B16" s="9" t="inlineStr">
        <is>
          <t>Meses que quedan</t>
        </is>
      </c>
      <c r="C16" s="40">
        <f>MESES-MIN(MESES,C9*12)</f>
        <v/>
      </c>
    </row>
    <row r="17">
      <c r="B17" s="9" t="inlineStr">
        <is>
          <t>Tipo de la oferta</t>
        </is>
      </c>
      <c r="C17" s="45">
        <f>CHOOSE(C8,OF_TIPO_1,OF_TIPO_2,OF_TIPO_3,OF_TIPO_4)</f>
        <v/>
      </c>
    </row>
    <row r="18">
      <c r="B18" s="9" t="inlineStr">
        <is>
          <t>Cuota si no amortizas</t>
        </is>
      </c>
      <c r="C18" s="25">
        <f>PMT(C15/1200,C16,-C14)</f>
        <v/>
      </c>
    </row>
    <row r="19">
      <c r="B19" s="9" t="inlineStr">
        <is>
          <t>Intereses que te quedan si no amortizas</t>
        </is>
      </c>
      <c r="C19" s="25">
        <f>C18*C16-C14</f>
        <v/>
      </c>
    </row>
    <row r="20">
      <c r="B20" s="9" t="inlineStr">
        <is>
          <t>Capital pendiente después de amortizar</t>
        </is>
      </c>
      <c r="C20" s="25">
        <f>MAX(0,C14-C10)</f>
        <v/>
      </c>
    </row>
    <row r="22" ht="22" customHeight="1">
      <c r="B22" s="17" t="inlineStr">
        <is>
          <t>Reducir cuota (mismo plazo)</t>
        </is>
      </c>
      <c r="C22" s="18" t="n"/>
      <c r="D22" s="18" t="n"/>
      <c r="E22" s="18" t="n"/>
    </row>
    <row r="23">
      <c r="B23" s="23" t="inlineStr">
        <is>
          <t>Cuota nueva</t>
        </is>
      </c>
      <c r="C23" s="51">
        <f>PMT(C15/1200,C16,-C20)</f>
        <v/>
      </c>
    </row>
    <row r="24">
      <c r="B24" s="9" t="inlineStr">
        <is>
          <t>Intereses que te quedan</t>
        </is>
      </c>
      <c r="C24" s="25">
        <f>C23*C16-C20</f>
        <v/>
      </c>
    </row>
    <row r="25">
      <c r="B25" s="9" t="inlineStr">
        <is>
          <t>Ahorro de intereses</t>
        </is>
      </c>
      <c r="C25" s="24">
        <f>C19-C24</f>
        <v/>
      </c>
    </row>
    <row r="27" ht="22" customHeight="1">
      <c r="B27" s="17" t="inlineStr">
        <is>
          <t>Reducir plazo (misma cuota)</t>
        </is>
      </c>
      <c r="C27" s="18" t="n"/>
      <c r="D27" s="18" t="n"/>
      <c r="E27" s="18" t="n"/>
    </row>
    <row r="28">
      <c r="B28" s="23" t="inlineStr">
        <is>
          <t>Meses que quedan</t>
        </is>
      </c>
      <c r="C28" s="53">
        <f>IF(C20&lt;=0,0,ROUNDUP(NPER(C15/1200,-C18,C20)-1E-9,0))</f>
        <v/>
      </c>
    </row>
    <row r="29">
      <c r="B29" s="9" t="inlineStr">
        <is>
          <t>Meses que te ahorras</t>
        </is>
      </c>
      <c r="C29" s="40">
        <f>C16-C28</f>
        <v/>
      </c>
    </row>
    <row r="30">
      <c r="B30" s="9" t="inlineStr">
        <is>
          <t>Intereses que te quedan</t>
        </is>
      </c>
      <c r="C30" s="25">
        <f>IF(C28=0,0,PMT(C15/1200,C28,-C20)*C28-C20)</f>
        <v/>
      </c>
    </row>
    <row r="31">
      <c r="B31" s="9" t="inlineStr">
        <is>
          <t>Ahorro de intereses</t>
        </is>
      </c>
      <c r="C31" s="24">
        <f>C19-C30</f>
        <v/>
      </c>
    </row>
    <row r="33" ht="22" customHeight="1">
      <c r="B33" s="17" t="inlineStr">
        <is>
          <t>Comisión</t>
        </is>
      </c>
      <c r="C33" s="18" t="n"/>
      <c r="D33" s="18" t="n"/>
      <c r="E33" s="18" t="n"/>
    </row>
    <row r="34">
      <c r="B34" s="9" t="inlineStr">
        <is>
          <t>Tope legal de la comisión (%)</t>
        </is>
      </c>
      <c r="C34" s="54">
        <f>IF(C17="Fija",IF(C9&lt;10,COM_FIJO_10,COM_FIJO_RESTO),IF(C11="B",IF(C9&lt;COM_VAR_B_ANIOS,COM_VAR_B,COM_VAR_DESPUES),IF(C9&lt;COM_VAR_A_ANIOS,COM_VAR_A,COM_VAR_DESPUES)))</f>
        <v/>
      </c>
    </row>
    <row r="35">
      <c r="B35" s="9" t="inlineStr">
        <is>
          <t>Comisión máxima (€)</t>
        </is>
      </c>
      <c r="C35" s="25">
        <f>MIN(C10,C14)*C34/100</f>
        <v/>
      </c>
      <c r="D35" s="12" t="inlineStr">
        <is>
          <t>La ley la limita también a la pérdida financiera real del banco (Ley 5/2019, art. 23): puede ser menor.</t>
        </is>
      </c>
    </row>
    <row r="36">
      <c r="B36" s="9" t="inlineStr">
        <is>
          <t>Ahorro neto reduciendo plazo (tras la comisión)</t>
        </is>
      </c>
      <c r="C36" s="24">
        <f>C31-C35</f>
        <v/>
      </c>
    </row>
    <row r="38" ht="30" customHeight="1">
      <c r="B38" s="12" t="inlineStr">
        <is>
          <t>Reducir plazo casi siempre ahorra más intereses; reducir cuota te da más margen cada mes. Calculado con el TIN del año siguiente constante hasta el final. Cálculo orientativo para comparar ofertas: la TAE oficial de la FEIN (Orden EHA/2899/2011) puede diferir unas centésimas. No es asesoramiento financiero.</t>
        </is>
      </c>
    </row>
    <row r="39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D11:E11"/>
    <mergeCell ref="D35:E35"/>
    <mergeCell ref="B38:E39"/>
  </mergeCells>
  <dataValidations count="2">
    <dataValidation sqref="C8" showDropDown="0" showInputMessage="0" showErrorMessage="1" allowBlank="1" errorTitle="Valor no válido" error="Elige una opción de la lista." type="list">
      <formula1>"1,2,3,4"</formula1>
    </dataValidation>
    <dataValidation sqref="C11" showDropDown="0" showInputMessage="0" showErrorMessage="1" allowBlank="1" errorTitle="Valor no válido" error="Elige una opción de la lista." type="list">
      <formula1>"A,B"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HogarClaro · &amp;A · &amp;P/&amp;N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E98B0"/>
    <outlinePr summaryBelow="1" summaryRight="1"/>
    <pageSetUpPr fitToPage="1"/>
  </sheetPr>
  <dimension ref="A1:H49"/>
  <sheetViews>
    <sheetView showGridLines="0" tabSelected="0" zoomScale="10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12" customWidth="1" min="3" max="3"/>
    <col width="15" customWidth="1" min="4" max="4"/>
    <col width="16" customWidth="1" min="5" max="5"/>
    <col width="16" customWidth="1" min="6" max="6"/>
    <col width="16" customWidth="1" min="7" max="7"/>
    <col width="17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1" t="n"/>
      <c r="B2" s="14" t="inlineStr">
        <is>
          <t>Cuadro de amortización por años</t>
        </is>
      </c>
      <c r="C2" s="1" t="n"/>
      <c r="D2" s="1" t="n"/>
      <c r="E2" s="1" t="n"/>
      <c r="F2" s="1" t="n"/>
      <c r="G2" s="1" t="n"/>
      <c r="H2" s="15" t="inlineStr">
        <is>
          <t>HogarClaro</t>
        </is>
      </c>
    </row>
    <row r="3" ht="20" customHeight="1">
      <c r="A3" s="1" t="n"/>
      <c r="B3" s="16">
        <f>"Oferta: "&amp;CHOOSE(CA_OFERTA,OF_BANCO_1,OF_BANCO_2,OF_BANCO_3,OF_BANCO_4)</f>
        <v/>
      </c>
      <c r="C3" s="1" t="n"/>
      <c r="D3" s="1" t="n"/>
      <c r="E3" s="1" t="n"/>
      <c r="F3" s="1" t="n"/>
      <c r="G3" s="1" t="n"/>
      <c r="H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</row>
    <row r="6">
      <c r="B6" s="23" t="inlineStr">
        <is>
          <t>Oferta</t>
        </is>
      </c>
      <c r="C6" s="55" t="n">
        <v>1</v>
      </c>
      <c r="D6" s="12" t="inlineStr">
        <is>
          <t>Elige 1, 2, 3 o 4</t>
        </is>
      </c>
    </row>
    <row r="8" ht="30" customHeight="1">
      <c r="B8" s="21" t="inlineStr">
        <is>
          <t>Año</t>
        </is>
      </c>
      <c r="C8" s="21" t="inlineStr">
        <is>
          <t>TIN %</t>
        </is>
      </c>
      <c r="D8" s="21" t="inlineStr">
        <is>
          <t>Cuota media</t>
        </is>
      </c>
      <c r="E8" s="21" t="inlineStr">
        <is>
          <t>Pagado en el año</t>
        </is>
      </c>
      <c r="F8" s="21" t="inlineStr">
        <is>
          <t>Intereses</t>
        </is>
      </c>
      <c r="G8" s="21" t="inlineStr">
        <is>
          <t>Capital</t>
        </is>
      </c>
      <c r="H8" s="21" t="inlineStr">
        <is>
          <t>Pendiente al final</t>
        </is>
      </c>
    </row>
    <row r="9">
      <c r="B9" s="56">
        <f>IF(1*12-11&gt;MESES,"",1)</f>
        <v/>
      </c>
      <c r="C9" s="52">
        <f>IF(B9="","",INDEX(CHOOSE(CA_OFERTA,CMES_TIN_1,CMES_TIN_2,CMES_TIN_3,CMES_TIN_4),1*12-11))</f>
        <v/>
      </c>
      <c r="D9" s="25">
        <f>IF(B9="","",E9/MIN(12,MESES-(1-1)*12))</f>
        <v/>
      </c>
      <c r="E9" s="25">
        <f>IF(B9="","",SUMIFS(CHOOSE(CA_OFERTA,CMES_INT_1,CMES_INT_2,CMES_INT_3,CMES_INT_4),CM_ANIO,1)+SUMIFS(CHOOSE(CA_OFERTA,CMES_CAP_1,CMES_CAP_2,CMES_CAP_3,CMES_CAP_4),CM_ANIO,1))</f>
        <v/>
      </c>
      <c r="F9" s="25">
        <f>IF(B9="","",SUMIFS(CHOOSE(CA_OFERTA,CMES_INT_1,CMES_INT_2,CMES_INT_3,CMES_INT_4),CM_ANIO,1))</f>
        <v/>
      </c>
      <c r="G9" s="25">
        <f>IF(B9="","",SUMIFS(CHOOSE(CA_OFERTA,CMES_CAP_1,CMES_CAP_2,CMES_CAP_3,CMES_CAP_4),CM_ANIO,1))</f>
        <v/>
      </c>
      <c r="H9" s="25">
        <f>IF(B9="","",INDEX(CHOOSE(CA_OFERTA,CMES_PEND_1,CMES_PEND_2,CMES_PEND_3,CMES_PEND_4),MIN(MESES,1*12)))</f>
        <v/>
      </c>
    </row>
    <row r="10">
      <c r="B10" s="56">
        <f>IF(2*12-11&gt;MESES,"",2)</f>
        <v/>
      </c>
      <c r="C10" s="52">
        <f>IF(B10="","",INDEX(CHOOSE(CA_OFERTA,CMES_TIN_1,CMES_TIN_2,CMES_TIN_3,CMES_TIN_4),2*12-11))</f>
        <v/>
      </c>
      <c r="D10" s="25">
        <f>IF(B10="","",E10/MIN(12,MESES-(2-1)*12))</f>
        <v/>
      </c>
      <c r="E10" s="25">
        <f>IF(B10="","",SUMIFS(CHOOSE(CA_OFERTA,CMES_INT_1,CMES_INT_2,CMES_INT_3,CMES_INT_4),CM_ANIO,2)+SUMIFS(CHOOSE(CA_OFERTA,CMES_CAP_1,CMES_CAP_2,CMES_CAP_3,CMES_CAP_4),CM_ANIO,2))</f>
        <v/>
      </c>
      <c r="F10" s="25">
        <f>IF(B10="","",SUMIFS(CHOOSE(CA_OFERTA,CMES_INT_1,CMES_INT_2,CMES_INT_3,CMES_INT_4),CM_ANIO,2))</f>
        <v/>
      </c>
      <c r="G10" s="25">
        <f>IF(B10="","",SUMIFS(CHOOSE(CA_OFERTA,CMES_CAP_1,CMES_CAP_2,CMES_CAP_3,CMES_CAP_4),CM_ANIO,2))</f>
        <v/>
      </c>
      <c r="H10" s="25">
        <f>IF(B10="","",INDEX(CHOOSE(CA_OFERTA,CMES_PEND_1,CMES_PEND_2,CMES_PEND_3,CMES_PEND_4),MIN(MESES,2*12)))</f>
        <v/>
      </c>
    </row>
    <row r="11">
      <c r="B11" s="56">
        <f>IF(3*12-11&gt;MESES,"",3)</f>
        <v/>
      </c>
      <c r="C11" s="52">
        <f>IF(B11="","",INDEX(CHOOSE(CA_OFERTA,CMES_TIN_1,CMES_TIN_2,CMES_TIN_3,CMES_TIN_4),3*12-11))</f>
        <v/>
      </c>
      <c r="D11" s="25">
        <f>IF(B11="","",E11/MIN(12,MESES-(3-1)*12))</f>
        <v/>
      </c>
      <c r="E11" s="25">
        <f>IF(B11="","",SUMIFS(CHOOSE(CA_OFERTA,CMES_INT_1,CMES_INT_2,CMES_INT_3,CMES_INT_4),CM_ANIO,3)+SUMIFS(CHOOSE(CA_OFERTA,CMES_CAP_1,CMES_CAP_2,CMES_CAP_3,CMES_CAP_4),CM_ANIO,3))</f>
        <v/>
      </c>
      <c r="F11" s="25">
        <f>IF(B11="","",SUMIFS(CHOOSE(CA_OFERTA,CMES_INT_1,CMES_INT_2,CMES_INT_3,CMES_INT_4),CM_ANIO,3))</f>
        <v/>
      </c>
      <c r="G11" s="25">
        <f>IF(B11="","",SUMIFS(CHOOSE(CA_OFERTA,CMES_CAP_1,CMES_CAP_2,CMES_CAP_3,CMES_CAP_4),CM_ANIO,3))</f>
        <v/>
      </c>
      <c r="H11" s="25">
        <f>IF(B11="","",INDEX(CHOOSE(CA_OFERTA,CMES_PEND_1,CMES_PEND_2,CMES_PEND_3,CMES_PEND_4),MIN(MESES,3*12)))</f>
        <v/>
      </c>
    </row>
    <row r="12">
      <c r="B12" s="56">
        <f>IF(4*12-11&gt;MESES,"",4)</f>
        <v/>
      </c>
      <c r="C12" s="52">
        <f>IF(B12="","",INDEX(CHOOSE(CA_OFERTA,CMES_TIN_1,CMES_TIN_2,CMES_TIN_3,CMES_TIN_4),4*12-11))</f>
        <v/>
      </c>
      <c r="D12" s="25">
        <f>IF(B12="","",E12/MIN(12,MESES-(4-1)*12))</f>
        <v/>
      </c>
      <c r="E12" s="25">
        <f>IF(B12="","",SUMIFS(CHOOSE(CA_OFERTA,CMES_INT_1,CMES_INT_2,CMES_INT_3,CMES_INT_4),CM_ANIO,4)+SUMIFS(CHOOSE(CA_OFERTA,CMES_CAP_1,CMES_CAP_2,CMES_CAP_3,CMES_CAP_4),CM_ANIO,4))</f>
        <v/>
      </c>
      <c r="F12" s="25">
        <f>IF(B12="","",SUMIFS(CHOOSE(CA_OFERTA,CMES_INT_1,CMES_INT_2,CMES_INT_3,CMES_INT_4),CM_ANIO,4))</f>
        <v/>
      </c>
      <c r="G12" s="25">
        <f>IF(B12="","",SUMIFS(CHOOSE(CA_OFERTA,CMES_CAP_1,CMES_CAP_2,CMES_CAP_3,CMES_CAP_4),CM_ANIO,4))</f>
        <v/>
      </c>
      <c r="H12" s="25">
        <f>IF(B12="","",INDEX(CHOOSE(CA_OFERTA,CMES_PEND_1,CMES_PEND_2,CMES_PEND_3,CMES_PEND_4),MIN(MESES,4*12)))</f>
        <v/>
      </c>
    </row>
    <row r="13">
      <c r="B13" s="56">
        <f>IF(5*12-11&gt;MESES,"",5)</f>
        <v/>
      </c>
      <c r="C13" s="52">
        <f>IF(B13="","",INDEX(CHOOSE(CA_OFERTA,CMES_TIN_1,CMES_TIN_2,CMES_TIN_3,CMES_TIN_4),5*12-11))</f>
        <v/>
      </c>
      <c r="D13" s="25">
        <f>IF(B13="","",E13/MIN(12,MESES-(5-1)*12))</f>
        <v/>
      </c>
      <c r="E13" s="25">
        <f>IF(B13="","",SUMIFS(CHOOSE(CA_OFERTA,CMES_INT_1,CMES_INT_2,CMES_INT_3,CMES_INT_4),CM_ANIO,5)+SUMIFS(CHOOSE(CA_OFERTA,CMES_CAP_1,CMES_CAP_2,CMES_CAP_3,CMES_CAP_4),CM_ANIO,5))</f>
        <v/>
      </c>
      <c r="F13" s="25">
        <f>IF(B13="","",SUMIFS(CHOOSE(CA_OFERTA,CMES_INT_1,CMES_INT_2,CMES_INT_3,CMES_INT_4),CM_ANIO,5))</f>
        <v/>
      </c>
      <c r="G13" s="25">
        <f>IF(B13="","",SUMIFS(CHOOSE(CA_OFERTA,CMES_CAP_1,CMES_CAP_2,CMES_CAP_3,CMES_CAP_4),CM_ANIO,5))</f>
        <v/>
      </c>
      <c r="H13" s="25">
        <f>IF(B13="","",INDEX(CHOOSE(CA_OFERTA,CMES_PEND_1,CMES_PEND_2,CMES_PEND_3,CMES_PEND_4),MIN(MESES,5*12)))</f>
        <v/>
      </c>
    </row>
    <row r="14">
      <c r="B14" s="56">
        <f>IF(6*12-11&gt;MESES,"",6)</f>
        <v/>
      </c>
      <c r="C14" s="52">
        <f>IF(B14="","",INDEX(CHOOSE(CA_OFERTA,CMES_TIN_1,CMES_TIN_2,CMES_TIN_3,CMES_TIN_4),6*12-11))</f>
        <v/>
      </c>
      <c r="D14" s="25">
        <f>IF(B14="","",E14/MIN(12,MESES-(6-1)*12))</f>
        <v/>
      </c>
      <c r="E14" s="25">
        <f>IF(B14="","",SUMIFS(CHOOSE(CA_OFERTA,CMES_INT_1,CMES_INT_2,CMES_INT_3,CMES_INT_4),CM_ANIO,6)+SUMIFS(CHOOSE(CA_OFERTA,CMES_CAP_1,CMES_CAP_2,CMES_CAP_3,CMES_CAP_4),CM_ANIO,6))</f>
        <v/>
      </c>
      <c r="F14" s="25">
        <f>IF(B14="","",SUMIFS(CHOOSE(CA_OFERTA,CMES_INT_1,CMES_INT_2,CMES_INT_3,CMES_INT_4),CM_ANIO,6))</f>
        <v/>
      </c>
      <c r="G14" s="25">
        <f>IF(B14="","",SUMIFS(CHOOSE(CA_OFERTA,CMES_CAP_1,CMES_CAP_2,CMES_CAP_3,CMES_CAP_4),CM_ANIO,6))</f>
        <v/>
      </c>
      <c r="H14" s="25">
        <f>IF(B14="","",INDEX(CHOOSE(CA_OFERTA,CMES_PEND_1,CMES_PEND_2,CMES_PEND_3,CMES_PEND_4),MIN(MESES,6*12)))</f>
        <v/>
      </c>
    </row>
    <row r="15">
      <c r="B15" s="56">
        <f>IF(7*12-11&gt;MESES,"",7)</f>
        <v/>
      </c>
      <c r="C15" s="52">
        <f>IF(B15="","",INDEX(CHOOSE(CA_OFERTA,CMES_TIN_1,CMES_TIN_2,CMES_TIN_3,CMES_TIN_4),7*12-11))</f>
        <v/>
      </c>
      <c r="D15" s="25">
        <f>IF(B15="","",E15/MIN(12,MESES-(7-1)*12))</f>
        <v/>
      </c>
      <c r="E15" s="25">
        <f>IF(B15="","",SUMIFS(CHOOSE(CA_OFERTA,CMES_INT_1,CMES_INT_2,CMES_INT_3,CMES_INT_4),CM_ANIO,7)+SUMIFS(CHOOSE(CA_OFERTA,CMES_CAP_1,CMES_CAP_2,CMES_CAP_3,CMES_CAP_4),CM_ANIO,7))</f>
        <v/>
      </c>
      <c r="F15" s="25">
        <f>IF(B15="","",SUMIFS(CHOOSE(CA_OFERTA,CMES_INT_1,CMES_INT_2,CMES_INT_3,CMES_INT_4),CM_ANIO,7))</f>
        <v/>
      </c>
      <c r="G15" s="25">
        <f>IF(B15="","",SUMIFS(CHOOSE(CA_OFERTA,CMES_CAP_1,CMES_CAP_2,CMES_CAP_3,CMES_CAP_4),CM_ANIO,7))</f>
        <v/>
      </c>
      <c r="H15" s="25">
        <f>IF(B15="","",INDEX(CHOOSE(CA_OFERTA,CMES_PEND_1,CMES_PEND_2,CMES_PEND_3,CMES_PEND_4),MIN(MESES,7*12)))</f>
        <v/>
      </c>
    </row>
    <row r="16">
      <c r="B16" s="56">
        <f>IF(8*12-11&gt;MESES,"",8)</f>
        <v/>
      </c>
      <c r="C16" s="52">
        <f>IF(B16="","",INDEX(CHOOSE(CA_OFERTA,CMES_TIN_1,CMES_TIN_2,CMES_TIN_3,CMES_TIN_4),8*12-11))</f>
        <v/>
      </c>
      <c r="D16" s="25">
        <f>IF(B16="","",E16/MIN(12,MESES-(8-1)*12))</f>
        <v/>
      </c>
      <c r="E16" s="25">
        <f>IF(B16="","",SUMIFS(CHOOSE(CA_OFERTA,CMES_INT_1,CMES_INT_2,CMES_INT_3,CMES_INT_4),CM_ANIO,8)+SUMIFS(CHOOSE(CA_OFERTA,CMES_CAP_1,CMES_CAP_2,CMES_CAP_3,CMES_CAP_4),CM_ANIO,8))</f>
        <v/>
      </c>
      <c r="F16" s="25">
        <f>IF(B16="","",SUMIFS(CHOOSE(CA_OFERTA,CMES_INT_1,CMES_INT_2,CMES_INT_3,CMES_INT_4),CM_ANIO,8))</f>
        <v/>
      </c>
      <c r="G16" s="25">
        <f>IF(B16="","",SUMIFS(CHOOSE(CA_OFERTA,CMES_CAP_1,CMES_CAP_2,CMES_CAP_3,CMES_CAP_4),CM_ANIO,8))</f>
        <v/>
      </c>
      <c r="H16" s="25">
        <f>IF(B16="","",INDEX(CHOOSE(CA_OFERTA,CMES_PEND_1,CMES_PEND_2,CMES_PEND_3,CMES_PEND_4),MIN(MESES,8*12)))</f>
        <v/>
      </c>
    </row>
    <row r="17">
      <c r="B17" s="56">
        <f>IF(9*12-11&gt;MESES,"",9)</f>
        <v/>
      </c>
      <c r="C17" s="52">
        <f>IF(B17="","",INDEX(CHOOSE(CA_OFERTA,CMES_TIN_1,CMES_TIN_2,CMES_TIN_3,CMES_TIN_4),9*12-11))</f>
        <v/>
      </c>
      <c r="D17" s="25">
        <f>IF(B17="","",E17/MIN(12,MESES-(9-1)*12))</f>
        <v/>
      </c>
      <c r="E17" s="25">
        <f>IF(B17="","",SUMIFS(CHOOSE(CA_OFERTA,CMES_INT_1,CMES_INT_2,CMES_INT_3,CMES_INT_4),CM_ANIO,9)+SUMIFS(CHOOSE(CA_OFERTA,CMES_CAP_1,CMES_CAP_2,CMES_CAP_3,CMES_CAP_4),CM_ANIO,9))</f>
        <v/>
      </c>
      <c r="F17" s="25">
        <f>IF(B17="","",SUMIFS(CHOOSE(CA_OFERTA,CMES_INT_1,CMES_INT_2,CMES_INT_3,CMES_INT_4),CM_ANIO,9))</f>
        <v/>
      </c>
      <c r="G17" s="25">
        <f>IF(B17="","",SUMIFS(CHOOSE(CA_OFERTA,CMES_CAP_1,CMES_CAP_2,CMES_CAP_3,CMES_CAP_4),CM_ANIO,9))</f>
        <v/>
      </c>
      <c r="H17" s="25">
        <f>IF(B17="","",INDEX(CHOOSE(CA_OFERTA,CMES_PEND_1,CMES_PEND_2,CMES_PEND_3,CMES_PEND_4),MIN(MESES,9*12)))</f>
        <v/>
      </c>
    </row>
    <row r="18">
      <c r="B18" s="56">
        <f>IF(10*12-11&gt;MESES,"",10)</f>
        <v/>
      </c>
      <c r="C18" s="52">
        <f>IF(B18="","",INDEX(CHOOSE(CA_OFERTA,CMES_TIN_1,CMES_TIN_2,CMES_TIN_3,CMES_TIN_4),10*12-11))</f>
        <v/>
      </c>
      <c r="D18" s="25">
        <f>IF(B18="","",E18/MIN(12,MESES-(10-1)*12))</f>
        <v/>
      </c>
      <c r="E18" s="25">
        <f>IF(B18="","",SUMIFS(CHOOSE(CA_OFERTA,CMES_INT_1,CMES_INT_2,CMES_INT_3,CMES_INT_4),CM_ANIO,10)+SUMIFS(CHOOSE(CA_OFERTA,CMES_CAP_1,CMES_CAP_2,CMES_CAP_3,CMES_CAP_4),CM_ANIO,10))</f>
        <v/>
      </c>
      <c r="F18" s="25">
        <f>IF(B18="","",SUMIFS(CHOOSE(CA_OFERTA,CMES_INT_1,CMES_INT_2,CMES_INT_3,CMES_INT_4),CM_ANIO,10))</f>
        <v/>
      </c>
      <c r="G18" s="25">
        <f>IF(B18="","",SUMIFS(CHOOSE(CA_OFERTA,CMES_CAP_1,CMES_CAP_2,CMES_CAP_3,CMES_CAP_4),CM_ANIO,10))</f>
        <v/>
      </c>
      <c r="H18" s="25">
        <f>IF(B18="","",INDEX(CHOOSE(CA_OFERTA,CMES_PEND_1,CMES_PEND_2,CMES_PEND_3,CMES_PEND_4),MIN(MESES,10*12)))</f>
        <v/>
      </c>
    </row>
    <row r="19">
      <c r="B19" s="56">
        <f>IF(11*12-11&gt;MESES,"",11)</f>
        <v/>
      </c>
      <c r="C19" s="52">
        <f>IF(B19="","",INDEX(CHOOSE(CA_OFERTA,CMES_TIN_1,CMES_TIN_2,CMES_TIN_3,CMES_TIN_4),11*12-11))</f>
        <v/>
      </c>
      <c r="D19" s="25">
        <f>IF(B19="","",E19/MIN(12,MESES-(11-1)*12))</f>
        <v/>
      </c>
      <c r="E19" s="25">
        <f>IF(B19="","",SUMIFS(CHOOSE(CA_OFERTA,CMES_INT_1,CMES_INT_2,CMES_INT_3,CMES_INT_4),CM_ANIO,11)+SUMIFS(CHOOSE(CA_OFERTA,CMES_CAP_1,CMES_CAP_2,CMES_CAP_3,CMES_CAP_4),CM_ANIO,11))</f>
        <v/>
      </c>
      <c r="F19" s="25">
        <f>IF(B19="","",SUMIFS(CHOOSE(CA_OFERTA,CMES_INT_1,CMES_INT_2,CMES_INT_3,CMES_INT_4),CM_ANIO,11))</f>
        <v/>
      </c>
      <c r="G19" s="25">
        <f>IF(B19="","",SUMIFS(CHOOSE(CA_OFERTA,CMES_CAP_1,CMES_CAP_2,CMES_CAP_3,CMES_CAP_4),CM_ANIO,11))</f>
        <v/>
      </c>
      <c r="H19" s="25">
        <f>IF(B19="","",INDEX(CHOOSE(CA_OFERTA,CMES_PEND_1,CMES_PEND_2,CMES_PEND_3,CMES_PEND_4),MIN(MESES,11*12)))</f>
        <v/>
      </c>
    </row>
    <row r="20">
      <c r="B20" s="56">
        <f>IF(12*12-11&gt;MESES,"",12)</f>
        <v/>
      </c>
      <c r="C20" s="52">
        <f>IF(B20="","",INDEX(CHOOSE(CA_OFERTA,CMES_TIN_1,CMES_TIN_2,CMES_TIN_3,CMES_TIN_4),12*12-11))</f>
        <v/>
      </c>
      <c r="D20" s="25">
        <f>IF(B20="","",E20/MIN(12,MESES-(12-1)*12))</f>
        <v/>
      </c>
      <c r="E20" s="25">
        <f>IF(B20="","",SUMIFS(CHOOSE(CA_OFERTA,CMES_INT_1,CMES_INT_2,CMES_INT_3,CMES_INT_4),CM_ANIO,12)+SUMIFS(CHOOSE(CA_OFERTA,CMES_CAP_1,CMES_CAP_2,CMES_CAP_3,CMES_CAP_4),CM_ANIO,12))</f>
        <v/>
      </c>
      <c r="F20" s="25">
        <f>IF(B20="","",SUMIFS(CHOOSE(CA_OFERTA,CMES_INT_1,CMES_INT_2,CMES_INT_3,CMES_INT_4),CM_ANIO,12))</f>
        <v/>
      </c>
      <c r="G20" s="25">
        <f>IF(B20="","",SUMIFS(CHOOSE(CA_OFERTA,CMES_CAP_1,CMES_CAP_2,CMES_CAP_3,CMES_CAP_4),CM_ANIO,12))</f>
        <v/>
      </c>
      <c r="H20" s="25">
        <f>IF(B20="","",INDEX(CHOOSE(CA_OFERTA,CMES_PEND_1,CMES_PEND_2,CMES_PEND_3,CMES_PEND_4),MIN(MESES,12*12)))</f>
        <v/>
      </c>
    </row>
    <row r="21">
      <c r="B21" s="56">
        <f>IF(13*12-11&gt;MESES,"",13)</f>
        <v/>
      </c>
      <c r="C21" s="52">
        <f>IF(B21="","",INDEX(CHOOSE(CA_OFERTA,CMES_TIN_1,CMES_TIN_2,CMES_TIN_3,CMES_TIN_4),13*12-11))</f>
        <v/>
      </c>
      <c r="D21" s="25">
        <f>IF(B21="","",E21/MIN(12,MESES-(13-1)*12))</f>
        <v/>
      </c>
      <c r="E21" s="25">
        <f>IF(B21="","",SUMIFS(CHOOSE(CA_OFERTA,CMES_INT_1,CMES_INT_2,CMES_INT_3,CMES_INT_4),CM_ANIO,13)+SUMIFS(CHOOSE(CA_OFERTA,CMES_CAP_1,CMES_CAP_2,CMES_CAP_3,CMES_CAP_4),CM_ANIO,13))</f>
        <v/>
      </c>
      <c r="F21" s="25">
        <f>IF(B21="","",SUMIFS(CHOOSE(CA_OFERTA,CMES_INT_1,CMES_INT_2,CMES_INT_3,CMES_INT_4),CM_ANIO,13))</f>
        <v/>
      </c>
      <c r="G21" s="25">
        <f>IF(B21="","",SUMIFS(CHOOSE(CA_OFERTA,CMES_CAP_1,CMES_CAP_2,CMES_CAP_3,CMES_CAP_4),CM_ANIO,13))</f>
        <v/>
      </c>
      <c r="H21" s="25">
        <f>IF(B21="","",INDEX(CHOOSE(CA_OFERTA,CMES_PEND_1,CMES_PEND_2,CMES_PEND_3,CMES_PEND_4),MIN(MESES,13*12)))</f>
        <v/>
      </c>
    </row>
    <row r="22">
      <c r="B22" s="56">
        <f>IF(14*12-11&gt;MESES,"",14)</f>
        <v/>
      </c>
      <c r="C22" s="52">
        <f>IF(B22="","",INDEX(CHOOSE(CA_OFERTA,CMES_TIN_1,CMES_TIN_2,CMES_TIN_3,CMES_TIN_4),14*12-11))</f>
        <v/>
      </c>
      <c r="D22" s="25">
        <f>IF(B22="","",E22/MIN(12,MESES-(14-1)*12))</f>
        <v/>
      </c>
      <c r="E22" s="25">
        <f>IF(B22="","",SUMIFS(CHOOSE(CA_OFERTA,CMES_INT_1,CMES_INT_2,CMES_INT_3,CMES_INT_4),CM_ANIO,14)+SUMIFS(CHOOSE(CA_OFERTA,CMES_CAP_1,CMES_CAP_2,CMES_CAP_3,CMES_CAP_4),CM_ANIO,14))</f>
        <v/>
      </c>
      <c r="F22" s="25">
        <f>IF(B22="","",SUMIFS(CHOOSE(CA_OFERTA,CMES_INT_1,CMES_INT_2,CMES_INT_3,CMES_INT_4),CM_ANIO,14))</f>
        <v/>
      </c>
      <c r="G22" s="25">
        <f>IF(B22="","",SUMIFS(CHOOSE(CA_OFERTA,CMES_CAP_1,CMES_CAP_2,CMES_CAP_3,CMES_CAP_4),CM_ANIO,14))</f>
        <v/>
      </c>
      <c r="H22" s="25">
        <f>IF(B22="","",INDEX(CHOOSE(CA_OFERTA,CMES_PEND_1,CMES_PEND_2,CMES_PEND_3,CMES_PEND_4),MIN(MESES,14*12)))</f>
        <v/>
      </c>
    </row>
    <row r="23">
      <c r="B23" s="56">
        <f>IF(15*12-11&gt;MESES,"",15)</f>
        <v/>
      </c>
      <c r="C23" s="52">
        <f>IF(B23="","",INDEX(CHOOSE(CA_OFERTA,CMES_TIN_1,CMES_TIN_2,CMES_TIN_3,CMES_TIN_4),15*12-11))</f>
        <v/>
      </c>
      <c r="D23" s="25">
        <f>IF(B23="","",E23/MIN(12,MESES-(15-1)*12))</f>
        <v/>
      </c>
      <c r="E23" s="25">
        <f>IF(B23="","",SUMIFS(CHOOSE(CA_OFERTA,CMES_INT_1,CMES_INT_2,CMES_INT_3,CMES_INT_4),CM_ANIO,15)+SUMIFS(CHOOSE(CA_OFERTA,CMES_CAP_1,CMES_CAP_2,CMES_CAP_3,CMES_CAP_4),CM_ANIO,15))</f>
        <v/>
      </c>
      <c r="F23" s="25">
        <f>IF(B23="","",SUMIFS(CHOOSE(CA_OFERTA,CMES_INT_1,CMES_INT_2,CMES_INT_3,CMES_INT_4),CM_ANIO,15))</f>
        <v/>
      </c>
      <c r="G23" s="25">
        <f>IF(B23="","",SUMIFS(CHOOSE(CA_OFERTA,CMES_CAP_1,CMES_CAP_2,CMES_CAP_3,CMES_CAP_4),CM_ANIO,15))</f>
        <v/>
      </c>
      <c r="H23" s="25">
        <f>IF(B23="","",INDEX(CHOOSE(CA_OFERTA,CMES_PEND_1,CMES_PEND_2,CMES_PEND_3,CMES_PEND_4),MIN(MESES,15*12)))</f>
        <v/>
      </c>
    </row>
    <row r="24">
      <c r="B24" s="56">
        <f>IF(16*12-11&gt;MESES,"",16)</f>
        <v/>
      </c>
      <c r="C24" s="52">
        <f>IF(B24="","",INDEX(CHOOSE(CA_OFERTA,CMES_TIN_1,CMES_TIN_2,CMES_TIN_3,CMES_TIN_4),16*12-11))</f>
        <v/>
      </c>
      <c r="D24" s="25">
        <f>IF(B24="","",E24/MIN(12,MESES-(16-1)*12))</f>
        <v/>
      </c>
      <c r="E24" s="25">
        <f>IF(B24="","",SUMIFS(CHOOSE(CA_OFERTA,CMES_INT_1,CMES_INT_2,CMES_INT_3,CMES_INT_4),CM_ANIO,16)+SUMIFS(CHOOSE(CA_OFERTA,CMES_CAP_1,CMES_CAP_2,CMES_CAP_3,CMES_CAP_4),CM_ANIO,16))</f>
        <v/>
      </c>
      <c r="F24" s="25">
        <f>IF(B24="","",SUMIFS(CHOOSE(CA_OFERTA,CMES_INT_1,CMES_INT_2,CMES_INT_3,CMES_INT_4),CM_ANIO,16))</f>
        <v/>
      </c>
      <c r="G24" s="25">
        <f>IF(B24="","",SUMIFS(CHOOSE(CA_OFERTA,CMES_CAP_1,CMES_CAP_2,CMES_CAP_3,CMES_CAP_4),CM_ANIO,16))</f>
        <v/>
      </c>
      <c r="H24" s="25">
        <f>IF(B24="","",INDEX(CHOOSE(CA_OFERTA,CMES_PEND_1,CMES_PEND_2,CMES_PEND_3,CMES_PEND_4),MIN(MESES,16*12)))</f>
        <v/>
      </c>
    </row>
    <row r="25">
      <c r="B25" s="56">
        <f>IF(17*12-11&gt;MESES,"",17)</f>
        <v/>
      </c>
      <c r="C25" s="52">
        <f>IF(B25="","",INDEX(CHOOSE(CA_OFERTA,CMES_TIN_1,CMES_TIN_2,CMES_TIN_3,CMES_TIN_4),17*12-11))</f>
        <v/>
      </c>
      <c r="D25" s="25">
        <f>IF(B25="","",E25/MIN(12,MESES-(17-1)*12))</f>
        <v/>
      </c>
      <c r="E25" s="25">
        <f>IF(B25="","",SUMIFS(CHOOSE(CA_OFERTA,CMES_INT_1,CMES_INT_2,CMES_INT_3,CMES_INT_4),CM_ANIO,17)+SUMIFS(CHOOSE(CA_OFERTA,CMES_CAP_1,CMES_CAP_2,CMES_CAP_3,CMES_CAP_4),CM_ANIO,17))</f>
        <v/>
      </c>
      <c r="F25" s="25">
        <f>IF(B25="","",SUMIFS(CHOOSE(CA_OFERTA,CMES_INT_1,CMES_INT_2,CMES_INT_3,CMES_INT_4),CM_ANIO,17))</f>
        <v/>
      </c>
      <c r="G25" s="25">
        <f>IF(B25="","",SUMIFS(CHOOSE(CA_OFERTA,CMES_CAP_1,CMES_CAP_2,CMES_CAP_3,CMES_CAP_4),CM_ANIO,17))</f>
        <v/>
      </c>
      <c r="H25" s="25">
        <f>IF(B25="","",INDEX(CHOOSE(CA_OFERTA,CMES_PEND_1,CMES_PEND_2,CMES_PEND_3,CMES_PEND_4),MIN(MESES,17*12)))</f>
        <v/>
      </c>
    </row>
    <row r="26">
      <c r="B26" s="56">
        <f>IF(18*12-11&gt;MESES,"",18)</f>
        <v/>
      </c>
      <c r="C26" s="52">
        <f>IF(B26="","",INDEX(CHOOSE(CA_OFERTA,CMES_TIN_1,CMES_TIN_2,CMES_TIN_3,CMES_TIN_4),18*12-11))</f>
        <v/>
      </c>
      <c r="D26" s="25">
        <f>IF(B26="","",E26/MIN(12,MESES-(18-1)*12))</f>
        <v/>
      </c>
      <c r="E26" s="25">
        <f>IF(B26="","",SUMIFS(CHOOSE(CA_OFERTA,CMES_INT_1,CMES_INT_2,CMES_INT_3,CMES_INT_4),CM_ANIO,18)+SUMIFS(CHOOSE(CA_OFERTA,CMES_CAP_1,CMES_CAP_2,CMES_CAP_3,CMES_CAP_4),CM_ANIO,18))</f>
        <v/>
      </c>
      <c r="F26" s="25">
        <f>IF(B26="","",SUMIFS(CHOOSE(CA_OFERTA,CMES_INT_1,CMES_INT_2,CMES_INT_3,CMES_INT_4),CM_ANIO,18))</f>
        <v/>
      </c>
      <c r="G26" s="25">
        <f>IF(B26="","",SUMIFS(CHOOSE(CA_OFERTA,CMES_CAP_1,CMES_CAP_2,CMES_CAP_3,CMES_CAP_4),CM_ANIO,18))</f>
        <v/>
      </c>
      <c r="H26" s="25">
        <f>IF(B26="","",INDEX(CHOOSE(CA_OFERTA,CMES_PEND_1,CMES_PEND_2,CMES_PEND_3,CMES_PEND_4),MIN(MESES,18*12)))</f>
        <v/>
      </c>
    </row>
    <row r="27">
      <c r="B27" s="56">
        <f>IF(19*12-11&gt;MESES,"",19)</f>
        <v/>
      </c>
      <c r="C27" s="52">
        <f>IF(B27="","",INDEX(CHOOSE(CA_OFERTA,CMES_TIN_1,CMES_TIN_2,CMES_TIN_3,CMES_TIN_4),19*12-11))</f>
        <v/>
      </c>
      <c r="D27" s="25">
        <f>IF(B27="","",E27/MIN(12,MESES-(19-1)*12))</f>
        <v/>
      </c>
      <c r="E27" s="25">
        <f>IF(B27="","",SUMIFS(CHOOSE(CA_OFERTA,CMES_INT_1,CMES_INT_2,CMES_INT_3,CMES_INT_4),CM_ANIO,19)+SUMIFS(CHOOSE(CA_OFERTA,CMES_CAP_1,CMES_CAP_2,CMES_CAP_3,CMES_CAP_4),CM_ANIO,19))</f>
        <v/>
      </c>
      <c r="F27" s="25">
        <f>IF(B27="","",SUMIFS(CHOOSE(CA_OFERTA,CMES_INT_1,CMES_INT_2,CMES_INT_3,CMES_INT_4),CM_ANIO,19))</f>
        <v/>
      </c>
      <c r="G27" s="25">
        <f>IF(B27="","",SUMIFS(CHOOSE(CA_OFERTA,CMES_CAP_1,CMES_CAP_2,CMES_CAP_3,CMES_CAP_4),CM_ANIO,19))</f>
        <v/>
      </c>
      <c r="H27" s="25">
        <f>IF(B27="","",INDEX(CHOOSE(CA_OFERTA,CMES_PEND_1,CMES_PEND_2,CMES_PEND_3,CMES_PEND_4),MIN(MESES,19*12)))</f>
        <v/>
      </c>
    </row>
    <row r="28">
      <c r="B28" s="56">
        <f>IF(20*12-11&gt;MESES,"",20)</f>
        <v/>
      </c>
      <c r="C28" s="52">
        <f>IF(B28="","",INDEX(CHOOSE(CA_OFERTA,CMES_TIN_1,CMES_TIN_2,CMES_TIN_3,CMES_TIN_4),20*12-11))</f>
        <v/>
      </c>
      <c r="D28" s="25">
        <f>IF(B28="","",E28/MIN(12,MESES-(20-1)*12))</f>
        <v/>
      </c>
      <c r="E28" s="25">
        <f>IF(B28="","",SUMIFS(CHOOSE(CA_OFERTA,CMES_INT_1,CMES_INT_2,CMES_INT_3,CMES_INT_4),CM_ANIO,20)+SUMIFS(CHOOSE(CA_OFERTA,CMES_CAP_1,CMES_CAP_2,CMES_CAP_3,CMES_CAP_4),CM_ANIO,20))</f>
        <v/>
      </c>
      <c r="F28" s="25">
        <f>IF(B28="","",SUMIFS(CHOOSE(CA_OFERTA,CMES_INT_1,CMES_INT_2,CMES_INT_3,CMES_INT_4),CM_ANIO,20))</f>
        <v/>
      </c>
      <c r="G28" s="25">
        <f>IF(B28="","",SUMIFS(CHOOSE(CA_OFERTA,CMES_CAP_1,CMES_CAP_2,CMES_CAP_3,CMES_CAP_4),CM_ANIO,20))</f>
        <v/>
      </c>
      <c r="H28" s="25">
        <f>IF(B28="","",INDEX(CHOOSE(CA_OFERTA,CMES_PEND_1,CMES_PEND_2,CMES_PEND_3,CMES_PEND_4),MIN(MESES,20*12)))</f>
        <v/>
      </c>
    </row>
    <row r="29">
      <c r="B29" s="56">
        <f>IF(21*12-11&gt;MESES,"",21)</f>
        <v/>
      </c>
      <c r="C29" s="52">
        <f>IF(B29="","",INDEX(CHOOSE(CA_OFERTA,CMES_TIN_1,CMES_TIN_2,CMES_TIN_3,CMES_TIN_4),21*12-11))</f>
        <v/>
      </c>
      <c r="D29" s="25">
        <f>IF(B29="","",E29/MIN(12,MESES-(21-1)*12))</f>
        <v/>
      </c>
      <c r="E29" s="25">
        <f>IF(B29="","",SUMIFS(CHOOSE(CA_OFERTA,CMES_INT_1,CMES_INT_2,CMES_INT_3,CMES_INT_4),CM_ANIO,21)+SUMIFS(CHOOSE(CA_OFERTA,CMES_CAP_1,CMES_CAP_2,CMES_CAP_3,CMES_CAP_4),CM_ANIO,21))</f>
        <v/>
      </c>
      <c r="F29" s="25">
        <f>IF(B29="","",SUMIFS(CHOOSE(CA_OFERTA,CMES_INT_1,CMES_INT_2,CMES_INT_3,CMES_INT_4),CM_ANIO,21))</f>
        <v/>
      </c>
      <c r="G29" s="25">
        <f>IF(B29="","",SUMIFS(CHOOSE(CA_OFERTA,CMES_CAP_1,CMES_CAP_2,CMES_CAP_3,CMES_CAP_4),CM_ANIO,21))</f>
        <v/>
      </c>
      <c r="H29" s="25">
        <f>IF(B29="","",INDEX(CHOOSE(CA_OFERTA,CMES_PEND_1,CMES_PEND_2,CMES_PEND_3,CMES_PEND_4),MIN(MESES,21*12)))</f>
        <v/>
      </c>
    </row>
    <row r="30">
      <c r="B30" s="56">
        <f>IF(22*12-11&gt;MESES,"",22)</f>
        <v/>
      </c>
      <c r="C30" s="52">
        <f>IF(B30="","",INDEX(CHOOSE(CA_OFERTA,CMES_TIN_1,CMES_TIN_2,CMES_TIN_3,CMES_TIN_4),22*12-11))</f>
        <v/>
      </c>
      <c r="D30" s="25">
        <f>IF(B30="","",E30/MIN(12,MESES-(22-1)*12))</f>
        <v/>
      </c>
      <c r="E30" s="25">
        <f>IF(B30="","",SUMIFS(CHOOSE(CA_OFERTA,CMES_INT_1,CMES_INT_2,CMES_INT_3,CMES_INT_4),CM_ANIO,22)+SUMIFS(CHOOSE(CA_OFERTA,CMES_CAP_1,CMES_CAP_2,CMES_CAP_3,CMES_CAP_4),CM_ANIO,22))</f>
        <v/>
      </c>
      <c r="F30" s="25">
        <f>IF(B30="","",SUMIFS(CHOOSE(CA_OFERTA,CMES_INT_1,CMES_INT_2,CMES_INT_3,CMES_INT_4),CM_ANIO,22))</f>
        <v/>
      </c>
      <c r="G30" s="25">
        <f>IF(B30="","",SUMIFS(CHOOSE(CA_OFERTA,CMES_CAP_1,CMES_CAP_2,CMES_CAP_3,CMES_CAP_4),CM_ANIO,22))</f>
        <v/>
      </c>
      <c r="H30" s="25">
        <f>IF(B30="","",INDEX(CHOOSE(CA_OFERTA,CMES_PEND_1,CMES_PEND_2,CMES_PEND_3,CMES_PEND_4),MIN(MESES,22*12)))</f>
        <v/>
      </c>
    </row>
    <row r="31">
      <c r="B31" s="56">
        <f>IF(23*12-11&gt;MESES,"",23)</f>
        <v/>
      </c>
      <c r="C31" s="52">
        <f>IF(B31="","",INDEX(CHOOSE(CA_OFERTA,CMES_TIN_1,CMES_TIN_2,CMES_TIN_3,CMES_TIN_4),23*12-11))</f>
        <v/>
      </c>
      <c r="D31" s="25">
        <f>IF(B31="","",E31/MIN(12,MESES-(23-1)*12))</f>
        <v/>
      </c>
      <c r="E31" s="25">
        <f>IF(B31="","",SUMIFS(CHOOSE(CA_OFERTA,CMES_INT_1,CMES_INT_2,CMES_INT_3,CMES_INT_4),CM_ANIO,23)+SUMIFS(CHOOSE(CA_OFERTA,CMES_CAP_1,CMES_CAP_2,CMES_CAP_3,CMES_CAP_4),CM_ANIO,23))</f>
        <v/>
      </c>
      <c r="F31" s="25">
        <f>IF(B31="","",SUMIFS(CHOOSE(CA_OFERTA,CMES_INT_1,CMES_INT_2,CMES_INT_3,CMES_INT_4),CM_ANIO,23))</f>
        <v/>
      </c>
      <c r="G31" s="25">
        <f>IF(B31="","",SUMIFS(CHOOSE(CA_OFERTA,CMES_CAP_1,CMES_CAP_2,CMES_CAP_3,CMES_CAP_4),CM_ANIO,23))</f>
        <v/>
      </c>
      <c r="H31" s="25">
        <f>IF(B31="","",INDEX(CHOOSE(CA_OFERTA,CMES_PEND_1,CMES_PEND_2,CMES_PEND_3,CMES_PEND_4),MIN(MESES,23*12)))</f>
        <v/>
      </c>
    </row>
    <row r="32">
      <c r="B32" s="56">
        <f>IF(24*12-11&gt;MESES,"",24)</f>
        <v/>
      </c>
      <c r="C32" s="52">
        <f>IF(B32="","",INDEX(CHOOSE(CA_OFERTA,CMES_TIN_1,CMES_TIN_2,CMES_TIN_3,CMES_TIN_4),24*12-11))</f>
        <v/>
      </c>
      <c r="D32" s="25">
        <f>IF(B32="","",E32/MIN(12,MESES-(24-1)*12))</f>
        <v/>
      </c>
      <c r="E32" s="25">
        <f>IF(B32="","",SUMIFS(CHOOSE(CA_OFERTA,CMES_INT_1,CMES_INT_2,CMES_INT_3,CMES_INT_4),CM_ANIO,24)+SUMIFS(CHOOSE(CA_OFERTA,CMES_CAP_1,CMES_CAP_2,CMES_CAP_3,CMES_CAP_4),CM_ANIO,24))</f>
        <v/>
      </c>
      <c r="F32" s="25">
        <f>IF(B32="","",SUMIFS(CHOOSE(CA_OFERTA,CMES_INT_1,CMES_INT_2,CMES_INT_3,CMES_INT_4),CM_ANIO,24))</f>
        <v/>
      </c>
      <c r="G32" s="25">
        <f>IF(B32="","",SUMIFS(CHOOSE(CA_OFERTA,CMES_CAP_1,CMES_CAP_2,CMES_CAP_3,CMES_CAP_4),CM_ANIO,24))</f>
        <v/>
      </c>
      <c r="H32" s="25">
        <f>IF(B32="","",INDEX(CHOOSE(CA_OFERTA,CMES_PEND_1,CMES_PEND_2,CMES_PEND_3,CMES_PEND_4),MIN(MESES,24*12)))</f>
        <v/>
      </c>
    </row>
    <row r="33">
      <c r="B33" s="56">
        <f>IF(25*12-11&gt;MESES,"",25)</f>
        <v/>
      </c>
      <c r="C33" s="52">
        <f>IF(B33="","",INDEX(CHOOSE(CA_OFERTA,CMES_TIN_1,CMES_TIN_2,CMES_TIN_3,CMES_TIN_4),25*12-11))</f>
        <v/>
      </c>
      <c r="D33" s="25">
        <f>IF(B33="","",E33/MIN(12,MESES-(25-1)*12))</f>
        <v/>
      </c>
      <c r="E33" s="25">
        <f>IF(B33="","",SUMIFS(CHOOSE(CA_OFERTA,CMES_INT_1,CMES_INT_2,CMES_INT_3,CMES_INT_4),CM_ANIO,25)+SUMIFS(CHOOSE(CA_OFERTA,CMES_CAP_1,CMES_CAP_2,CMES_CAP_3,CMES_CAP_4),CM_ANIO,25))</f>
        <v/>
      </c>
      <c r="F33" s="25">
        <f>IF(B33="","",SUMIFS(CHOOSE(CA_OFERTA,CMES_INT_1,CMES_INT_2,CMES_INT_3,CMES_INT_4),CM_ANIO,25))</f>
        <v/>
      </c>
      <c r="G33" s="25">
        <f>IF(B33="","",SUMIFS(CHOOSE(CA_OFERTA,CMES_CAP_1,CMES_CAP_2,CMES_CAP_3,CMES_CAP_4),CM_ANIO,25))</f>
        <v/>
      </c>
      <c r="H33" s="25">
        <f>IF(B33="","",INDEX(CHOOSE(CA_OFERTA,CMES_PEND_1,CMES_PEND_2,CMES_PEND_3,CMES_PEND_4),MIN(MESES,25*12)))</f>
        <v/>
      </c>
    </row>
    <row r="34">
      <c r="B34" s="56">
        <f>IF(26*12-11&gt;MESES,"",26)</f>
        <v/>
      </c>
      <c r="C34" s="52">
        <f>IF(B34="","",INDEX(CHOOSE(CA_OFERTA,CMES_TIN_1,CMES_TIN_2,CMES_TIN_3,CMES_TIN_4),26*12-11))</f>
        <v/>
      </c>
      <c r="D34" s="25">
        <f>IF(B34="","",E34/MIN(12,MESES-(26-1)*12))</f>
        <v/>
      </c>
      <c r="E34" s="25">
        <f>IF(B34="","",SUMIFS(CHOOSE(CA_OFERTA,CMES_INT_1,CMES_INT_2,CMES_INT_3,CMES_INT_4),CM_ANIO,26)+SUMIFS(CHOOSE(CA_OFERTA,CMES_CAP_1,CMES_CAP_2,CMES_CAP_3,CMES_CAP_4),CM_ANIO,26))</f>
        <v/>
      </c>
      <c r="F34" s="25">
        <f>IF(B34="","",SUMIFS(CHOOSE(CA_OFERTA,CMES_INT_1,CMES_INT_2,CMES_INT_3,CMES_INT_4),CM_ANIO,26))</f>
        <v/>
      </c>
      <c r="G34" s="25">
        <f>IF(B34="","",SUMIFS(CHOOSE(CA_OFERTA,CMES_CAP_1,CMES_CAP_2,CMES_CAP_3,CMES_CAP_4),CM_ANIO,26))</f>
        <v/>
      </c>
      <c r="H34" s="25">
        <f>IF(B34="","",INDEX(CHOOSE(CA_OFERTA,CMES_PEND_1,CMES_PEND_2,CMES_PEND_3,CMES_PEND_4),MIN(MESES,26*12)))</f>
        <v/>
      </c>
    </row>
    <row r="35">
      <c r="B35" s="56">
        <f>IF(27*12-11&gt;MESES,"",27)</f>
        <v/>
      </c>
      <c r="C35" s="52">
        <f>IF(B35="","",INDEX(CHOOSE(CA_OFERTA,CMES_TIN_1,CMES_TIN_2,CMES_TIN_3,CMES_TIN_4),27*12-11))</f>
        <v/>
      </c>
      <c r="D35" s="25">
        <f>IF(B35="","",E35/MIN(12,MESES-(27-1)*12))</f>
        <v/>
      </c>
      <c r="E35" s="25">
        <f>IF(B35="","",SUMIFS(CHOOSE(CA_OFERTA,CMES_INT_1,CMES_INT_2,CMES_INT_3,CMES_INT_4),CM_ANIO,27)+SUMIFS(CHOOSE(CA_OFERTA,CMES_CAP_1,CMES_CAP_2,CMES_CAP_3,CMES_CAP_4),CM_ANIO,27))</f>
        <v/>
      </c>
      <c r="F35" s="25">
        <f>IF(B35="","",SUMIFS(CHOOSE(CA_OFERTA,CMES_INT_1,CMES_INT_2,CMES_INT_3,CMES_INT_4),CM_ANIO,27))</f>
        <v/>
      </c>
      <c r="G35" s="25">
        <f>IF(B35="","",SUMIFS(CHOOSE(CA_OFERTA,CMES_CAP_1,CMES_CAP_2,CMES_CAP_3,CMES_CAP_4),CM_ANIO,27))</f>
        <v/>
      </c>
      <c r="H35" s="25">
        <f>IF(B35="","",INDEX(CHOOSE(CA_OFERTA,CMES_PEND_1,CMES_PEND_2,CMES_PEND_3,CMES_PEND_4),MIN(MESES,27*12)))</f>
        <v/>
      </c>
    </row>
    <row r="36">
      <c r="B36" s="56">
        <f>IF(28*12-11&gt;MESES,"",28)</f>
        <v/>
      </c>
      <c r="C36" s="52">
        <f>IF(B36="","",INDEX(CHOOSE(CA_OFERTA,CMES_TIN_1,CMES_TIN_2,CMES_TIN_3,CMES_TIN_4),28*12-11))</f>
        <v/>
      </c>
      <c r="D36" s="25">
        <f>IF(B36="","",E36/MIN(12,MESES-(28-1)*12))</f>
        <v/>
      </c>
      <c r="E36" s="25">
        <f>IF(B36="","",SUMIFS(CHOOSE(CA_OFERTA,CMES_INT_1,CMES_INT_2,CMES_INT_3,CMES_INT_4),CM_ANIO,28)+SUMIFS(CHOOSE(CA_OFERTA,CMES_CAP_1,CMES_CAP_2,CMES_CAP_3,CMES_CAP_4),CM_ANIO,28))</f>
        <v/>
      </c>
      <c r="F36" s="25">
        <f>IF(B36="","",SUMIFS(CHOOSE(CA_OFERTA,CMES_INT_1,CMES_INT_2,CMES_INT_3,CMES_INT_4),CM_ANIO,28))</f>
        <v/>
      </c>
      <c r="G36" s="25">
        <f>IF(B36="","",SUMIFS(CHOOSE(CA_OFERTA,CMES_CAP_1,CMES_CAP_2,CMES_CAP_3,CMES_CAP_4),CM_ANIO,28))</f>
        <v/>
      </c>
      <c r="H36" s="25">
        <f>IF(B36="","",INDEX(CHOOSE(CA_OFERTA,CMES_PEND_1,CMES_PEND_2,CMES_PEND_3,CMES_PEND_4),MIN(MESES,28*12)))</f>
        <v/>
      </c>
    </row>
    <row r="37">
      <c r="B37" s="56">
        <f>IF(29*12-11&gt;MESES,"",29)</f>
        <v/>
      </c>
      <c r="C37" s="52">
        <f>IF(B37="","",INDEX(CHOOSE(CA_OFERTA,CMES_TIN_1,CMES_TIN_2,CMES_TIN_3,CMES_TIN_4),29*12-11))</f>
        <v/>
      </c>
      <c r="D37" s="25">
        <f>IF(B37="","",E37/MIN(12,MESES-(29-1)*12))</f>
        <v/>
      </c>
      <c r="E37" s="25">
        <f>IF(B37="","",SUMIFS(CHOOSE(CA_OFERTA,CMES_INT_1,CMES_INT_2,CMES_INT_3,CMES_INT_4),CM_ANIO,29)+SUMIFS(CHOOSE(CA_OFERTA,CMES_CAP_1,CMES_CAP_2,CMES_CAP_3,CMES_CAP_4),CM_ANIO,29))</f>
        <v/>
      </c>
      <c r="F37" s="25">
        <f>IF(B37="","",SUMIFS(CHOOSE(CA_OFERTA,CMES_INT_1,CMES_INT_2,CMES_INT_3,CMES_INT_4),CM_ANIO,29))</f>
        <v/>
      </c>
      <c r="G37" s="25">
        <f>IF(B37="","",SUMIFS(CHOOSE(CA_OFERTA,CMES_CAP_1,CMES_CAP_2,CMES_CAP_3,CMES_CAP_4),CM_ANIO,29))</f>
        <v/>
      </c>
      <c r="H37" s="25">
        <f>IF(B37="","",INDEX(CHOOSE(CA_OFERTA,CMES_PEND_1,CMES_PEND_2,CMES_PEND_3,CMES_PEND_4),MIN(MESES,29*12)))</f>
        <v/>
      </c>
    </row>
    <row r="38">
      <c r="B38" s="56">
        <f>IF(30*12-11&gt;MESES,"",30)</f>
        <v/>
      </c>
      <c r="C38" s="52">
        <f>IF(B38="","",INDEX(CHOOSE(CA_OFERTA,CMES_TIN_1,CMES_TIN_2,CMES_TIN_3,CMES_TIN_4),30*12-11))</f>
        <v/>
      </c>
      <c r="D38" s="25">
        <f>IF(B38="","",E38/MIN(12,MESES-(30-1)*12))</f>
        <v/>
      </c>
      <c r="E38" s="25">
        <f>IF(B38="","",SUMIFS(CHOOSE(CA_OFERTA,CMES_INT_1,CMES_INT_2,CMES_INT_3,CMES_INT_4),CM_ANIO,30)+SUMIFS(CHOOSE(CA_OFERTA,CMES_CAP_1,CMES_CAP_2,CMES_CAP_3,CMES_CAP_4),CM_ANIO,30))</f>
        <v/>
      </c>
      <c r="F38" s="25">
        <f>IF(B38="","",SUMIFS(CHOOSE(CA_OFERTA,CMES_INT_1,CMES_INT_2,CMES_INT_3,CMES_INT_4),CM_ANIO,30))</f>
        <v/>
      </c>
      <c r="G38" s="25">
        <f>IF(B38="","",SUMIFS(CHOOSE(CA_OFERTA,CMES_CAP_1,CMES_CAP_2,CMES_CAP_3,CMES_CAP_4),CM_ANIO,30))</f>
        <v/>
      </c>
      <c r="H38" s="25">
        <f>IF(B38="","",INDEX(CHOOSE(CA_OFERTA,CMES_PEND_1,CMES_PEND_2,CMES_PEND_3,CMES_PEND_4),MIN(MESES,30*12)))</f>
        <v/>
      </c>
    </row>
    <row r="39">
      <c r="B39" s="56">
        <f>IF(31*12-11&gt;MESES,"",31)</f>
        <v/>
      </c>
      <c r="C39" s="52">
        <f>IF(B39="","",INDEX(CHOOSE(CA_OFERTA,CMES_TIN_1,CMES_TIN_2,CMES_TIN_3,CMES_TIN_4),31*12-11))</f>
        <v/>
      </c>
      <c r="D39" s="25">
        <f>IF(B39="","",E39/MIN(12,MESES-(31-1)*12))</f>
        <v/>
      </c>
      <c r="E39" s="25">
        <f>IF(B39="","",SUMIFS(CHOOSE(CA_OFERTA,CMES_INT_1,CMES_INT_2,CMES_INT_3,CMES_INT_4),CM_ANIO,31)+SUMIFS(CHOOSE(CA_OFERTA,CMES_CAP_1,CMES_CAP_2,CMES_CAP_3,CMES_CAP_4),CM_ANIO,31))</f>
        <v/>
      </c>
      <c r="F39" s="25">
        <f>IF(B39="","",SUMIFS(CHOOSE(CA_OFERTA,CMES_INT_1,CMES_INT_2,CMES_INT_3,CMES_INT_4),CM_ANIO,31))</f>
        <v/>
      </c>
      <c r="G39" s="25">
        <f>IF(B39="","",SUMIFS(CHOOSE(CA_OFERTA,CMES_CAP_1,CMES_CAP_2,CMES_CAP_3,CMES_CAP_4),CM_ANIO,31))</f>
        <v/>
      </c>
      <c r="H39" s="25">
        <f>IF(B39="","",INDEX(CHOOSE(CA_OFERTA,CMES_PEND_1,CMES_PEND_2,CMES_PEND_3,CMES_PEND_4),MIN(MESES,31*12)))</f>
        <v/>
      </c>
    </row>
    <row r="40">
      <c r="B40" s="56">
        <f>IF(32*12-11&gt;MESES,"",32)</f>
        <v/>
      </c>
      <c r="C40" s="52">
        <f>IF(B40="","",INDEX(CHOOSE(CA_OFERTA,CMES_TIN_1,CMES_TIN_2,CMES_TIN_3,CMES_TIN_4),32*12-11))</f>
        <v/>
      </c>
      <c r="D40" s="25">
        <f>IF(B40="","",E40/MIN(12,MESES-(32-1)*12))</f>
        <v/>
      </c>
      <c r="E40" s="25">
        <f>IF(B40="","",SUMIFS(CHOOSE(CA_OFERTA,CMES_INT_1,CMES_INT_2,CMES_INT_3,CMES_INT_4),CM_ANIO,32)+SUMIFS(CHOOSE(CA_OFERTA,CMES_CAP_1,CMES_CAP_2,CMES_CAP_3,CMES_CAP_4),CM_ANIO,32))</f>
        <v/>
      </c>
      <c r="F40" s="25">
        <f>IF(B40="","",SUMIFS(CHOOSE(CA_OFERTA,CMES_INT_1,CMES_INT_2,CMES_INT_3,CMES_INT_4),CM_ANIO,32))</f>
        <v/>
      </c>
      <c r="G40" s="25">
        <f>IF(B40="","",SUMIFS(CHOOSE(CA_OFERTA,CMES_CAP_1,CMES_CAP_2,CMES_CAP_3,CMES_CAP_4),CM_ANIO,32))</f>
        <v/>
      </c>
      <c r="H40" s="25">
        <f>IF(B40="","",INDEX(CHOOSE(CA_OFERTA,CMES_PEND_1,CMES_PEND_2,CMES_PEND_3,CMES_PEND_4),MIN(MESES,32*12)))</f>
        <v/>
      </c>
    </row>
    <row r="41">
      <c r="B41" s="56">
        <f>IF(33*12-11&gt;MESES,"",33)</f>
        <v/>
      </c>
      <c r="C41" s="52">
        <f>IF(B41="","",INDEX(CHOOSE(CA_OFERTA,CMES_TIN_1,CMES_TIN_2,CMES_TIN_3,CMES_TIN_4),33*12-11))</f>
        <v/>
      </c>
      <c r="D41" s="25">
        <f>IF(B41="","",E41/MIN(12,MESES-(33-1)*12))</f>
        <v/>
      </c>
      <c r="E41" s="25">
        <f>IF(B41="","",SUMIFS(CHOOSE(CA_OFERTA,CMES_INT_1,CMES_INT_2,CMES_INT_3,CMES_INT_4),CM_ANIO,33)+SUMIFS(CHOOSE(CA_OFERTA,CMES_CAP_1,CMES_CAP_2,CMES_CAP_3,CMES_CAP_4),CM_ANIO,33))</f>
        <v/>
      </c>
      <c r="F41" s="25">
        <f>IF(B41="","",SUMIFS(CHOOSE(CA_OFERTA,CMES_INT_1,CMES_INT_2,CMES_INT_3,CMES_INT_4),CM_ANIO,33))</f>
        <v/>
      </c>
      <c r="G41" s="25">
        <f>IF(B41="","",SUMIFS(CHOOSE(CA_OFERTA,CMES_CAP_1,CMES_CAP_2,CMES_CAP_3,CMES_CAP_4),CM_ANIO,33))</f>
        <v/>
      </c>
      <c r="H41" s="25">
        <f>IF(B41="","",INDEX(CHOOSE(CA_OFERTA,CMES_PEND_1,CMES_PEND_2,CMES_PEND_3,CMES_PEND_4),MIN(MESES,33*12)))</f>
        <v/>
      </c>
    </row>
    <row r="42">
      <c r="B42" s="56">
        <f>IF(34*12-11&gt;MESES,"",34)</f>
        <v/>
      </c>
      <c r="C42" s="52">
        <f>IF(B42="","",INDEX(CHOOSE(CA_OFERTA,CMES_TIN_1,CMES_TIN_2,CMES_TIN_3,CMES_TIN_4),34*12-11))</f>
        <v/>
      </c>
      <c r="D42" s="25">
        <f>IF(B42="","",E42/MIN(12,MESES-(34-1)*12))</f>
        <v/>
      </c>
      <c r="E42" s="25">
        <f>IF(B42="","",SUMIFS(CHOOSE(CA_OFERTA,CMES_INT_1,CMES_INT_2,CMES_INT_3,CMES_INT_4),CM_ANIO,34)+SUMIFS(CHOOSE(CA_OFERTA,CMES_CAP_1,CMES_CAP_2,CMES_CAP_3,CMES_CAP_4),CM_ANIO,34))</f>
        <v/>
      </c>
      <c r="F42" s="25">
        <f>IF(B42="","",SUMIFS(CHOOSE(CA_OFERTA,CMES_INT_1,CMES_INT_2,CMES_INT_3,CMES_INT_4),CM_ANIO,34))</f>
        <v/>
      </c>
      <c r="G42" s="25">
        <f>IF(B42="","",SUMIFS(CHOOSE(CA_OFERTA,CMES_CAP_1,CMES_CAP_2,CMES_CAP_3,CMES_CAP_4),CM_ANIO,34))</f>
        <v/>
      </c>
      <c r="H42" s="25">
        <f>IF(B42="","",INDEX(CHOOSE(CA_OFERTA,CMES_PEND_1,CMES_PEND_2,CMES_PEND_3,CMES_PEND_4),MIN(MESES,34*12)))</f>
        <v/>
      </c>
    </row>
    <row r="43">
      <c r="B43" s="56">
        <f>IF(35*12-11&gt;MESES,"",35)</f>
        <v/>
      </c>
      <c r="C43" s="52">
        <f>IF(B43="","",INDEX(CHOOSE(CA_OFERTA,CMES_TIN_1,CMES_TIN_2,CMES_TIN_3,CMES_TIN_4),35*12-11))</f>
        <v/>
      </c>
      <c r="D43" s="25">
        <f>IF(B43="","",E43/MIN(12,MESES-(35-1)*12))</f>
        <v/>
      </c>
      <c r="E43" s="25">
        <f>IF(B43="","",SUMIFS(CHOOSE(CA_OFERTA,CMES_INT_1,CMES_INT_2,CMES_INT_3,CMES_INT_4),CM_ANIO,35)+SUMIFS(CHOOSE(CA_OFERTA,CMES_CAP_1,CMES_CAP_2,CMES_CAP_3,CMES_CAP_4),CM_ANIO,35))</f>
        <v/>
      </c>
      <c r="F43" s="25">
        <f>IF(B43="","",SUMIFS(CHOOSE(CA_OFERTA,CMES_INT_1,CMES_INT_2,CMES_INT_3,CMES_INT_4),CM_ANIO,35))</f>
        <v/>
      </c>
      <c r="G43" s="25">
        <f>IF(B43="","",SUMIFS(CHOOSE(CA_OFERTA,CMES_CAP_1,CMES_CAP_2,CMES_CAP_3,CMES_CAP_4),CM_ANIO,35))</f>
        <v/>
      </c>
      <c r="H43" s="25">
        <f>IF(B43="","",INDEX(CHOOSE(CA_OFERTA,CMES_PEND_1,CMES_PEND_2,CMES_PEND_3,CMES_PEND_4),MIN(MESES,35*12)))</f>
        <v/>
      </c>
    </row>
    <row r="44">
      <c r="B44" s="56">
        <f>IF(36*12-11&gt;MESES,"",36)</f>
        <v/>
      </c>
      <c r="C44" s="52">
        <f>IF(B44="","",INDEX(CHOOSE(CA_OFERTA,CMES_TIN_1,CMES_TIN_2,CMES_TIN_3,CMES_TIN_4),36*12-11))</f>
        <v/>
      </c>
      <c r="D44" s="25">
        <f>IF(B44="","",E44/MIN(12,MESES-(36-1)*12))</f>
        <v/>
      </c>
      <c r="E44" s="25">
        <f>IF(B44="","",SUMIFS(CHOOSE(CA_OFERTA,CMES_INT_1,CMES_INT_2,CMES_INT_3,CMES_INT_4),CM_ANIO,36)+SUMIFS(CHOOSE(CA_OFERTA,CMES_CAP_1,CMES_CAP_2,CMES_CAP_3,CMES_CAP_4),CM_ANIO,36))</f>
        <v/>
      </c>
      <c r="F44" s="25">
        <f>IF(B44="","",SUMIFS(CHOOSE(CA_OFERTA,CMES_INT_1,CMES_INT_2,CMES_INT_3,CMES_INT_4),CM_ANIO,36))</f>
        <v/>
      </c>
      <c r="G44" s="25">
        <f>IF(B44="","",SUMIFS(CHOOSE(CA_OFERTA,CMES_CAP_1,CMES_CAP_2,CMES_CAP_3,CMES_CAP_4),CM_ANIO,36))</f>
        <v/>
      </c>
      <c r="H44" s="25">
        <f>IF(B44="","",INDEX(CHOOSE(CA_OFERTA,CMES_PEND_1,CMES_PEND_2,CMES_PEND_3,CMES_PEND_4),MIN(MESES,36*12)))</f>
        <v/>
      </c>
    </row>
    <row r="45">
      <c r="B45" s="56">
        <f>IF(37*12-11&gt;MESES,"",37)</f>
        <v/>
      </c>
      <c r="C45" s="52">
        <f>IF(B45="","",INDEX(CHOOSE(CA_OFERTA,CMES_TIN_1,CMES_TIN_2,CMES_TIN_3,CMES_TIN_4),37*12-11))</f>
        <v/>
      </c>
      <c r="D45" s="25">
        <f>IF(B45="","",E45/MIN(12,MESES-(37-1)*12))</f>
        <v/>
      </c>
      <c r="E45" s="25">
        <f>IF(B45="","",SUMIFS(CHOOSE(CA_OFERTA,CMES_INT_1,CMES_INT_2,CMES_INT_3,CMES_INT_4),CM_ANIO,37)+SUMIFS(CHOOSE(CA_OFERTA,CMES_CAP_1,CMES_CAP_2,CMES_CAP_3,CMES_CAP_4),CM_ANIO,37))</f>
        <v/>
      </c>
      <c r="F45" s="25">
        <f>IF(B45="","",SUMIFS(CHOOSE(CA_OFERTA,CMES_INT_1,CMES_INT_2,CMES_INT_3,CMES_INT_4),CM_ANIO,37))</f>
        <v/>
      </c>
      <c r="G45" s="25">
        <f>IF(B45="","",SUMIFS(CHOOSE(CA_OFERTA,CMES_CAP_1,CMES_CAP_2,CMES_CAP_3,CMES_CAP_4),CM_ANIO,37))</f>
        <v/>
      </c>
      <c r="H45" s="25">
        <f>IF(B45="","",INDEX(CHOOSE(CA_OFERTA,CMES_PEND_1,CMES_PEND_2,CMES_PEND_3,CMES_PEND_4),MIN(MESES,37*12)))</f>
        <v/>
      </c>
    </row>
    <row r="46">
      <c r="B46" s="56">
        <f>IF(38*12-11&gt;MESES,"",38)</f>
        <v/>
      </c>
      <c r="C46" s="52">
        <f>IF(B46="","",INDEX(CHOOSE(CA_OFERTA,CMES_TIN_1,CMES_TIN_2,CMES_TIN_3,CMES_TIN_4),38*12-11))</f>
        <v/>
      </c>
      <c r="D46" s="25">
        <f>IF(B46="","",E46/MIN(12,MESES-(38-1)*12))</f>
        <v/>
      </c>
      <c r="E46" s="25">
        <f>IF(B46="","",SUMIFS(CHOOSE(CA_OFERTA,CMES_INT_1,CMES_INT_2,CMES_INT_3,CMES_INT_4),CM_ANIO,38)+SUMIFS(CHOOSE(CA_OFERTA,CMES_CAP_1,CMES_CAP_2,CMES_CAP_3,CMES_CAP_4),CM_ANIO,38))</f>
        <v/>
      </c>
      <c r="F46" s="25">
        <f>IF(B46="","",SUMIFS(CHOOSE(CA_OFERTA,CMES_INT_1,CMES_INT_2,CMES_INT_3,CMES_INT_4),CM_ANIO,38))</f>
        <v/>
      </c>
      <c r="G46" s="25">
        <f>IF(B46="","",SUMIFS(CHOOSE(CA_OFERTA,CMES_CAP_1,CMES_CAP_2,CMES_CAP_3,CMES_CAP_4),CM_ANIO,38))</f>
        <v/>
      </c>
      <c r="H46" s="25">
        <f>IF(B46="","",INDEX(CHOOSE(CA_OFERTA,CMES_PEND_1,CMES_PEND_2,CMES_PEND_3,CMES_PEND_4),MIN(MESES,38*12)))</f>
        <v/>
      </c>
    </row>
    <row r="47">
      <c r="B47" s="56">
        <f>IF(39*12-11&gt;MESES,"",39)</f>
        <v/>
      </c>
      <c r="C47" s="52">
        <f>IF(B47="","",INDEX(CHOOSE(CA_OFERTA,CMES_TIN_1,CMES_TIN_2,CMES_TIN_3,CMES_TIN_4),39*12-11))</f>
        <v/>
      </c>
      <c r="D47" s="25">
        <f>IF(B47="","",E47/MIN(12,MESES-(39-1)*12))</f>
        <v/>
      </c>
      <c r="E47" s="25">
        <f>IF(B47="","",SUMIFS(CHOOSE(CA_OFERTA,CMES_INT_1,CMES_INT_2,CMES_INT_3,CMES_INT_4),CM_ANIO,39)+SUMIFS(CHOOSE(CA_OFERTA,CMES_CAP_1,CMES_CAP_2,CMES_CAP_3,CMES_CAP_4),CM_ANIO,39))</f>
        <v/>
      </c>
      <c r="F47" s="25">
        <f>IF(B47="","",SUMIFS(CHOOSE(CA_OFERTA,CMES_INT_1,CMES_INT_2,CMES_INT_3,CMES_INT_4),CM_ANIO,39))</f>
        <v/>
      </c>
      <c r="G47" s="25">
        <f>IF(B47="","",SUMIFS(CHOOSE(CA_OFERTA,CMES_CAP_1,CMES_CAP_2,CMES_CAP_3,CMES_CAP_4),CM_ANIO,39))</f>
        <v/>
      </c>
      <c r="H47" s="25">
        <f>IF(B47="","",INDEX(CHOOSE(CA_OFERTA,CMES_PEND_1,CMES_PEND_2,CMES_PEND_3,CMES_PEND_4),MIN(MESES,39*12)))</f>
        <v/>
      </c>
    </row>
    <row r="48">
      <c r="B48" s="56">
        <f>IF(40*12-11&gt;MESES,"",40)</f>
        <v/>
      </c>
      <c r="C48" s="52">
        <f>IF(B48="","",INDEX(CHOOSE(CA_OFERTA,CMES_TIN_1,CMES_TIN_2,CMES_TIN_3,CMES_TIN_4),40*12-11))</f>
        <v/>
      </c>
      <c r="D48" s="25">
        <f>IF(B48="","",E48/MIN(12,MESES-(40-1)*12))</f>
        <v/>
      </c>
      <c r="E48" s="25">
        <f>IF(B48="","",SUMIFS(CHOOSE(CA_OFERTA,CMES_INT_1,CMES_INT_2,CMES_INT_3,CMES_INT_4),CM_ANIO,40)+SUMIFS(CHOOSE(CA_OFERTA,CMES_CAP_1,CMES_CAP_2,CMES_CAP_3,CMES_CAP_4),CM_ANIO,40))</f>
        <v/>
      </c>
      <c r="F48" s="25">
        <f>IF(B48="","",SUMIFS(CHOOSE(CA_OFERTA,CMES_INT_1,CMES_INT_2,CMES_INT_3,CMES_INT_4),CM_ANIO,40))</f>
        <v/>
      </c>
      <c r="G48" s="25">
        <f>IF(B48="","",SUMIFS(CHOOSE(CA_OFERTA,CMES_CAP_1,CMES_CAP_2,CMES_CAP_3,CMES_CAP_4),CM_ANIO,40))</f>
        <v/>
      </c>
      <c r="H48" s="25">
        <f>IF(B48="","",INDEX(CHOOSE(CA_OFERTA,CMES_PEND_1,CMES_PEND_2,CMES_PEND_3,CMES_PEND_4),MIN(MESES,40*12)))</f>
        <v/>
      </c>
    </row>
    <row r="49">
      <c r="B49" s="57" t="inlineStr">
        <is>
          <t>Total</t>
        </is>
      </c>
      <c r="E49" s="51">
        <f>SUM(E9:E48)</f>
        <v/>
      </c>
      <c r="F49" s="51">
        <f>SUM(F9:F48)</f>
        <v/>
      </c>
      <c r="G49" s="51">
        <f>SUM(G9:G48)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1">
    <dataValidation sqref="C6" showDropDown="0" showInputMessage="0" showErrorMessage="1" allowBlank="1" errorTitle="Valor no válido" error="Elige una opción de la lista." type="list">
      <formula1>"1,2,3,4"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HogarClaro · &amp;A · &amp;P/&amp;N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4A5A5E"/>
    <outlinePr summaryBelow="1" summaryRight="1"/>
    <pageSetUpPr fitToPage="1"/>
  </sheetPr>
  <dimension ref="A1:AA488"/>
  <sheetViews>
    <sheetView showGridLines="0" tabSelected="0" zoomScale="10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6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7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7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7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34" customHeight="1">
      <c r="A2" s="1" t="n"/>
      <c r="B2" s="14" t="inlineStr">
        <is>
          <t>Cuadro mensual de las cuatro ofertas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5" t="inlineStr">
        <is>
          <t>HogarClaro</t>
        </is>
      </c>
    </row>
    <row r="3" ht="20" customHeight="1">
      <c r="A3" s="1" t="n"/>
      <c r="B3" s="16" t="inlineStr">
        <is>
          <t>Sistema francés con revisión anual del tipo. Lo usan las demás hojas: no hace falta tocarlo.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6" ht="18" customHeight="1">
      <c r="D6" s="21">
        <f>IF(OF_BANCO_1="","Oferta 1",OF_BANCO_1)</f>
        <v/>
      </c>
      <c r="E6" s="31" t="n"/>
      <c r="F6" s="31" t="n"/>
      <c r="G6" s="31" t="n"/>
      <c r="H6" s="31" t="n"/>
      <c r="I6" s="32" t="n"/>
      <c r="J6" s="21">
        <f>IF(OF_BANCO_2="","Oferta 2",OF_BANCO_2)</f>
        <v/>
      </c>
      <c r="K6" s="31" t="n"/>
      <c r="L6" s="31" t="n"/>
      <c r="M6" s="31" t="n"/>
      <c r="N6" s="31" t="n"/>
      <c r="O6" s="32" t="n"/>
      <c r="P6" s="21">
        <f>IF(OF_BANCO_3="","Oferta 3",OF_BANCO_3)</f>
        <v/>
      </c>
      <c r="Q6" s="31" t="n"/>
      <c r="R6" s="31" t="n"/>
      <c r="S6" s="31" t="n"/>
      <c r="T6" s="31" t="n"/>
      <c r="U6" s="32" t="n"/>
      <c r="V6" s="21">
        <f>IF(OF_BANCO_4="","Oferta 4",OF_BANCO_4)</f>
        <v/>
      </c>
      <c r="W6" s="31" t="n"/>
      <c r="X6" s="31" t="n"/>
      <c r="Y6" s="31" t="n"/>
      <c r="Z6" s="31" t="n"/>
      <c r="AA6" s="32" t="n"/>
    </row>
    <row r="7" ht="30" customHeight="1">
      <c r="B7" s="21" t="inlineStr">
        <is>
          <t>Mes</t>
        </is>
      </c>
      <c r="C7" s="21" t="inlineStr">
        <is>
          <t>Año</t>
        </is>
      </c>
      <c r="D7" s="21" t="inlineStr">
        <is>
          <t>TIN %</t>
        </is>
      </c>
      <c r="E7" s="21" t="inlineStr">
        <is>
          <t>Cuota</t>
        </is>
      </c>
      <c r="F7" s="21" t="inlineStr">
        <is>
          <t>Interés</t>
        </is>
      </c>
      <c r="G7" s="21" t="inlineStr">
        <is>
          <t>Capital</t>
        </is>
      </c>
      <c r="H7" s="21" t="inlineStr">
        <is>
          <t>Pendiente</t>
        </is>
      </c>
      <c r="I7" s="21" t="inlineStr">
        <is>
          <t>Flujo (TAE)</t>
        </is>
      </c>
      <c r="J7" s="21" t="inlineStr">
        <is>
          <t>TIN %</t>
        </is>
      </c>
      <c r="K7" s="21" t="inlineStr">
        <is>
          <t>Cuota</t>
        </is>
      </c>
      <c r="L7" s="21" t="inlineStr">
        <is>
          <t>Interés</t>
        </is>
      </c>
      <c r="M7" s="21" t="inlineStr">
        <is>
          <t>Capital</t>
        </is>
      </c>
      <c r="N7" s="21" t="inlineStr">
        <is>
          <t>Pendiente</t>
        </is>
      </c>
      <c r="O7" s="21" t="inlineStr">
        <is>
          <t>Flujo (TAE)</t>
        </is>
      </c>
      <c r="P7" s="21" t="inlineStr">
        <is>
          <t>TIN %</t>
        </is>
      </c>
      <c r="Q7" s="21" t="inlineStr">
        <is>
          <t>Cuota</t>
        </is>
      </c>
      <c r="R7" s="21" t="inlineStr">
        <is>
          <t>Interés</t>
        </is>
      </c>
      <c r="S7" s="21" t="inlineStr">
        <is>
          <t>Capital</t>
        </is>
      </c>
      <c r="T7" s="21" t="inlineStr">
        <is>
          <t>Pendiente</t>
        </is>
      </c>
      <c r="U7" s="21" t="inlineStr">
        <is>
          <t>Flujo (TAE)</t>
        </is>
      </c>
      <c r="V7" s="21" t="inlineStr">
        <is>
          <t>TIN %</t>
        </is>
      </c>
      <c r="W7" s="21" t="inlineStr">
        <is>
          <t>Cuota</t>
        </is>
      </c>
      <c r="X7" s="21" t="inlineStr">
        <is>
          <t>Interés</t>
        </is>
      </c>
      <c r="Y7" s="21" t="inlineStr">
        <is>
          <t>Capital</t>
        </is>
      </c>
      <c r="Z7" s="21" t="inlineStr">
        <is>
          <t>Pendiente</t>
        </is>
      </c>
      <c r="AA7" s="21" t="inlineStr">
        <is>
          <t>Flujo (TAE)</t>
        </is>
      </c>
    </row>
    <row r="8">
      <c r="B8" s="56" t="n">
        <v>0</v>
      </c>
      <c r="H8" s="58">
        <f>IF(BANCO_OK_1,CAPITAL,0)</f>
        <v/>
      </c>
      <c r="I8" s="58">
        <f>IF(BANCO_OK_1,-(CAPITAL-GASTOS_1),0)</f>
        <v/>
      </c>
      <c r="N8" s="58">
        <f>IF(BANCO_OK_2,CAPITAL,0)</f>
        <v/>
      </c>
      <c r="O8" s="58">
        <f>IF(BANCO_OK_2,-(CAPITAL-GASTOS_2),0)</f>
        <v/>
      </c>
      <c r="T8" s="58">
        <f>IF(BANCO_OK_3,CAPITAL,0)</f>
        <v/>
      </c>
      <c r="U8" s="58">
        <f>IF(BANCO_OK_3,-(CAPITAL-GASTOS_3),0)</f>
        <v/>
      </c>
      <c r="Z8" s="58">
        <f>IF(BANCO_OK_4,CAPITAL,0)</f>
        <v/>
      </c>
      <c r="AA8" s="58">
        <f>IF(BANCO_OK_4,-(CAPITAL-GASTOS_4),0)</f>
        <v/>
      </c>
    </row>
    <row r="9">
      <c r="B9" s="56" t="n">
        <v>1</v>
      </c>
      <c r="C9" s="56">
        <f>ROUNDUP(B9/12,0)</f>
        <v/>
      </c>
      <c r="D9" s="52">
        <f>IF(AND(BANCO_OK_1,B9&lt;=MESES),IF(OR(OF_TIPO_1="Fija",C9&lt;=OF_ANIOS_INI_1),OF_TIN_1,MAX(0,EURIBOR+OF_DIF_1)),0)</f>
        <v/>
      </c>
      <c r="E9" s="58">
        <f>IF(AND(BANCO_OK_1,B9&lt;=MESES),IF(OR(B9=1,D9&lt;&gt;-1),PMT(D9/1200,MESES-B9+1,-H8),0),0)</f>
        <v/>
      </c>
      <c r="F9" s="58">
        <f>H8*D9/1200</f>
        <v/>
      </c>
      <c r="G9" s="58">
        <f>IF(AND(BANCO_OK_1,B9&lt;=MESES),IF(OR(B9=MESES,E9-F9&gt;H8),H8,E9-F9),0)</f>
        <v/>
      </c>
      <c r="H9" s="58">
        <f>H8-G9</f>
        <v/>
      </c>
      <c r="I9" s="58">
        <f>IF(AND(BANCO_OK_1,B9&lt;=MESES),F9+G9+VINC_MES_1,0)</f>
        <v/>
      </c>
      <c r="J9" s="52">
        <f>IF(AND(BANCO_OK_2,B9&lt;=MESES),IF(OR(OF_TIPO_2="Fija",C9&lt;=OF_ANIOS_INI_2),OF_TIN_2,MAX(0,EURIBOR+OF_DIF_2)),0)</f>
        <v/>
      </c>
      <c r="K9" s="58">
        <f>IF(AND(BANCO_OK_2,B9&lt;=MESES),IF(OR(B9=1,J9&lt;&gt;-1),PMT(J9/1200,MESES-B9+1,-N8),0),0)</f>
        <v/>
      </c>
      <c r="L9" s="58">
        <f>N8*J9/1200</f>
        <v/>
      </c>
      <c r="M9" s="58">
        <f>IF(AND(BANCO_OK_2,B9&lt;=MESES),IF(OR(B9=MESES,K9-L9&gt;N8),N8,K9-L9),0)</f>
        <v/>
      </c>
      <c r="N9" s="58">
        <f>N8-M9</f>
        <v/>
      </c>
      <c r="O9" s="58">
        <f>IF(AND(BANCO_OK_2,B9&lt;=MESES),L9+M9+VINC_MES_2,0)</f>
        <v/>
      </c>
      <c r="P9" s="52">
        <f>IF(AND(BANCO_OK_3,B9&lt;=MESES),IF(OR(OF_TIPO_3="Fija",C9&lt;=OF_ANIOS_INI_3),OF_TIN_3,MAX(0,EURIBOR+OF_DIF_3)),0)</f>
        <v/>
      </c>
      <c r="Q9" s="58">
        <f>IF(AND(BANCO_OK_3,B9&lt;=MESES),IF(OR(B9=1,P9&lt;&gt;-1),PMT(P9/1200,MESES-B9+1,-T8),0),0)</f>
        <v/>
      </c>
      <c r="R9" s="58">
        <f>T8*P9/1200</f>
        <v/>
      </c>
      <c r="S9" s="58">
        <f>IF(AND(BANCO_OK_3,B9&lt;=MESES),IF(OR(B9=MESES,Q9-R9&gt;T8),T8,Q9-R9),0)</f>
        <v/>
      </c>
      <c r="T9" s="58">
        <f>T8-S9</f>
        <v/>
      </c>
      <c r="U9" s="58">
        <f>IF(AND(BANCO_OK_3,B9&lt;=MESES),R9+S9+VINC_MES_3,0)</f>
        <v/>
      </c>
      <c r="V9" s="52">
        <f>IF(AND(BANCO_OK_4,B9&lt;=MESES),IF(OR(OF_TIPO_4="Fija",C9&lt;=OF_ANIOS_INI_4),OF_TIN_4,MAX(0,EURIBOR+OF_DIF_4)),0)</f>
        <v/>
      </c>
      <c r="W9" s="58">
        <f>IF(AND(BANCO_OK_4,B9&lt;=MESES),IF(OR(B9=1,V9&lt;&gt;-1),PMT(V9/1200,MESES-B9+1,-Z8),0),0)</f>
        <v/>
      </c>
      <c r="X9" s="58">
        <f>Z8*V9/1200</f>
        <v/>
      </c>
      <c r="Y9" s="58">
        <f>IF(AND(BANCO_OK_4,B9&lt;=MESES),IF(OR(B9=MESES,W9-X9&gt;Z8),Z8,W9-X9),0)</f>
        <v/>
      </c>
      <c r="Z9" s="58">
        <f>Z8-Y9</f>
        <v/>
      </c>
      <c r="AA9" s="58">
        <f>IF(AND(BANCO_OK_4,B9&lt;=MESES),X9+Y9+VINC_MES_4,0)</f>
        <v/>
      </c>
    </row>
    <row r="10">
      <c r="B10" s="56" t="n">
        <v>2</v>
      </c>
      <c r="C10" s="56">
        <f>ROUNDUP(B10/12,0)</f>
        <v/>
      </c>
      <c r="D10" s="52">
        <f>IF(AND(BANCO_OK_1,B10&lt;=MESES),IF(OR(OF_TIPO_1="Fija",C10&lt;=OF_ANIOS_INI_1),OF_TIN_1,MAX(0,EURIBOR+OF_DIF_1)),0)</f>
        <v/>
      </c>
      <c r="E10" s="58">
        <f>IF(AND(BANCO_OK_1,B10&lt;=MESES),IF(OR(B10=1,D10&lt;&gt;D9),PMT(D10/1200,MESES-B10+1,-H9),E9),0)</f>
        <v/>
      </c>
      <c r="F10" s="58">
        <f>H9*D10/1200</f>
        <v/>
      </c>
      <c r="G10" s="58">
        <f>IF(AND(BANCO_OK_1,B10&lt;=MESES),IF(OR(B10=MESES,E10-F10&gt;H9),H9,E10-F10),0)</f>
        <v/>
      </c>
      <c r="H10" s="58">
        <f>H9-G10</f>
        <v/>
      </c>
      <c r="I10" s="58">
        <f>IF(AND(BANCO_OK_1,B10&lt;=MESES),F10+G10+VINC_MES_1,0)</f>
        <v/>
      </c>
      <c r="J10" s="52">
        <f>IF(AND(BANCO_OK_2,B10&lt;=MESES),IF(OR(OF_TIPO_2="Fija",C10&lt;=OF_ANIOS_INI_2),OF_TIN_2,MAX(0,EURIBOR+OF_DIF_2)),0)</f>
        <v/>
      </c>
      <c r="K10" s="58">
        <f>IF(AND(BANCO_OK_2,B10&lt;=MESES),IF(OR(B10=1,J10&lt;&gt;J9),PMT(J10/1200,MESES-B10+1,-N9),K9),0)</f>
        <v/>
      </c>
      <c r="L10" s="58">
        <f>N9*J10/1200</f>
        <v/>
      </c>
      <c r="M10" s="58">
        <f>IF(AND(BANCO_OK_2,B10&lt;=MESES),IF(OR(B10=MESES,K10-L10&gt;N9),N9,K10-L10),0)</f>
        <v/>
      </c>
      <c r="N10" s="58">
        <f>N9-M10</f>
        <v/>
      </c>
      <c r="O10" s="58">
        <f>IF(AND(BANCO_OK_2,B10&lt;=MESES),L10+M10+VINC_MES_2,0)</f>
        <v/>
      </c>
      <c r="P10" s="52">
        <f>IF(AND(BANCO_OK_3,B10&lt;=MESES),IF(OR(OF_TIPO_3="Fija",C10&lt;=OF_ANIOS_INI_3),OF_TIN_3,MAX(0,EURIBOR+OF_DIF_3)),0)</f>
        <v/>
      </c>
      <c r="Q10" s="58">
        <f>IF(AND(BANCO_OK_3,B10&lt;=MESES),IF(OR(B10=1,P10&lt;&gt;P9),PMT(P10/1200,MESES-B10+1,-T9),Q9),0)</f>
        <v/>
      </c>
      <c r="R10" s="58">
        <f>T9*P10/1200</f>
        <v/>
      </c>
      <c r="S10" s="58">
        <f>IF(AND(BANCO_OK_3,B10&lt;=MESES),IF(OR(B10=MESES,Q10-R10&gt;T9),T9,Q10-R10),0)</f>
        <v/>
      </c>
      <c r="T10" s="58">
        <f>T9-S10</f>
        <v/>
      </c>
      <c r="U10" s="58">
        <f>IF(AND(BANCO_OK_3,B10&lt;=MESES),R10+S10+VINC_MES_3,0)</f>
        <v/>
      </c>
      <c r="V10" s="52">
        <f>IF(AND(BANCO_OK_4,B10&lt;=MESES),IF(OR(OF_TIPO_4="Fija",C10&lt;=OF_ANIOS_INI_4),OF_TIN_4,MAX(0,EURIBOR+OF_DIF_4)),0)</f>
        <v/>
      </c>
      <c r="W10" s="58">
        <f>IF(AND(BANCO_OK_4,B10&lt;=MESES),IF(OR(B10=1,V10&lt;&gt;V9),PMT(V10/1200,MESES-B10+1,-Z9),W9),0)</f>
        <v/>
      </c>
      <c r="X10" s="58">
        <f>Z9*V10/1200</f>
        <v/>
      </c>
      <c r="Y10" s="58">
        <f>IF(AND(BANCO_OK_4,B10&lt;=MESES),IF(OR(B10=MESES,W10-X10&gt;Z9),Z9,W10-X10),0)</f>
        <v/>
      </c>
      <c r="Z10" s="58">
        <f>Z9-Y10</f>
        <v/>
      </c>
      <c r="AA10" s="58">
        <f>IF(AND(BANCO_OK_4,B10&lt;=MESES),X10+Y10+VINC_MES_4,0)</f>
        <v/>
      </c>
    </row>
    <row r="11">
      <c r="B11" s="56" t="n">
        <v>3</v>
      </c>
      <c r="C11" s="56">
        <f>ROUNDUP(B11/12,0)</f>
        <v/>
      </c>
      <c r="D11" s="52">
        <f>IF(AND(BANCO_OK_1,B11&lt;=MESES),IF(OR(OF_TIPO_1="Fija",C11&lt;=OF_ANIOS_INI_1),OF_TIN_1,MAX(0,EURIBOR+OF_DIF_1)),0)</f>
        <v/>
      </c>
      <c r="E11" s="58">
        <f>IF(AND(BANCO_OK_1,B11&lt;=MESES),IF(OR(B11=1,D11&lt;&gt;D10),PMT(D11/1200,MESES-B11+1,-H10),E10),0)</f>
        <v/>
      </c>
      <c r="F11" s="58">
        <f>H10*D11/1200</f>
        <v/>
      </c>
      <c r="G11" s="58">
        <f>IF(AND(BANCO_OK_1,B11&lt;=MESES),IF(OR(B11=MESES,E11-F11&gt;H10),H10,E11-F11),0)</f>
        <v/>
      </c>
      <c r="H11" s="58">
        <f>H10-G11</f>
        <v/>
      </c>
      <c r="I11" s="58">
        <f>IF(AND(BANCO_OK_1,B11&lt;=MESES),F11+G11+VINC_MES_1,0)</f>
        <v/>
      </c>
      <c r="J11" s="52">
        <f>IF(AND(BANCO_OK_2,B11&lt;=MESES),IF(OR(OF_TIPO_2="Fija",C11&lt;=OF_ANIOS_INI_2),OF_TIN_2,MAX(0,EURIBOR+OF_DIF_2)),0)</f>
        <v/>
      </c>
      <c r="K11" s="58">
        <f>IF(AND(BANCO_OK_2,B11&lt;=MESES),IF(OR(B11=1,J11&lt;&gt;J10),PMT(J11/1200,MESES-B11+1,-N10),K10),0)</f>
        <v/>
      </c>
      <c r="L11" s="58">
        <f>N10*J11/1200</f>
        <v/>
      </c>
      <c r="M11" s="58">
        <f>IF(AND(BANCO_OK_2,B11&lt;=MESES),IF(OR(B11=MESES,K11-L11&gt;N10),N10,K11-L11),0)</f>
        <v/>
      </c>
      <c r="N11" s="58">
        <f>N10-M11</f>
        <v/>
      </c>
      <c r="O11" s="58">
        <f>IF(AND(BANCO_OK_2,B11&lt;=MESES),L11+M11+VINC_MES_2,0)</f>
        <v/>
      </c>
      <c r="P11" s="52">
        <f>IF(AND(BANCO_OK_3,B11&lt;=MESES),IF(OR(OF_TIPO_3="Fija",C11&lt;=OF_ANIOS_INI_3),OF_TIN_3,MAX(0,EURIBOR+OF_DIF_3)),0)</f>
        <v/>
      </c>
      <c r="Q11" s="58">
        <f>IF(AND(BANCO_OK_3,B11&lt;=MESES),IF(OR(B11=1,P11&lt;&gt;P10),PMT(P11/1200,MESES-B11+1,-T10),Q10),0)</f>
        <v/>
      </c>
      <c r="R11" s="58">
        <f>T10*P11/1200</f>
        <v/>
      </c>
      <c r="S11" s="58">
        <f>IF(AND(BANCO_OK_3,B11&lt;=MESES),IF(OR(B11=MESES,Q11-R11&gt;T10),T10,Q11-R11),0)</f>
        <v/>
      </c>
      <c r="T11" s="58">
        <f>T10-S11</f>
        <v/>
      </c>
      <c r="U11" s="58">
        <f>IF(AND(BANCO_OK_3,B11&lt;=MESES),R11+S11+VINC_MES_3,0)</f>
        <v/>
      </c>
      <c r="V11" s="52">
        <f>IF(AND(BANCO_OK_4,B11&lt;=MESES),IF(OR(OF_TIPO_4="Fija",C11&lt;=OF_ANIOS_INI_4),OF_TIN_4,MAX(0,EURIBOR+OF_DIF_4)),0)</f>
        <v/>
      </c>
      <c r="W11" s="58">
        <f>IF(AND(BANCO_OK_4,B11&lt;=MESES),IF(OR(B11=1,V11&lt;&gt;V10),PMT(V11/1200,MESES-B11+1,-Z10),W10),0)</f>
        <v/>
      </c>
      <c r="X11" s="58">
        <f>Z10*V11/1200</f>
        <v/>
      </c>
      <c r="Y11" s="58">
        <f>IF(AND(BANCO_OK_4,B11&lt;=MESES),IF(OR(B11=MESES,W11-X11&gt;Z10),Z10,W11-X11),0)</f>
        <v/>
      </c>
      <c r="Z11" s="58">
        <f>Z10-Y11</f>
        <v/>
      </c>
      <c r="AA11" s="58">
        <f>IF(AND(BANCO_OK_4,B11&lt;=MESES),X11+Y11+VINC_MES_4,0)</f>
        <v/>
      </c>
    </row>
    <row r="12">
      <c r="B12" s="56" t="n">
        <v>4</v>
      </c>
      <c r="C12" s="56">
        <f>ROUNDUP(B12/12,0)</f>
        <v/>
      </c>
      <c r="D12" s="52">
        <f>IF(AND(BANCO_OK_1,B12&lt;=MESES),IF(OR(OF_TIPO_1="Fija",C12&lt;=OF_ANIOS_INI_1),OF_TIN_1,MAX(0,EURIBOR+OF_DIF_1)),0)</f>
        <v/>
      </c>
      <c r="E12" s="58">
        <f>IF(AND(BANCO_OK_1,B12&lt;=MESES),IF(OR(B12=1,D12&lt;&gt;D11),PMT(D12/1200,MESES-B12+1,-H11),E11),0)</f>
        <v/>
      </c>
      <c r="F12" s="58">
        <f>H11*D12/1200</f>
        <v/>
      </c>
      <c r="G12" s="58">
        <f>IF(AND(BANCO_OK_1,B12&lt;=MESES),IF(OR(B12=MESES,E12-F12&gt;H11),H11,E12-F12),0)</f>
        <v/>
      </c>
      <c r="H12" s="58">
        <f>H11-G12</f>
        <v/>
      </c>
      <c r="I12" s="58">
        <f>IF(AND(BANCO_OK_1,B12&lt;=MESES),F12+G12+VINC_MES_1,0)</f>
        <v/>
      </c>
      <c r="J12" s="52">
        <f>IF(AND(BANCO_OK_2,B12&lt;=MESES),IF(OR(OF_TIPO_2="Fija",C12&lt;=OF_ANIOS_INI_2),OF_TIN_2,MAX(0,EURIBOR+OF_DIF_2)),0)</f>
        <v/>
      </c>
      <c r="K12" s="58">
        <f>IF(AND(BANCO_OK_2,B12&lt;=MESES),IF(OR(B12=1,J12&lt;&gt;J11),PMT(J12/1200,MESES-B12+1,-N11),K11),0)</f>
        <v/>
      </c>
      <c r="L12" s="58">
        <f>N11*J12/1200</f>
        <v/>
      </c>
      <c r="M12" s="58">
        <f>IF(AND(BANCO_OK_2,B12&lt;=MESES),IF(OR(B12=MESES,K12-L12&gt;N11),N11,K12-L12),0)</f>
        <v/>
      </c>
      <c r="N12" s="58">
        <f>N11-M12</f>
        <v/>
      </c>
      <c r="O12" s="58">
        <f>IF(AND(BANCO_OK_2,B12&lt;=MESES),L12+M12+VINC_MES_2,0)</f>
        <v/>
      </c>
      <c r="P12" s="52">
        <f>IF(AND(BANCO_OK_3,B12&lt;=MESES),IF(OR(OF_TIPO_3="Fija",C12&lt;=OF_ANIOS_INI_3),OF_TIN_3,MAX(0,EURIBOR+OF_DIF_3)),0)</f>
        <v/>
      </c>
      <c r="Q12" s="58">
        <f>IF(AND(BANCO_OK_3,B12&lt;=MESES),IF(OR(B12=1,P12&lt;&gt;P11),PMT(P12/1200,MESES-B12+1,-T11),Q11),0)</f>
        <v/>
      </c>
      <c r="R12" s="58">
        <f>T11*P12/1200</f>
        <v/>
      </c>
      <c r="S12" s="58">
        <f>IF(AND(BANCO_OK_3,B12&lt;=MESES),IF(OR(B12=MESES,Q12-R12&gt;T11),T11,Q12-R12),0)</f>
        <v/>
      </c>
      <c r="T12" s="58">
        <f>T11-S12</f>
        <v/>
      </c>
      <c r="U12" s="58">
        <f>IF(AND(BANCO_OK_3,B12&lt;=MESES),R12+S12+VINC_MES_3,0)</f>
        <v/>
      </c>
      <c r="V12" s="52">
        <f>IF(AND(BANCO_OK_4,B12&lt;=MESES),IF(OR(OF_TIPO_4="Fija",C12&lt;=OF_ANIOS_INI_4),OF_TIN_4,MAX(0,EURIBOR+OF_DIF_4)),0)</f>
        <v/>
      </c>
      <c r="W12" s="58">
        <f>IF(AND(BANCO_OK_4,B12&lt;=MESES),IF(OR(B12=1,V12&lt;&gt;V11),PMT(V12/1200,MESES-B12+1,-Z11),W11),0)</f>
        <v/>
      </c>
      <c r="X12" s="58">
        <f>Z11*V12/1200</f>
        <v/>
      </c>
      <c r="Y12" s="58">
        <f>IF(AND(BANCO_OK_4,B12&lt;=MESES),IF(OR(B12=MESES,W12-X12&gt;Z11),Z11,W12-X12),0)</f>
        <v/>
      </c>
      <c r="Z12" s="58">
        <f>Z11-Y12</f>
        <v/>
      </c>
      <c r="AA12" s="58">
        <f>IF(AND(BANCO_OK_4,B12&lt;=MESES),X12+Y12+VINC_MES_4,0)</f>
        <v/>
      </c>
    </row>
    <row r="13">
      <c r="B13" s="56" t="n">
        <v>5</v>
      </c>
      <c r="C13" s="56">
        <f>ROUNDUP(B13/12,0)</f>
        <v/>
      </c>
      <c r="D13" s="52">
        <f>IF(AND(BANCO_OK_1,B13&lt;=MESES),IF(OR(OF_TIPO_1="Fija",C13&lt;=OF_ANIOS_INI_1),OF_TIN_1,MAX(0,EURIBOR+OF_DIF_1)),0)</f>
        <v/>
      </c>
      <c r="E13" s="58">
        <f>IF(AND(BANCO_OK_1,B13&lt;=MESES),IF(OR(B13=1,D13&lt;&gt;D12),PMT(D13/1200,MESES-B13+1,-H12),E12),0)</f>
        <v/>
      </c>
      <c r="F13" s="58">
        <f>H12*D13/1200</f>
        <v/>
      </c>
      <c r="G13" s="58">
        <f>IF(AND(BANCO_OK_1,B13&lt;=MESES),IF(OR(B13=MESES,E13-F13&gt;H12),H12,E13-F13),0)</f>
        <v/>
      </c>
      <c r="H13" s="58">
        <f>H12-G13</f>
        <v/>
      </c>
      <c r="I13" s="58">
        <f>IF(AND(BANCO_OK_1,B13&lt;=MESES),F13+G13+VINC_MES_1,0)</f>
        <v/>
      </c>
      <c r="J13" s="52">
        <f>IF(AND(BANCO_OK_2,B13&lt;=MESES),IF(OR(OF_TIPO_2="Fija",C13&lt;=OF_ANIOS_INI_2),OF_TIN_2,MAX(0,EURIBOR+OF_DIF_2)),0)</f>
        <v/>
      </c>
      <c r="K13" s="58">
        <f>IF(AND(BANCO_OK_2,B13&lt;=MESES),IF(OR(B13=1,J13&lt;&gt;J12),PMT(J13/1200,MESES-B13+1,-N12),K12),0)</f>
        <v/>
      </c>
      <c r="L13" s="58">
        <f>N12*J13/1200</f>
        <v/>
      </c>
      <c r="M13" s="58">
        <f>IF(AND(BANCO_OK_2,B13&lt;=MESES),IF(OR(B13=MESES,K13-L13&gt;N12),N12,K13-L13),0)</f>
        <v/>
      </c>
      <c r="N13" s="58">
        <f>N12-M13</f>
        <v/>
      </c>
      <c r="O13" s="58">
        <f>IF(AND(BANCO_OK_2,B13&lt;=MESES),L13+M13+VINC_MES_2,0)</f>
        <v/>
      </c>
      <c r="P13" s="52">
        <f>IF(AND(BANCO_OK_3,B13&lt;=MESES),IF(OR(OF_TIPO_3="Fija",C13&lt;=OF_ANIOS_INI_3),OF_TIN_3,MAX(0,EURIBOR+OF_DIF_3)),0)</f>
        <v/>
      </c>
      <c r="Q13" s="58">
        <f>IF(AND(BANCO_OK_3,B13&lt;=MESES),IF(OR(B13=1,P13&lt;&gt;P12),PMT(P13/1200,MESES-B13+1,-T12),Q12),0)</f>
        <v/>
      </c>
      <c r="R13" s="58">
        <f>T12*P13/1200</f>
        <v/>
      </c>
      <c r="S13" s="58">
        <f>IF(AND(BANCO_OK_3,B13&lt;=MESES),IF(OR(B13=MESES,Q13-R13&gt;T12),T12,Q13-R13),0)</f>
        <v/>
      </c>
      <c r="T13" s="58">
        <f>T12-S13</f>
        <v/>
      </c>
      <c r="U13" s="58">
        <f>IF(AND(BANCO_OK_3,B13&lt;=MESES),R13+S13+VINC_MES_3,0)</f>
        <v/>
      </c>
      <c r="V13" s="52">
        <f>IF(AND(BANCO_OK_4,B13&lt;=MESES),IF(OR(OF_TIPO_4="Fija",C13&lt;=OF_ANIOS_INI_4),OF_TIN_4,MAX(0,EURIBOR+OF_DIF_4)),0)</f>
        <v/>
      </c>
      <c r="W13" s="58">
        <f>IF(AND(BANCO_OK_4,B13&lt;=MESES),IF(OR(B13=1,V13&lt;&gt;V12),PMT(V13/1200,MESES-B13+1,-Z12),W12),0)</f>
        <v/>
      </c>
      <c r="X13" s="58">
        <f>Z12*V13/1200</f>
        <v/>
      </c>
      <c r="Y13" s="58">
        <f>IF(AND(BANCO_OK_4,B13&lt;=MESES),IF(OR(B13=MESES,W13-X13&gt;Z12),Z12,W13-X13),0)</f>
        <v/>
      </c>
      <c r="Z13" s="58">
        <f>Z12-Y13</f>
        <v/>
      </c>
      <c r="AA13" s="58">
        <f>IF(AND(BANCO_OK_4,B13&lt;=MESES),X13+Y13+VINC_MES_4,0)</f>
        <v/>
      </c>
    </row>
    <row r="14">
      <c r="B14" s="56" t="n">
        <v>6</v>
      </c>
      <c r="C14" s="56">
        <f>ROUNDUP(B14/12,0)</f>
        <v/>
      </c>
      <c r="D14" s="52">
        <f>IF(AND(BANCO_OK_1,B14&lt;=MESES),IF(OR(OF_TIPO_1="Fija",C14&lt;=OF_ANIOS_INI_1),OF_TIN_1,MAX(0,EURIBOR+OF_DIF_1)),0)</f>
        <v/>
      </c>
      <c r="E14" s="58">
        <f>IF(AND(BANCO_OK_1,B14&lt;=MESES),IF(OR(B14=1,D14&lt;&gt;D13),PMT(D14/1200,MESES-B14+1,-H13),E13),0)</f>
        <v/>
      </c>
      <c r="F14" s="58">
        <f>H13*D14/1200</f>
        <v/>
      </c>
      <c r="G14" s="58">
        <f>IF(AND(BANCO_OK_1,B14&lt;=MESES),IF(OR(B14=MESES,E14-F14&gt;H13),H13,E14-F14),0)</f>
        <v/>
      </c>
      <c r="H14" s="58">
        <f>H13-G14</f>
        <v/>
      </c>
      <c r="I14" s="58">
        <f>IF(AND(BANCO_OK_1,B14&lt;=MESES),F14+G14+VINC_MES_1,0)</f>
        <v/>
      </c>
      <c r="J14" s="52">
        <f>IF(AND(BANCO_OK_2,B14&lt;=MESES),IF(OR(OF_TIPO_2="Fija",C14&lt;=OF_ANIOS_INI_2),OF_TIN_2,MAX(0,EURIBOR+OF_DIF_2)),0)</f>
        <v/>
      </c>
      <c r="K14" s="58">
        <f>IF(AND(BANCO_OK_2,B14&lt;=MESES),IF(OR(B14=1,J14&lt;&gt;J13),PMT(J14/1200,MESES-B14+1,-N13),K13),0)</f>
        <v/>
      </c>
      <c r="L14" s="58">
        <f>N13*J14/1200</f>
        <v/>
      </c>
      <c r="M14" s="58">
        <f>IF(AND(BANCO_OK_2,B14&lt;=MESES),IF(OR(B14=MESES,K14-L14&gt;N13),N13,K14-L14),0)</f>
        <v/>
      </c>
      <c r="N14" s="58">
        <f>N13-M14</f>
        <v/>
      </c>
      <c r="O14" s="58">
        <f>IF(AND(BANCO_OK_2,B14&lt;=MESES),L14+M14+VINC_MES_2,0)</f>
        <v/>
      </c>
      <c r="P14" s="52">
        <f>IF(AND(BANCO_OK_3,B14&lt;=MESES),IF(OR(OF_TIPO_3="Fija",C14&lt;=OF_ANIOS_INI_3),OF_TIN_3,MAX(0,EURIBOR+OF_DIF_3)),0)</f>
        <v/>
      </c>
      <c r="Q14" s="58">
        <f>IF(AND(BANCO_OK_3,B14&lt;=MESES),IF(OR(B14=1,P14&lt;&gt;P13),PMT(P14/1200,MESES-B14+1,-T13),Q13),0)</f>
        <v/>
      </c>
      <c r="R14" s="58">
        <f>T13*P14/1200</f>
        <v/>
      </c>
      <c r="S14" s="58">
        <f>IF(AND(BANCO_OK_3,B14&lt;=MESES),IF(OR(B14=MESES,Q14-R14&gt;T13),T13,Q14-R14),0)</f>
        <v/>
      </c>
      <c r="T14" s="58">
        <f>T13-S14</f>
        <v/>
      </c>
      <c r="U14" s="58">
        <f>IF(AND(BANCO_OK_3,B14&lt;=MESES),R14+S14+VINC_MES_3,0)</f>
        <v/>
      </c>
      <c r="V14" s="52">
        <f>IF(AND(BANCO_OK_4,B14&lt;=MESES),IF(OR(OF_TIPO_4="Fija",C14&lt;=OF_ANIOS_INI_4),OF_TIN_4,MAX(0,EURIBOR+OF_DIF_4)),0)</f>
        <v/>
      </c>
      <c r="W14" s="58">
        <f>IF(AND(BANCO_OK_4,B14&lt;=MESES),IF(OR(B14=1,V14&lt;&gt;V13),PMT(V14/1200,MESES-B14+1,-Z13),W13),0)</f>
        <v/>
      </c>
      <c r="X14" s="58">
        <f>Z13*V14/1200</f>
        <v/>
      </c>
      <c r="Y14" s="58">
        <f>IF(AND(BANCO_OK_4,B14&lt;=MESES),IF(OR(B14=MESES,W14-X14&gt;Z13),Z13,W14-X14),0)</f>
        <v/>
      </c>
      <c r="Z14" s="58">
        <f>Z13-Y14</f>
        <v/>
      </c>
      <c r="AA14" s="58">
        <f>IF(AND(BANCO_OK_4,B14&lt;=MESES),X14+Y14+VINC_MES_4,0)</f>
        <v/>
      </c>
    </row>
    <row r="15">
      <c r="B15" s="56" t="n">
        <v>7</v>
      </c>
      <c r="C15" s="56">
        <f>ROUNDUP(B15/12,0)</f>
        <v/>
      </c>
      <c r="D15" s="52">
        <f>IF(AND(BANCO_OK_1,B15&lt;=MESES),IF(OR(OF_TIPO_1="Fija",C15&lt;=OF_ANIOS_INI_1),OF_TIN_1,MAX(0,EURIBOR+OF_DIF_1)),0)</f>
        <v/>
      </c>
      <c r="E15" s="58">
        <f>IF(AND(BANCO_OK_1,B15&lt;=MESES),IF(OR(B15=1,D15&lt;&gt;D14),PMT(D15/1200,MESES-B15+1,-H14),E14),0)</f>
        <v/>
      </c>
      <c r="F15" s="58">
        <f>H14*D15/1200</f>
        <v/>
      </c>
      <c r="G15" s="58">
        <f>IF(AND(BANCO_OK_1,B15&lt;=MESES),IF(OR(B15=MESES,E15-F15&gt;H14),H14,E15-F15),0)</f>
        <v/>
      </c>
      <c r="H15" s="58">
        <f>H14-G15</f>
        <v/>
      </c>
      <c r="I15" s="58">
        <f>IF(AND(BANCO_OK_1,B15&lt;=MESES),F15+G15+VINC_MES_1,0)</f>
        <v/>
      </c>
      <c r="J15" s="52">
        <f>IF(AND(BANCO_OK_2,B15&lt;=MESES),IF(OR(OF_TIPO_2="Fija",C15&lt;=OF_ANIOS_INI_2),OF_TIN_2,MAX(0,EURIBOR+OF_DIF_2)),0)</f>
        <v/>
      </c>
      <c r="K15" s="58">
        <f>IF(AND(BANCO_OK_2,B15&lt;=MESES),IF(OR(B15=1,J15&lt;&gt;J14),PMT(J15/1200,MESES-B15+1,-N14),K14),0)</f>
        <v/>
      </c>
      <c r="L15" s="58">
        <f>N14*J15/1200</f>
        <v/>
      </c>
      <c r="M15" s="58">
        <f>IF(AND(BANCO_OK_2,B15&lt;=MESES),IF(OR(B15=MESES,K15-L15&gt;N14),N14,K15-L15),0)</f>
        <v/>
      </c>
      <c r="N15" s="58">
        <f>N14-M15</f>
        <v/>
      </c>
      <c r="O15" s="58">
        <f>IF(AND(BANCO_OK_2,B15&lt;=MESES),L15+M15+VINC_MES_2,0)</f>
        <v/>
      </c>
      <c r="P15" s="52">
        <f>IF(AND(BANCO_OK_3,B15&lt;=MESES),IF(OR(OF_TIPO_3="Fija",C15&lt;=OF_ANIOS_INI_3),OF_TIN_3,MAX(0,EURIBOR+OF_DIF_3)),0)</f>
        <v/>
      </c>
      <c r="Q15" s="58">
        <f>IF(AND(BANCO_OK_3,B15&lt;=MESES),IF(OR(B15=1,P15&lt;&gt;P14),PMT(P15/1200,MESES-B15+1,-T14),Q14),0)</f>
        <v/>
      </c>
      <c r="R15" s="58">
        <f>T14*P15/1200</f>
        <v/>
      </c>
      <c r="S15" s="58">
        <f>IF(AND(BANCO_OK_3,B15&lt;=MESES),IF(OR(B15=MESES,Q15-R15&gt;T14),T14,Q15-R15),0)</f>
        <v/>
      </c>
      <c r="T15" s="58">
        <f>T14-S15</f>
        <v/>
      </c>
      <c r="U15" s="58">
        <f>IF(AND(BANCO_OK_3,B15&lt;=MESES),R15+S15+VINC_MES_3,0)</f>
        <v/>
      </c>
      <c r="V15" s="52">
        <f>IF(AND(BANCO_OK_4,B15&lt;=MESES),IF(OR(OF_TIPO_4="Fija",C15&lt;=OF_ANIOS_INI_4),OF_TIN_4,MAX(0,EURIBOR+OF_DIF_4)),0)</f>
        <v/>
      </c>
      <c r="W15" s="58">
        <f>IF(AND(BANCO_OK_4,B15&lt;=MESES),IF(OR(B15=1,V15&lt;&gt;V14),PMT(V15/1200,MESES-B15+1,-Z14),W14),0)</f>
        <v/>
      </c>
      <c r="X15" s="58">
        <f>Z14*V15/1200</f>
        <v/>
      </c>
      <c r="Y15" s="58">
        <f>IF(AND(BANCO_OK_4,B15&lt;=MESES),IF(OR(B15=MESES,W15-X15&gt;Z14),Z14,W15-X15),0)</f>
        <v/>
      </c>
      <c r="Z15" s="58">
        <f>Z14-Y15</f>
        <v/>
      </c>
      <c r="AA15" s="58">
        <f>IF(AND(BANCO_OK_4,B15&lt;=MESES),X15+Y15+VINC_MES_4,0)</f>
        <v/>
      </c>
    </row>
    <row r="16">
      <c r="B16" s="56" t="n">
        <v>8</v>
      </c>
      <c r="C16" s="56">
        <f>ROUNDUP(B16/12,0)</f>
        <v/>
      </c>
      <c r="D16" s="52">
        <f>IF(AND(BANCO_OK_1,B16&lt;=MESES),IF(OR(OF_TIPO_1="Fija",C16&lt;=OF_ANIOS_INI_1),OF_TIN_1,MAX(0,EURIBOR+OF_DIF_1)),0)</f>
        <v/>
      </c>
      <c r="E16" s="58">
        <f>IF(AND(BANCO_OK_1,B16&lt;=MESES),IF(OR(B16=1,D16&lt;&gt;D15),PMT(D16/1200,MESES-B16+1,-H15),E15),0)</f>
        <v/>
      </c>
      <c r="F16" s="58">
        <f>H15*D16/1200</f>
        <v/>
      </c>
      <c r="G16" s="58">
        <f>IF(AND(BANCO_OK_1,B16&lt;=MESES),IF(OR(B16=MESES,E16-F16&gt;H15),H15,E16-F16),0)</f>
        <v/>
      </c>
      <c r="H16" s="58">
        <f>H15-G16</f>
        <v/>
      </c>
      <c r="I16" s="58">
        <f>IF(AND(BANCO_OK_1,B16&lt;=MESES),F16+G16+VINC_MES_1,0)</f>
        <v/>
      </c>
      <c r="J16" s="52">
        <f>IF(AND(BANCO_OK_2,B16&lt;=MESES),IF(OR(OF_TIPO_2="Fija",C16&lt;=OF_ANIOS_INI_2),OF_TIN_2,MAX(0,EURIBOR+OF_DIF_2)),0)</f>
        <v/>
      </c>
      <c r="K16" s="58">
        <f>IF(AND(BANCO_OK_2,B16&lt;=MESES),IF(OR(B16=1,J16&lt;&gt;J15),PMT(J16/1200,MESES-B16+1,-N15),K15),0)</f>
        <v/>
      </c>
      <c r="L16" s="58">
        <f>N15*J16/1200</f>
        <v/>
      </c>
      <c r="M16" s="58">
        <f>IF(AND(BANCO_OK_2,B16&lt;=MESES),IF(OR(B16=MESES,K16-L16&gt;N15),N15,K16-L16),0)</f>
        <v/>
      </c>
      <c r="N16" s="58">
        <f>N15-M16</f>
        <v/>
      </c>
      <c r="O16" s="58">
        <f>IF(AND(BANCO_OK_2,B16&lt;=MESES),L16+M16+VINC_MES_2,0)</f>
        <v/>
      </c>
      <c r="P16" s="52">
        <f>IF(AND(BANCO_OK_3,B16&lt;=MESES),IF(OR(OF_TIPO_3="Fija",C16&lt;=OF_ANIOS_INI_3),OF_TIN_3,MAX(0,EURIBOR+OF_DIF_3)),0)</f>
        <v/>
      </c>
      <c r="Q16" s="58">
        <f>IF(AND(BANCO_OK_3,B16&lt;=MESES),IF(OR(B16=1,P16&lt;&gt;P15),PMT(P16/1200,MESES-B16+1,-T15),Q15),0)</f>
        <v/>
      </c>
      <c r="R16" s="58">
        <f>T15*P16/1200</f>
        <v/>
      </c>
      <c r="S16" s="58">
        <f>IF(AND(BANCO_OK_3,B16&lt;=MESES),IF(OR(B16=MESES,Q16-R16&gt;T15),T15,Q16-R16),0)</f>
        <v/>
      </c>
      <c r="T16" s="58">
        <f>T15-S16</f>
        <v/>
      </c>
      <c r="U16" s="58">
        <f>IF(AND(BANCO_OK_3,B16&lt;=MESES),R16+S16+VINC_MES_3,0)</f>
        <v/>
      </c>
      <c r="V16" s="52">
        <f>IF(AND(BANCO_OK_4,B16&lt;=MESES),IF(OR(OF_TIPO_4="Fija",C16&lt;=OF_ANIOS_INI_4),OF_TIN_4,MAX(0,EURIBOR+OF_DIF_4)),0)</f>
        <v/>
      </c>
      <c r="W16" s="58">
        <f>IF(AND(BANCO_OK_4,B16&lt;=MESES),IF(OR(B16=1,V16&lt;&gt;V15),PMT(V16/1200,MESES-B16+1,-Z15),W15),0)</f>
        <v/>
      </c>
      <c r="X16" s="58">
        <f>Z15*V16/1200</f>
        <v/>
      </c>
      <c r="Y16" s="58">
        <f>IF(AND(BANCO_OK_4,B16&lt;=MESES),IF(OR(B16=MESES,W16-X16&gt;Z15),Z15,W16-X16),0)</f>
        <v/>
      </c>
      <c r="Z16" s="58">
        <f>Z15-Y16</f>
        <v/>
      </c>
      <c r="AA16" s="58">
        <f>IF(AND(BANCO_OK_4,B16&lt;=MESES),X16+Y16+VINC_MES_4,0)</f>
        <v/>
      </c>
    </row>
    <row r="17">
      <c r="B17" s="56" t="n">
        <v>9</v>
      </c>
      <c r="C17" s="56">
        <f>ROUNDUP(B17/12,0)</f>
        <v/>
      </c>
      <c r="D17" s="52">
        <f>IF(AND(BANCO_OK_1,B17&lt;=MESES),IF(OR(OF_TIPO_1="Fija",C17&lt;=OF_ANIOS_INI_1),OF_TIN_1,MAX(0,EURIBOR+OF_DIF_1)),0)</f>
        <v/>
      </c>
      <c r="E17" s="58">
        <f>IF(AND(BANCO_OK_1,B17&lt;=MESES),IF(OR(B17=1,D17&lt;&gt;D16),PMT(D17/1200,MESES-B17+1,-H16),E16),0)</f>
        <v/>
      </c>
      <c r="F17" s="58">
        <f>H16*D17/1200</f>
        <v/>
      </c>
      <c r="G17" s="58">
        <f>IF(AND(BANCO_OK_1,B17&lt;=MESES),IF(OR(B17=MESES,E17-F17&gt;H16),H16,E17-F17),0)</f>
        <v/>
      </c>
      <c r="H17" s="58">
        <f>H16-G17</f>
        <v/>
      </c>
      <c r="I17" s="58">
        <f>IF(AND(BANCO_OK_1,B17&lt;=MESES),F17+G17+VINC_MES_1,0)</f>
        <v/>
      </c>
      <c r="J17" s="52">
        <f>IF(AND(BANCO_OK_2,B17&lt;=MESES),IF(OR(OF_TIPO_2="Fija",C17&lt;=OF_ANIOS_INI_2),OF_TIN_2,MAX(0,EURIBOR+OF_DIF_2)),0)</f>
        <v/>
      </c>
      <c r="K17" s="58">
        <f>IF(AND(BANCO_OK_2,B17&lt;=MESES),IF(OR(B17=1,J17&lt;&gt;J16),PMT(J17/1200,MESES-B17+1,-N16),K16),0)</f>
        <v/>
      </c>
      <c r="L17" s="58">
        <f>N16*J17/1200</f>
        <v/>
      </c>
      <c r="M17" s="58">
        <f>IF(AND(BANCO_OK_2,B17&lt;=MESES),IF(OR(B17=MESES,K17-L17&gt;N16),N16,K17-L17),0)</f>
        <v/>
      </c>
      <c r="N17" s="58">
        <f>N16-M17</f>
        <v/>
      </c>
      <c r="O17" s="58">
        <f>IF(AND(BANCO_OK_2,B17&lt;=MESES),L17+M17+VINC_MES_2,0)</f>
        <v/>
      </c>
      <c r="P17" s="52">
        <f>IF(AND(BANCO_OK_3,B17&lt;=MESES),IF(OR(OF_TIPO_3="Fija",C17&lt;=OF_ANIOS_INI_3),OF_TIN_3,MAX(0,EURIBOR+OF_DIF_3)),0)</f>
        <v/>
      </c>
      <c r="Q17" s="58">
        <f>IF(AND(BANCO_OK_3,B17&lt;=MESES),IF(OR(B17=1,P17&lt;&gt;P16),PMT(P17/1200,MESES-B17+1,-T16),Q16),0)</f>
        <v/>
      </c>
      <c r="R17" s="58">
        <f>T16*P17/1200</f>
        <v/>
      </c>
      <c r="S17" s="58">
        <f>IF(AND(BANCO_OK_3,B17&lt;=MESES),IF(OR(B17=MESES,Q17-R17&gt;T16),T16,Q17-R17),0)</f>
        <v/>
      </c>
      <c r="T17" s="58">
        <f>T16-S17</f>
        <v/>
      </c>
      <c r="U17" s="58">
        <f>IF(AND(BANCO_OK_3,B17&lt;=MESES),R17+S17+VINC_MES_3,0)</f>
        <v/>
      </c>
      <c r="V17" s="52">
        <f>IF(AND(BANCO_OK_4,B17&lt;=MESES),IF(OR(OF_TIPO_4="Fija",C17&lt;=OF_ANIOS_INI_4),OF_TIN_4,MAX(0,EURIBOR+OF_DIF_4)),0)</f>
        <v/>
      </c>
      <c r="W17" s="58">
        <f>IF(AND(BANCO_OK_4,B17&lt;=MESES),IF(OR(B17=1,V17&lt;&gt;V16),PMT(V17/1200,MESES-B17+1,-Z16),W16),0)</f>
        <v/>
      </c>
      <c r="X17" s="58">
        <f>Z16*V17/1200</f>
        <v/>
      </c>
      <c r="Y17" s="58">
        <f>IF(AND(BANCO_OK_4,B17&lt;=MESES),IF(OR(B17=MESES,W17-X17&gt;Z16),Z16,W17-X17),0)</f>
        <v/>
      </c>
      <c r="Z17" s="58">
        <f>Z16-Y17</f>
        <v/>
      </c>
      <c r="AA17" s="58">
        <f>IF(AND(BANCO_OK_4,B17&lt;=MESES),X17+Y17+VINC_MES_4,0)</f>
        <v/>
      </c>
    </row>
    <row r="18">
      <c r="B18" s="56" t="n">
        <v>10</v>
      </c>
      <c r="C18" s="56">
        <f>ROUNDUP(B18/12,0)</f>
        <v/>
      </c>
      <c r="D18" s="52">
        <f>IF(AND(BANCO_OK_1,B18&lt;=MESES),IF(OR(OF_TIPO_1="Fija",C18&lt;=OF_ANIOS_INI_1),OF_TIN_1,MAX(0,EURIBOR+OF_DIF_1)),0)</f>
        <v/>
      </c>
      <c r="E18" s="58">
        <f>IF(AND(BANCO_OK_1,B18&lt;=MESES),IF(OR(B18=1,D18&lt;&gt;D17),PMT(D18/1200,MESES-B18+1,-H17),E17),0)</f>
        <v/>
      </c>
      <c r="F18" s="58">
        <f>H17*D18/1200</f>
        <v/>
      </c>
      <c r="G18" s="58">
        <f>IF(AND(BANCO_OK_1,B18&lt;=MESES),IF(OR(B18=MESES,E18-F18&gt;H17),H17,E18-F18),0)</f>
        <v/>
      </c>
      <c r="H18" s="58">
        <f>H17-G18</f>
        <v/>
      </c>
      <c r="I18" s="58">
        <f>IF(AND(BANCO_OK_1,B18&lt;=MESES),F18+G18+VINC_MES_1,0)</f>
        <v/>
      </c>
      <c r="J18" s="52">
        <f>IF(AND(BANCO_OK_2,B18&lt;=MESES),IF(OR(OF_TIPO_2="Fija",C18&lt;=OF_ANIOS_INI_2),OF_TIN_2,MAX(0,EURIBOR+OF_DIF_2)),0)</f>
        <v/>
      </c>
      <c r="K18" s="58">
        <f>IF(AND(BANCO_OK_2,B18&lt;=MESES),IF(OR(B18=1,J18&lt;&gt;J17),PMT(J18/1200,MESES-B18+1,-N17),K17),0)</f>
        <v/>
      </c>
      <c r="L18" s="58">
        <f>N17*J18/1200</f>
        <v/>
      </c>
      <c r="M18" s="58">
        <f>IF(AND(BANCO_OK_2,B18&lt;=MESES),IF(OR(B18=MESES,K18-L18&gt;N17),N17,K18-L18),0)</f>
        <v/>
      </c>
      <c r="N18" s="58">
        <f>N17-M18</f>
        <v/>
      </c>
      <c r="O18" s="58">
        <f>IF(AND(BANCO_OK_2,B18&lt;=MESES),L18+M18+VINC_MES_2,0)</f>
        <v/>
      </c>
      <c r="P18" s="52">
        <f>IF(AND(BANCO_OK_3,B18&lt;=MESES),IF(OR(OF_TIPO_3="Fija",C18&lt;=OF_ANIOS_INI_3),OF_TIN_3,MAX(0,EURIBOR+OF_DIF_3)),0)</f>
        <v/>
      </c>
      <c r="Q18" s="58">
        <f>IF(AND(BANCO_OK_3,B18&lt;=MESES),IF(OR(B18=1,P18&lt;&gt;P17),PMT(P18/1200,MESES-B18+1,-T17),Q17),0)</f>
        <v/>
      </c>
      <c r="R18" s="58">
        <f>T17*P18/1200</f>
        <v/>
      </c>
      <c r="S18" s="58">
        <f>IF(AND(BANCO_OK_3,B18&lt;=MESES),IF(OR(B18=MESES,Q18-R18&gt;T17),T17,Q18-R18),0)</f>
        <v/>
      </c>
      <c r="T18" s="58">
        <f>T17-S18</f>
        <v/>
      </c>
      <c r="U18" s="58">
        <f>IF(AND(BANCO_OK_3,B18&lt;=MESES),R18+S18+VINC_MES_3,0)</f>
        <v/>
      </c>
      <c r="V18" s="52">
        <f>IF(AND(BANCO_OK_4,B18&lt;=MESES),IF(OR(OF_TIPO_4="Fija",C18&lt;=OF_ANIOS_INI_4),OF_TIN_4,MAX(0,EURIBOR+OF_DIF_4)),0)</f>
        <v/>
      </c>
      <c r="W18" s="58">
        <f>IF(AND(BANCO_OK_4,B18&lt;=MESES),IF(OR(B18=1,V18&lt;&gt;V17),PMT(V18/1200,MESES-B18+1,-Z17),W17),0)</f>
        <v/>
      </c>
      <c r="X18" s="58">
        <f>Z17*V18/1200</f>
        <v/>
      </c>
      <c r="Y18" s="58">
        <f>IF(AND(BANCO_OK_4,B18&lt;=MESES),IF(OR(B18=MESES,W18-X18&gt;Z17),Z17,W18-X18),0)</f>
        <v/>
      </c>
      <c r="Z18" s="58">
        <f>Z17-Y18</f>
        <v/>
      </c>
      <c r="AA18" s="58">
        <f>IF(AND(BANCO_OK_4,B18&lt;=MESES),X18+Y18+VINC_MES_4,0)</f>
        <v/>
      </c>
    </row>
    <row r="19">
      <c r="B19" s="56" t="n">
        <v>11</v>
      </c>
      <c r="C19" s="56">
        <f>ROUNDUP(B19/12,0)</f>
        <v/>
      </c>
      <c r="D19" s="52">
        <f>IF(AND(BANCO_OK_1,B19&lt;=MESES),IF(OR(OF_TIPO_1="Fija",C19&lt;=OF_ANIOS_INI_1),OF_TIN_1,MAX(0,EURIBOR+OF_DIF_1)),0)</f>
        <v/>
      </c>
      <c r="E19" s="58">
        <f>IF(AND(BANCO_OK_1,B19&lt;=MESES),IF(OR(B19=1,D19&lt;&gt;D18),PMT(D19/1200,MESES-B19+1,-H18),E18),0)</f>
        <v/>
      </c>
      <c r="F19" s="58">
        <f>H18*D19/1200</f>
        <v/>
      </c>
      <c r="G19" s="58">
        <f>IF(AND(BANCO_OK_1,B19&lt;=MESES),IF(OR(B19=MESES,E19-F19&gt;H18),H18,E19-F19),0)</f>
        <v/>
      </c>
      <c r="H19" s="58">
        <f>H18-G19</f>
        <v/>
      </c>
      <c r="I19" s="58">
        <f>IF(AND(BANCO_OK_1,B19&lt;=MESES),F19+G19+VINC_MES_1,0)</f>
        <v/>
      </c>
      <c r="J19" s="52">
        <f>IF(AND(BANCO_OK_2,B19&lt;=MESES),IF(OR(OF_TIPO_2="Fija",C19&lt;=OF_ANIOS_INI_2),OF_TIN_2,MAX(0,EURIBOR+OF_DIF_2)),0)</f>
        <v/>
      </c>
      <c r="K19" s="58">
        <f>IF(AND(BANCO_OK_2,B19&lt;=MESES),IF(OR(B19=1,J19&lt;&gt;J18),PMT(J19/1200,MESES-B19+1,-N18),K18),0)</f>
        <v/>
      </c>
      <c r="L19" s="58">
        <f>N18*J19/1200</f>
        <v/>
      </c>
      <c r="M19" s="58">
        <f>IF(AND(BANCO_OK_2,B19&lt;=MESES),IF(OR(B19=MESES,K19-L19&gt;N18),N18,K19-L19),0)</f>
        <v/>
      </c>
      <c r="N19" s="58">
        <f>N18-M19</f>
        <v/>
      </c>
      <c r="O19" s="58">
        <f>IF(AND(BANCO_OK_2,B19&lt;=MESES),L19+M19+VINC_MES_2,0)</f>
        <v/>
      </c>
      <c r="P19" s="52">
        <f>IF(AND(BANCO_OK_3,B19&lt;=MESES),IF(OR(OF_TIPO_3="Fija",C19&lt;=OF_ANIOS_INI_3),OF_TIN_3,MAX(0,EURIBOR+OF_DIF_3)),0)</f>
        <v/>
      </c>
      <c r="Q19" s="58">
        <f>IF(AND(BANCO_OK_3,B19&lt;=MESES),IF(OR(B19=1,P19&lt;&gt;P18),PMT(P19/1200,MESES-B19+1,-T18),Q18),0)</f>
        <v/>
      </c>
      <c r="R19" s="58">
        <f>T18*P19/1200</f>
        <v/>
      </c>
      <c r="S19" s="58">
        <f>IF(AND(BANCO_OK_3,B19&lt;=MESES),IF(OR(B19=MESES,Q19-R19&gt;T18),T18,Q19-R19),0)</f>
        <v/>
      </c>
      <c r="T19" s="58">
        <f>T18-S19</f>
        <v/>
      </c>
      <c r="U19" s="58">
        <f>IF(AND(BANCO_OK_3,B19&lt;=MESES),R19+S19+VINC_MES_3,0)</f>
        <v/>
      </c>
      <c r="V19" s="52">
        <f>IF(AND(BANCO_OK_4,B19&lt;=MESES),IF(OR(OF_TIPO_4="Fija",C19&lt;=OF_ANIOS_INI_4),OF_TIN_4,MAX(0,EURIBOR+OF_DIF_4)),0)</f>
        <v/>
      </c>
      <c r="W19" s="58">
        <f>IF(AND(BANCO_OK_4,B19&lt;=MESES),IF(OR(B19=1,V19&lt;&gt;V18),PMT(V19/1200,MESES-B19+1,-Z18),W18),0)</f>
        <v/>
      </c>
      <c r="X19" s="58">
        <f>Z18*V19/1200</f>
        <v/>
      </c>
      <c r="Y19" s="58">
        <f>IF(AND(BANCO_OK_4,B19&lt;=MESES),IF(OR(B19=MESES,W19-X19&gt;Z18),Z18,W19-X19),0)</f>
        <v/>
      </c>
      <c r="Z19" s="58">
        <f>Z18-Y19</f>
        <v/>
      </c>
      <c r="AA19" s="58">
        <f>IF(AND(BANCO_OK_4,B19&lt;=MESES),X19+Y19+VINC_MES_4,0)</f>
        <v/>
      </c>
    </row>
    <row r="20">
      <c r="B20" s="56" t="n">
        <v>12</v>
      </c>
      <c r="C20" s="56">
        <f>ROUNDUP(B20/12,0)</f>
        <v/>
      </c>
      <c r="D20" s="52">
        <f>IF(AND(BANCO_OK_1,B20&lt;=MESES),IF(OR(OF_TIPO_1="Fija",C20&lt;=OF_ANIOS_INI_1),OF_TIN_1,MAX(0,EURIBOR+OF_DIF_1)),0)</f>
        <v/>
      </c>
      <c r="E20" s="58">
        <f>IF(AND(BANCO_OK_1,B20&lt;=MESES),IF(OR(B20=1,D20&lt;&gt;D19),PMT(D20/1200,MESES-B20+1,-H19),E19),0)</f>
        <v/>
      </c>
      <c r="F20" s="58">
        <f>H19*D20/1200</f>
        <v/>
      </c>
      <c r="G20" s="58">
        <f>IF(AND(BANCO_OK_1,B20&lt;=MESES),IF(OR(B20=MESES,E20-F20&gt;H19),H19,E20-F20),0)</f>
        <v/>
      </c>
      <c r="H20" s="58">
        <f>H19-G20</f>
        <v/>
      </c>
      <c r="I20" s="58">
        <f>IF(AND(BANCO_OK_1,B20&lt;=MESES),F20+G20+VINC_MES_1,0)</f>
        <v/>
      </c>
      <c r="J20" s="52">
        <f>IF(AND(BANCO_OK_2,B20&lt;=MESES),IF(OR(OF_TIPO_2="Fija",C20&lt;=OF_ANIOS_INI_2),OF_TIN_2,MAX(0,EURIBOR+OF_DIF_2)),0)</f>
        <v/>
      </c>
      <c r="K20" s="58">
        <f>IF(AND(BANCO_OK_2,B20&lt;=MESES),IF(OR(B20=1,J20&lt;&gt;J19),PMT(J20/1200,MESES-B20+1,-N19),K19),0)</f>
        <v/>
      </c>
      <c r="L20" s="58">
        <f>N19*J20/1200</f>
        <v/>
      </c>
      <c r="M20" s="58">
        <f>IF(AND(BANCO_OK_2,B20&lt;=MESES),IF(OR(B20=MESES,K20-L20&gt;N19),N19,K20-L20),0)</f>
        <v/>
      </c>
      <c r="N20" s="58">
        <f>N19-M20</f>
        <v/>
      </c>
      <c r="O20" s="58">
        <f>IF(AND(BANCO_OK_2,B20&lt;=MESES),L20+M20+VINC_MES_2,0)</f>
        <v/>
      </c>
      <c r="P20" s="52">
        <f>IF(AND(BANCO_OK_3,B20&lt;=MESES),IF(OR(OF_TIPO_3="Fija",C20&lt;=OF_ANIOS_INI_3),OF_TIN_3,MAX(0,EURIBOR+OF_DIF_3)),0)</f>
        <v/>
      </c>
      <c r="Q20" s="58">
        <f>IF(AND(BANCO_OK_3,B20&lt;=MESES),IF(OR(B20=1,P20&lt;&gt;P19),PMT(P20/1200,MESES-B20+1,-T19),Q19),0)</f>
        <v/>
      </c>
      <c r="R20" s="58">
        <f>T19*P20/1200</f>
        <v/>
      </c>
      <c r="S20" s="58">
        <f>IF(AND(BANCO_OK_3,B20&lt;=MESES),IF(OR(B20=MESES,Q20-R20&gt;T19),T19,Q20-R20),0)</f>
        <v/>
      </c>
      <c r="T20" s="58">
        <f>T19-S20</f>
        <v/>
      </c>
      <c r="U20" s="58">
        <f>IF(AND(BANCO_OK_3,B20&lt;=MESES),R20+S20+VINC_MES_3,0)</f>
        <v/>
      </c>
      <c r="V20" s="52">
        <f>IF(AND(BANCO_OK_4,B20&lt;=MESES),IF(OR(OF_TIPO_4="Fija",C20&lt;=OF_ANIOS_INI_4),OF_TIN_4,MAX(0,EURIBOR+OF_DIF_4)),0)</f>
        <v/>
      </c>
      <c r="W20" s="58">
        <f>IF(AND(BANCO_OK_4,B20&lt;=MESES),IF(OR(B20=1,V20&lt;&gt;V19),PMT(V20/1200,MESES-B20+1,-Z19),W19),0)</f>
        <v/>
      </c>
      <c r="X20" s="58">
        <f>Z19*V20/1200</f>
        <v/>
      </c>
      <c r="Y20" s="58">
        <f>IF(AND(BANCO_OK_4,B20&lt;=MESES),IF(OR(B20=MESES,W20-X20&gt;Z19),Z19,W20-X20),0)</f>
        <v/>
      </c>
      <c r="Z20" s="58">
        <f>Z19-Y20</f>
        <v/>
      </c>
      <c r="AA20" s="58">
        <f>IF(AND(BANCO_OK_4,B20&lt;=MESES),X20+Y20+VINC_MES_4,0)</f>
        <v/>
      </c>
    </row>
    <row r="21">
      <c r="B21" s="56" t="n">
        <v>13</v>
      </c>
      <c r="C21" s="56">
        <f>ROUNDUP(B21/12,0)</f>
        <v/>
      </c>
      <c r="D21" s="52">
        <f>IF(AND(BANCO_OK_1,B21&lt;=MESES),IF(OR(OF_TIPO_1="Fija",C21&lt;=OF_ANIOS_INI_1),OF_TIN_1,MAX(0,EURIBOR+OF_DIF_1)),0)</f>
        <v/>
      </c>
      <c r="E21" s="58">
        <f>IF(AND(BANCO_OK_1,B21&lt;=MESES),IF(OR(B21=1,D21&lt;&gt;D20),PMT(D21/1200,MESES-B21+1,-H20),E20),0)</f>
        <v/>
      </c>
      <c r="F21" s="58">
        <f>H20*D21/1200</f>
        <v/>
      </c>
      <c r="G21" s="58">
        <f>IF(AND(BANCO_OK_1,B21&lt;=MESES),IF(OR(B21=MESES,E21-F21&gt;H20),H20,E21-F21),0)</f>
        <v/>
      </c>
      <c r="H21" s="58">
        <f>H20-G21</f>
        <v/>
      </c>
      <c r="I21" s="58">
        <f>IF(AND(BANCO_OK_1,B21&lt;=MESES),F21+G21+VINC_MES_1,0)</f>
        <v/>
      </c>
      <c r="J21" s="52">
        <f>IF(AND(BANCO_OK_2,B21&lt;=MESES),IF(OR(OF_TIPO_2="Fija",C21&lt;=OF_ANIOS_INI_2),OF_TIN_2,MAX(0,EURIBOR+OF_DIF_2)),0)</f>
        <v/>
      </c>
      <c r="K21" s="58">
        <f>IF(AND(BANCO_OK_2,B21&lt;=MESES),IF(OR(B21=1,J21&lt;&gt;J20),PMT(J21/1200,MESES-B21+1,-N20),K20),0)</f>
        <v/>
      </c>
      <c r="L21" s="58">
        <f>N20*J21/1200</f>
        <v/>
      </c>
      <c r="M21" s="58">
        <f>IF(AND(BANCO_OK_2,B21&lt;=MESES),IF(OR(B21=MESES,K21-L21&gt;N20),N20,K21-L21),0)</f>
        <v/>
      </c>
      <c r="N21" s="58">
        <f>N20-M21</f>
        <v/>
      </c>
      <c r="O21" s="58">
        <f>IF(AND(BANCO_OK_2,B21&lt;=MESES),L21+M21+VINC_MES_2,0)</f>
        <v/>
      </c>
      <c r="P21" s="52">
        <f>IF(AND(BANCO_OK_3,B21&lt;=MESES),IF(OR(OF_TIPO_3="Fija",C21&lt;=OF_ANIOS_INI_3),OF_TIN_3,MAX(0,EURIBOR+OF_DIF_3)),0)</f>
        <v/>
      </c>
      <c r="Q21" s="58">
        <f>IF(AND(BANCO_OK_3,B21&lt;=MESES),IF(OR(B21=1,P21&lt;&gt;P20),PMT(P21/1200,MESES-B21+1,-T20),Q20),0)</f>
        <v/>
      </c>
      <c r="R21" s="58">
        <f>T20*P21/1200</f>
        <v/>
      </c>
      <c r="S21" s="58">
        <f>IF(AND(BANCO_OK_3,B21&lt;=MESES),IF(OR(B21=MESES,Q21-R21&gt;T20),T20,Q21-R21),0)</f>
        <v/>
      </c>
      <c r="T21" s="58">
        <f>T20-S21</f>
        <v/>
      </c>
      <c r="U21" s="58">
        <f>IF(AND(BANCO_OK_3,B21&lt;=MESES),R21+S21+VINC_MES_3,0)</f>
        <v/>
      </c>
      <c r="V21" s="52">
        <f>IF(AND(BANCO_OK_4,B21&lt;=MESES),IF(OR(OF_TIPO_4="Fija",C21&lt;=OF_ANIOS_INI_4),OF_TIN_4,MAX(0,EURIBOR+OF_DIF_4)),0)</f>
        <v/>
      </c>
      <c r="W21" s="58">
        <f>IF(AND(BANCO_OK_4,B21&lt;=MESES),IF(OR(B21=1,V21&lt;&gt;V20),PMT(V21/1200,MESES-B21+1,-Z20),W20),0)</f>
        <v/>
      </c>
      <c r="X21" s="58">
        <f>Z20*V21/1200</f>
        <v/>
      </c>
      <c r="Y21" s="58">
        <f>IF(AND(BANCO_OK_4,B21&lt;=MESES),IF(OR(B21=MESES,W21-X21&gt;Z20),Z20,W21-X21),0)</f>
        <v/>
      </c>
      <c r="Z21" s="58">
        <f>Z20-Y21</f>
        <v/>
      </c>
      <c r="AA21" s="58">
        <f>IF(AND(BANCO_OK_4,B21&lt;=MESES),X21+Y21+VINC_MES_4,0)</f>
        <v/>
      </c>
    </row>
    <row r="22">
      <c r="B22" s="56" t="n">
        <v>14</v>
      </c>
      <c r="C22" s="56">
        <f>ROUNDUP(B22/12,0)</f>
        <v/>
      </c>
      <c r="D22" s="52">
        <f>IF(AND(BANCO_OK_1,B22&lt;=MESES),IF(OR(OF_TIPO_1="Fija",C22&lt;=OF_ANIOS_INI_1),OF_TIN_1,MAX(0,EURIBOR+OF_DIF_1)),0)</f>
        <v/>
      </c>
      <c r="E22" s="58">
        <f>IF(AND(BANCO_OK_1,B22&lt;=MESES),IF(OR(B22=1,D22&lt;&gt;D21),PMT(D22/1200,MESES-B22+1,-H21),E21),0)</f>
        <v/>
      </c>
      <c r="F22" s="58">
        <f>H21*D22/1200</f>
        <v/>
      </c>
      <c r="G22" s="58">
        <f>IF(AND(BANCO_OK_1,B22&lt;=MESES),IF(OR(B22=MESES,E22-F22&gt;H21),H21,E22-F22),0)</f>
        <v/>
      </c>
      <c r="H22" s="58">
        <f>H21-G22</f>
        <v/>
      </c>
      <c r="I22" s="58">
        <f>IF(AND(BANCO_OK_1,B22&lt;=MESES),F22+G22+VINC_MES_1,0)</f>
        <v/>
      </c>
      <c r="J22" s="52">
        <f>IF(AND(BANCO_OK_2,B22&lt;=MESES),IF(OR(OF_TIPO_2="Fija",C22&lt;=OF_ANIOS_INI_2),OF_TIN_2,MAX(0,EURIBOR+OF_DIF_2)),0)</f>
        <v/>
      </c>
      <c r="K22" s="58">
        <f>IF(AND(BANCO_OK_2,B22&lt;=MESES),IF(OR(B22=1,J22&lt;&gt;J21),PMT(J22/1200,MESES-B22+1,-N21),K21),0)</f>
        <v/>
      </c>
      <c r="L22" s="58">
        <f>N21*J22/1200</f>
        <v/>
      </c>
      <c r="M22" s="58">
        <f>IF(AND(BANCO_OK_2,B22&lt;=MESES),IF(OR(B22=MESES,K22-L22&gt;N21),N21,K22-L22),0)</f>
        <v/>
      </c>
      <c r="N22" s="58">
        <f>N21-M22</f>
        <v/>
      </c>
      <c r="O22" s="58">
        <f>IF(AND(BANCO_OK_2,B22&lt;=MESES),L22+M22+VINC_MES_2,0)</f>
        <v/>
      </c>
      <c r="P22" s="52">
        <f>IF(AND(BANCO_OK_3,B22&lt;=MESES),IF(OR(OF_TIPO_3="Fija",C22&lt;=OF_ANIOS_INI_3),OF_TIN_3,MAX(0,EURIBOR+OF_DIF_3)),0)</f>
        <v/>
      </c>
      <c r="Q22" s="58">
        <f>IF(AND(BANCO_OK_3,B22&lt;=MESES),IF(OR(B22=1,P22&lt;&gt;P21),PMT(P22/1200,MESES-B22+1,-T21),Q21),0)</f>
        <v/>
      </c>
      <c r="R22" s="58">
        <f>T21*P22/1200</f>
        <v/>
      </c>
      <c r="S22" s="58">
        <f>IF(AND(BANCO_OK_3,B22&lt;=MESES),IF(OR(B22=MESES,Q22-R22&gt;T21),T21,Q22-R22),0)</f>
        <v/>
      </c>
      <c r="T22" s="58">
        <f>T21-S22</f>
        <v/>
      </c>
      <c r="U22" s="58">
        <f>IF(AND(BANCO_OK_3,B22&lt;=MESES),R22+S22+VINC_MES_3,0)</f>
        <v/>
      </c>
      <c r="V22" s="52">
        <f>IF(AND(BANCO_OK_4,B22&lt;=MESES),IF(OR(OF_TIPO_4="Fija",C22&lt;=OF_ANIOS_INI_4),OF_TIN_4,MAX(0,EURIBOR+OF_DIF_4)),0)</f>
        <v/>
      </c>
      <c r="W22" s="58">
        <f>IF(AND(BANCO_OK_4,B22&lt;=MESES),IF(OR(B22=1,V22&lt;&gt;V21),PMT(V22/1200,MESES-B22+1,-Z21),W21),0)</f>
        <v/>
      </c>
      <c r="X22" s="58">
        <f>Z21*V22/1200</f>
        <v/>
      </c>
      <c r="Y22" s="58">
        <f>IF(AND(BANCO_OK_4,B22&lt;=MESES),IF(OR(B22=MESES,W22-X22&gt;Z21),Z21,W22-X22),0)</f>
        <v/>
      </c>
      <c r="Z22" s="58">
        <f>Z21-Y22</f>
        <v/>
      </c>
      <c r="AA22" s="58">
        <f>IF(AND(BANCO_OK_4,B22&lt;=MESES),X22+Y22+VINC_MES_4,0)</f>
        <v/>
      </c>
    </row>
    <row r="23">
      <c r="B23" s="56" t="n">
        <v>15</v>
      </c>
      <c r="C23" s="56">
        <f>ROUNDUP(B23/12,0)</f>
        <v/>
      </c>
      <c r="D23" s="52">
        <f>IF(AND(BANCO_OK_1,B23&lt;=MESES),IF(OR(OF_TIPO_1="Fija",C23&lt;=OF_ANIOS_INI_1),OF_TIN_1,MAX(0,EURIBOR+OF_DIF_1)),0)</f>
        <v/>
      </c>
      <c r="E23" s="58">
        <f>IF(AND(BANCO_OK_1,B23&lt;=MESES),IF(OR(B23=1,D23&lt;&gt;D22),PMT(D23/1200,MESES-B23+1,-H22),E22),0)</f>
        <v/>
      </c>
      <c r="F23" s="58">
        <f>H22*D23/1200</f>
        <v/>
      </c>
      <c r="G23" s="58">
        <f>IF(AND(BANCO_OK_1,B23&lt;=MESES),IF(OR(B23=MESES,E23-F23&gt;H22),H22,E23-F23),0)</f>
        <v/>
      </c>
      <c r="H23" s="58">
        <f>H22-G23</f>
        <v/>
      </c>
      <c r="I23" s="58">
        <f>IF(AND(BANCO_OK_1,B23&lt;=MESES),F23+G23+VINC_MES_1,0)</f>
        <v/>
      </c>
      <c r="J23" s="52">
        <f>IF(AND(BANCO_OK_2,B23&lt;=MESES),IF(OR(OF_TIPO_2="Fija",C23&lt;=OF_ANIOS_INI_2),OF_TIN_2,MAX(0,EURIBOR+OF_DIF_2)),0)</f>
        <v/>
      </c>
      <c r="K23" s="58">
        <f>IF(AND(BANCO_OK_2,B23&lt;=MESES),IF(OR(B23=1,J23&lt;&gt;J22),PMT(J23/1200,MESES-B23+1,-N22),K22),0)</f>
        <v/>
      </c>
      <c r="L23" s="58">
        <f>N22*J23/1200</f>
        <v/>
      </c>
      <c r="M23" s="58">
        <f>IF(AND(BANCO_OK_2,B23&lt;=MESES),IF(OR(B23=MESES,K23-L23&gt;N22),N22,K23-L23),0)</f>
        <v/>
      </c>
      <c r="N23" s="58">
        <f>N22-M23</f>
        <v/>
      </c>
      <c r="O23" s="58">
        <f>IF(AND(BANCO_OK_2,B23&lt;=MESES),L23+M23+VINC_MES_2,0)</f>
        <v/>
      </c>
      <c r="P23" s="52">
        <f>IF(AND(BANCO_OK_3,B23&lt;=MESES),IF(OR(OF_TIPO_3="Fija",C23&lt;=OF_ANIOS_INI_3),OF_TIN_3,MAX(0,EURIBOR+OF_DIF_3)),0)</f>
        <v/>
      </c>
      <c r="Q23" s="58">
        <f>IF(AND(BANCO_OK_3,B23&lt;=MESES),IF(OR(B23=1,P23&lt;&gt;P22),PMT(P23/1200,MESES-B23+1,-T22),Q22),0)</f>
        <v/>
      </c>
      <c r="R23" s="58">
        <f>T22*P23/1200</f>
        <v/>
      </c>
      <c r="S23" s="58">
        <f>IF(AND(BANCO_OK_3,B23&lt;=MESES),IF(OR(B23=MESES,Q23-R23&gt;T22),T22,Q23-R23),0)</f>
        <v/>
      </c>
      <c r="T23" s="58">
        <f>T22-S23</f>
        <v/>
      </c>
      <c r="U23" s="58">
        <f>IF(AND(BANCO_OK_3,B23&lt;=MESES),R23+S23+VINC_MES_3,0)</f>
        <v/>
      </c>
      <c r="V23" s="52">
        <f>IF(AND(BANCO_OK_4,B23&lt;=MESES),IF(OR(OF_TIPO_4="Fija",C23&lt;=OF_ANIOS_INI_4),OF_TIN_4,MAX(0,EURIBOR+OF_DIF_4)),0)</f>
        <v/>
      </c>
      <c r="W23" s="58">
        <f>IF(AND(BANCO_OK_4,B23&lt;=MESES),IF(OR(B23=1,V23&lt;&gt;V22),PMT(V23/1200,MESES-B23+1,-Z22),W22),0)</f>
        <v/>
      </c>
      <c r="X23" s="58">
        <f>Z22*V23/1200</f>
        <v/>
      </c>
      <c r="Y23" s="58">
        <f>IF(AND(BANCO_OK_4,B23&lt;=MESES),IF(OR(B23=MESES,W23-X23&gt;Z22),Z22,W23-X23),0)</f>
        <v/>
      </c>
      <c r="Z23" s="58">
        <f>Z22-Y23</f>
        <v/>
      </c>
      <c r="AA23" s="58">
        <f>IF(AND(BANCO_OK_4,B23&lt;=MESES),X23+Y23+VINC_MES_4,0)</f>
        <v/>
      </c>
    </row>
    <row r="24">
      <c r="B24" s="56" t="n">
        <v>16</v>
      </c>
      <c r="C24" s="56">
        <f>ROUNDUP(B24/12,0)</f>
        <v/>
      </c>
      <c r="D24" s="52">
        <f>IF(AND(BANCO_OK_1,B24&lt;=MESES),IF(OR(OF_TIPO_1="Fija",C24&lt;=OF_ANIOS_INI_1),OF_TIN_1,MAX(0,EURIBOR+OF_DIF_1)),0)</f>
        <v/>
      </c>
      <c r="E24" s="58">
        <f>IF(AND(BANCO_OK_1,B24&lt;=MESES),IF(OR(B24=1,D24&lt;&gt;D23),PMT(D24/1200,MESES-B24+1,-H23),E23),0)</f>
        <v/>
      </c>
      <c r="F24" s="58">
        <f>H23*D24/1200</f>
        <v/>
      </c>
      <c r="G24" s="58">
        <f>IF(AND(BANCO_OK_1,B24&lt;=MESES),IF(OR(B24=MESES,E24-F24&gt;H23),H23,E24-F24),0)</f>
        <v/>
      </c>
      <c r="H24" s="58">
        <f>H23-G24</f>
        <v/>
      </c>
      <c r="I24" s="58">
        <f>IF(AND(BANCO_OK_1,B24&lt;=MESES),F24+G24+VINC_MES_1,0)</f>
        <v/>
      </c>
      <c r="J24" s="52">
        <f>IF(AND(BANCO_OK_2,B24&lt;=MESES),IF(OR(OF_TIPO_2="Fija",C24&lt;=OF_ANIOS_INI_2),OF_TIN_2,MAX(0,EURIBOR+OF_DIF_2)),0)</f>
        <v/>
      </c>
      <c r="K24" s="58">
        <f>IF(AND(BANCO_OK_2,B24&lt;=MESES),IF(OR(B24=1,J24&lt;&gt;J23),PMT(J24/1200,MESES-B24+1,-N23),K23),0)</f>
        <v/>
      </c>
      <c r="L24" s="58">
        <f>N23*J24/1200</f>
        <v/>
      </c>
      <c r="M24" s="58">
        <f>IF(AND(BANCO_OK_2,B24&lt;=MESES),IF(OR(B24=MESES,K24-L24&gt;N23),N23,K24-L24),0)</f>
        <v/>
      </c>
      <c r="N24" s="58">
        <f>N23-M24</f>
        <v/>
      </c>
      <c r="O24" s="58">
        <f>IF(AND(BANCO_OK_2,B24&lt;=MESES),L24+M24+VINC_MES_2,0)</f>
        <v/>
      </c>
      <c r="P24" s="52">
        <f>IF(AND(BANCO_OK_3,B24&lt;=MESES),IF(OR(OF_TIPO_3="Fija",C24&lt;=OF_ANIOS_INI_3),OF_TIN_3,MAX(0,EURIBOR+OF_DIF_3)),0)</f>
        <v/>
      </c>
      <c r="Q24" s="58">
        <f>IF(AND(BANCO_OK_3,B24&lt;=MESES),IF(OR(B24=1,P24&lt;&gt;P23),PMT(P24/1200,MESES-B24+1,-T23),Q23),0)</f>
        <v/>
      </c>
      <c r="R24" s="58">
        <f>T23*P24/1200</f>
        <v/>
      </c>
      <c r="S24" s="58">
        <f>IF(AND(BANCO_OK_3,B24&lt;=MESES),IF(OR(B24=MESES,Q24-R24&gt;T23),T23,Q24-R24),0)</f>
        <v/>
      </c>
      <c r="T24" s="58">
        <f>T23-S24</f>
        <v/>
      </c>
      <c r="U24" s="58">
        <f>IF(AND(BANCO_OK_3,B24&lt;=MESES),R24+S24+VINC_MES_3,0)</f>
        <v/>
      </c>
      <c r="V24" s="52">
        <f>IF(AND(BANCO_OK_4,B24&lt;=MESES),IF(OR(OF_TIPO_4="Fija",C24&lt;=OF_ANIOS_INI_4),OF_TIN_4,MAX(0,EURIBOR+OF_DIF_4)),0)</f>
        <v/>
      </c>
      <c r="W24" s="58">
        <f>IF(AND(BANCO_OK_4,B24&lt;=MESES),IF(OR(B24=1,V24&lt;&gt;V23),PMT(V24/1200,MESES-B24+1,-Z23),W23),0)</f>
        <v/>
      </c>
      <c r="X24" s="58">
        <f>Z23*V24/1200</f>
        <v/>
      </c>
      <c r="Y24" s="58">
        <f>IF(AND(BANCO_OK_4,B24&lt;=MESES),IF(OR(B24=MESES,W24-X24&gt;Z23),Z23,W24-X24),0)</f>
        <v/>
      </c>
      <c r="Z24" s="58">
        <f>Z23-Y24</f>
        <v/>
      </c>
      <c r="AA24" s="58">
        <f>IF(AND(BANCO_OK_4,B24&lt;=MESES),X24+Y24+VINC_MES_4,0)</f>
        <v/>
      </c>
    </row>
    <row r="25">
      <c r="B25" s="56" t="n">
        <v>17</v>
      </c>
      <c r="C25" s="56">
        <f>ROUNDUP(B25/12,0)</f>
        <v/>
      </c>
      <c r="D25" s="52">
        <f>IF(AND(BANCO_OK_1,B25&lt;=MESES),IF(OR(OF_TIPO_1="Fija",C25&lt;=OF_ANIOS_INI_1),OF_TIN_1,MAX(0,EURIBOR+OF_DIF_1)),0)</f>
        <v/>
      </c>
      <c r="E25" s="58">
        <f>IF(AND(BANCO_OK_1,B25&lt;=MESES),IF(OR(B25=1,D25&lt;&gt;D24),PMT(D25/1200,MESES-B25+1,-H24),E24),0)</f>
        <v/>
      </c>
      <c r="F25" s="58">
        <f>H24*D25/1200</f>
        <v/>
      </c>
      <c r="G25" s="58">
        <f>IF(AND(BANCO_OK_1,B25&lt;=MESES),IF(OR(B25=MESES,E25-F25&gt;H24),H24,E25-F25),0)</f>
        <v/>
      </c>
      <c r="H25" s="58">
        <f>H24-G25</f>
        <v/>
      </c>
      <c r="I25" s="58">
        <f>IF(AND(BANCO_OK_1,B25&lt;=MESES),F25+G25+VINC_MES_1,0)</f>
        <v/>
      </c>
      <c r="J25" s="52">
        <f>IF(AND(BANCO_OK_2,B25&lt;=MESES),IF(OR(OF_TIPO_2="Fija",C25&lt;=OF_ANIOS_INI_2),OF_TIN_2,MAX(0,EURIBOR+OF_DIF_2)),0)</f>
        <v/>
      </c>
      <c r="K25" s="58">
        <f>IF(AND(BANCO_OK_2,B25&lt;=MESES),IF(OR(B25=1,J25&lt;&gt;J24),PMT(J25/1200,MESES-B25+1,-N24),K24),0)</f>
        <v/>
      </c>
      <c r="L25" s="58">
        <f>N24*J25/1200</f>
        <v/>
      </c>
      <c r="M25" s="58">
        <f>IF(AND(BANCO_OK_2,B25&lt;=MESES),IF(OR(B25=MESES,K25-L25&gt;N24),N24,K25-L25),0)</f>
        <v/>
      </c>
      <c r="N25" s="58">
        <f>N24-M25</f>
        <v/>
      </c>
      <c r="O25" s="58">
        <f>IF(AND(BANCO_OK_2,B25&lt;=MESES),L25+M25+VINC_MES_2,0)</f>
        <v/>
      </c>
      <c r="P25" s="52">
        <f>IF(AND(BANCO_OK_3,B25&lt;=MESES),IF(OR(OF_TIPO_3="Fija",C25&lt;=OF_ANIOS_INI_3),OF_TIN_3,MAX(0,EURIBOR+OF_DIF_3)),0)</f>
        <v/>
      </c>
      <c r="Q25" s="58">
        <f>IF(AND(BANCO_OK_3,B25&lt;=MESES),IF(OR(B25=1,P25&lt;&gt;P24),PMT(P25/1200,MESES-B25+1,-T24),Q24),0)</f>
        <v/>
      </c>
      <c r="R25" s="58">
        <f>T24*P25/1200</f>
        <v/>
      </c>
      <c r="S25" s="58">
        <f>IF(AND(BANCO_OK_3,B25&lt;=MESES),IF(OR(B25=MESES,Q25-R25&gt;T24),T24,Q25-R25),0)</f>
        <v/>
      </c>
      <c r="T25" s="58">
        <f>T24-S25</f>
        <v/>
      </c>
      <c r="U25" s="58">
        <f>IF(AND(BANCO_OK_3,B25&lt;=MESES),R25+S25+VINC_MES_3,0)</f>
        <v/>
      </c>
      <c r="V25" s="52">
        <f>IF(AND(BANCO_OK_4,B25&lt;=MESES),IF(OR(OF_TIPO_4="Fija",C25&lt;=OF_ANIOS_INI_4),OF_TIN_4,MAX(0,EURIBOR+OF_DIF_4)),0)</f>
        <v/>
      </c>
      <c r="W25" s="58">
        <f>IF(AND(BANCO_OK_4,B25&lt;=MESES),IF(OR(B25=1,V25&lt;&gt;V24),PMT(V25/1200,MESES-B25+1,-Z24),W24),0)</f>
        <v/>
      </c>
      <c r="X25" s="58">
        <f>Z24*V25/1200</f>
        <v/>
      </c>
      <c r="Y25" s="58">
        <f>IF(AND(BANCO_OK_4,B25&lt;=MESES),IF(OR(B25=MESES,W25-X25&gt;Z24),Z24,W25-X25),0)</f>
        <v/>
      </c>
      <c r="Z25" s="58">
        <f>Z24-Y25</f>
        <v/>
      </c>
      <c r="AA25" s="58">
        <f>IF(AND(BANCO_OK_4,B25&lt;=MESES),X25+Y25+VINC_MES_4,0)</f>
        <v/>
      </c>
    </row>
    <row r="26">
      <c r="B26" s="56" t="n">
        <v>18</v>
      </c>
      <c r="C26" s="56">
        <f>ROUNDUP(B26/12,0)</f>
        <v/>
      </c>
      <c r="D26" s="52">
        <f>IF(AND(BANCO_OK_1,B26&lt;=MESES),IF(OR(OF_TIPO_1="Fija",C26&lt;=OF_ANIOS_INI_1),OF_TIN_1,MAX(0,EURIBOR+OF_DIF_1)),0)</f>
        <v/>
      </c>
      <c r="E26" s="58">
        <f>IF(AND(BANCO_OK_1,B26&lt;=MESES),IF(OR(B26=1,D26&lt;&gt;D25),PMT(D26/1200,MESES-B26+1,-H25),E25),0)</f>
        <v/>
      </c>
      <c r="F26" s="58">
        <f>H25*D26/1200</f>
        <v/>
      </c>
      <c r="G26" s="58">
        <f>IF(AND(BANCO_OK_1,B26&lt;=MESES),IF(OR(B26=MESES,E26-F26&gt;H25),H25,E26-F26),0)</f>
        <v/>
      </c>
      <c r="H26" s="58">
        <f>H25-G26</f>
        <v/>
      </c>
      <c r="I26" s="58">
        <f>IF(AND(BANCO_OK_1,B26&lt;=MESES),F26+G26+VINC_MES_1,0)</f>
        <v/>
      </c>
      <c r="J26" s="52">
        <f>IF(AND(BANCO_OK_2,B26&lt;=MESES),IF(OR(OF_TIPO_2="Fija",C26&lt;=OF_ANIOS_INI_2),OF_TIN_2,MAX(0,EURIBOR+OF_DIF_2)),0)</f>
        <v/>
      </c>
      <c r="K26" s="58">
        <f>IF(AND(BANCO_OK_2,B26&lt;=MESES),IF(OR(B26=1,J26&lt;&gt;J25),PMT(J26/1200,MESES-B26+1,-N25),K25),0)</f>
        <v/>
      </c>
      <c r="L26" s="58">
        <f>N25*J26/1200</f>
        <v/>
      </c>
      <c r="M26" s="58">
        <f>IF(AND(BANCO_OK_2,B26&lt;=MESES),IF(OR(B26=MESES,K26-L26&gt;N25),N25,K26-L26),0)</f>
        <v/>
      </c>
      <c r="N26" s="58">
        <f>N25-M26</f>
        <v/>
      </c>
      <c r="O26" s="58">
        <f>IF(AND(BANCO_OK_2,B26&lt;=MESES),L26+M26+VINC_MES_2,0)</f>
        <v/>
      </c>
      <c r="P26" s="52">
        <f>IF(AND(BANCO_OK_3,B26&lt;=MESES),IF(OR(OF_TIPO_3="Fija",C26&lt;=OF_ANIOS_INI_3),OF_TIN_3,MAX(0,EURIBOR+OF_DIF_3)),0)</f>
        <v/>
      </c>
      <c r="Q26" s="58">
        <f>IF(AND(BANCO_OK_3,B26&lt;=MESES),IF(OR(B26=1,P26&lt;&gt;P25),PMT(P26/1200,MESES-B26+1,-T25),Q25),0)</f>
        <v/>
      </c>
      <c r="R26" s="58">
        <f>T25*P26/1200</f>
        <v/>
      </c>
      <c r="S26" s="58">
        <f>IF(AND(BANCO_OK_3,B26&lt;=MESES),IF(OR(B26=MESES,Q26-R26&gt;T25),T25,Q26-R26),0)</f>
        <v/>
      </c>
      <c r="T26" s="58">
        <f>T25-S26</f>
        <v/>
      </c>
      <c r="U26" s="58">
        <f>IF(AND(BANCO_OK_3,B26&lt;=MESES),R26+S26+VINC_MES_3,0)</f>
        <v/>
      </c>
      <c r="V26" s="52">
        <f>IF(AND(BANCO_OK_4,B26&lt;=MESES),IF(OR(OF_TIPO_4="Fija",C26&lt;=OF_ANIOS_INI_4),OF_TIN_4,MAX(0,EURIBOR+OF_DIF_4)),0)</f>
        <v/>
      </c>
      <c r="W26" s="58">
        <f>IF(AND(BANCO_OK_4,B26&lt;=MESES),IF(OR(B26=1,V26&lt;&gt;V25),PMT(V26/1200,MESES-B26+1,-Z25),W25),0)</f>
        <v/>
      </c>
      <c r="X26" s="58">
        <f>Z25*V26/1200</f>
        <v/>
      </c>
      <c r="Y26" s="58">
        <f>IF(AND(BANCO_OK_4,B26&lt;=MESES),IF(OR(B26=MESES,W26-X26&gt;Z25),Z25,W26-X26),0)</f>
        <v/>
      </c>
      <c r="Z26" s="58">
        <f>Z25-Y26</f>
        <v/>
      </c>
      <c r="AA26" s="58">
        <f>IF(AND(BANCO_OK_4,B26&lt;=MESES),X26+Y26+VINC_MES_4,0)</f>
        <v/>
      </c>
    </row>
    <row r="27">
      <c r="B27" s="56" t="n">
        <v>19</v>
      </c>
      <c r="C27" s="56">
        <f>ROUNDUP(B27/12,0)</f>
        <v/>
      </c>
      <c r="D27" s="52">
        <f>IF(AND(BANCO_OK_1,B27&lt;=MESES),IF(OR(OF_TIPO_1="Fija",C27&lt;=OF_ANIOS_INI_1),OF_TIN_1,MAX(0,EURIBOR+OF_DIF_1)),0)</f>
        <v/>
      </c>
      <c r="E27" s="58">
        <f>IF(AND(BANCO_OK_1,B27&lt;=MESES),IF(OR(B27=1,D27&lt;&gt;D26),PMT(D27/1200,MESES-B27+1,-H26),E26),0)</f>
        <v/>
      </c>
      <c r="F27" s="58">
        <f>H26*D27/1200</f>
        <v/>
      </c>
      <c r="G27" s="58">
        <f>IF(AND(BANCO_OK_1,B27&lt;=MESES),IF(OR(B27=MESES,E27-F27&gt;H26),H26,E27-F27),0)</f>
        <v/>
      </c>
      <c r="H27" s="58">
        <f>H26-G27</f>
        <v/>
      </c>
      <c r="I27" s="58">
        <f>IF(AND(BANCO_OK_1,B27&lt;=MESES),F27+G27+VINC_MES_1,0)</f>
        <v/>
      </c>
      <c r="J27" s="52">
        <f>IF(AND(BANCO_OK_2,B27&lt;=MESES),IF(OR(OF_TIPO_2="Fija",C27&lt;=OF_ANIOS_INI_2),OF_TIN_2,MAX(0,EURIBOR+OF_DIF_2)),0)</f>
        <v/>
      </c>
      <c r="K27" s="58">
        <f>IF(AND(BANCO_OK_2,B27&lt;=MESES),IF(OR(B27=1,J27&lt;&gt;J26),PMT(J27/1200,MESES-B27+1,-N26),K26),0)</f>
        <v/>
      </c>
      <c r="L27" s="58">
        <f>N26*J27/1200</f>
        <v/>
      </c>
      <c r="M27" s="58">
        <f>IF(AND(BANCO_OK_2,B27&lt;=MESES),IF(OR(B27=MESES,K27-L27&gt;N26),N26,K27-L27),0)</f>
        <v/>
      </c>
      <c r="N27" s="58">
        <f>N26-M27</f>
        <v/>
      </c>
      <c r="O27" s="58">
        <f>IF(AND(BANCO_OK_2,B27&lt;=MESES),L27+M27+VINC_MES_2,0)</f>
        <v/>
      </c>
      <c r="P27" s="52">
        <f>IF(AND(BANCO_OK_3,B27&lt;=MESES),IF(OR(OF_TIPO_3="Fija",C27&lt;=OF_ANIOS_INI_3),OF_TIN_3,MAX(0,EURIBOR+OF_DIF_3)),0)</f>
        <v/>
      </c>
      <c r="Q27" s="58">
        <f>IF(AND(BANCO_OK_3,B27&lt;=MESES),IF(OR(B27=1,P27&lt;&gt;P26),PMT(P27/1200,MESES-B27+1,-T26),Q26),0)</f>
        <v/>
      </c>
      <c r="R27" s="58">
        <f>T26*P27/1200</f>
        <v/>
      </c>
      <c r="S27" s="58">
        <f>IF(AND(BANCO_OK_3,B27&lt;=MESES),IF(OR(B27=MESES,Q27-R27&gt;T26),T26,Q27-R27),0)</f>
        <v/>
      </c>
      <c r="T27" s="58">
        <f>T26-S27</f>
        <v/>
      </c>
      <c r="U27" s="58">
        <f>IF(AND(BANCO_OK_3,B27&lt;=MESES),R27+S27+VINC_MES_3,0)</f>
        <v/>
      </c>
      <c r="V27" s="52">
        <f>IF(AND(BANCO_OK_4,B27&lt;=MESES),IF(OR(OF_TIPO_4="Fija",C27&lt;=OF_ANIOS_INI_4),OF_TIN_4,MAX(0,EURIBOR+OF_DIF_4)),0)</f>
        <v/>
      </c>
      <c r="W27" s="58">
        <f>IF(AND(BANCO_OK_4,B27&lt;=MESES),IF(OR(B27=1,V27&lt;&gt;V26),PMT(V27/1200,MESES-B27+1,-Z26),W26),0)</f>
        <v/>
      </c>
      <c r="X27" s="58">
        <f>Z26*V27/1200</f>
        <v/>
      </c>
      <c r="Y27" s="58">
        <f>IF(AND(BANCO_OK_4,B27&lt;=MESES),IF(OR(B27=MESES,W27-X27&gt;Z26),Z26,W27-X27),0)</f>
        <v/>
      </c>
      <c r="Z27" s="58">
        <f>Z26-Y27</f>
        <v/>
      </c>
      <c r="AA27" s="58">
        <f>IF(AND(BANCO_OK_4,B27&lt;=MESES),X27+Y27+VINC_MES_4,0)</f>
        <v/>
      </c>
    </row>
    <row r="28">
      <c r="B28" s="56" t="n">
        <v>20</v>
      </c>
      <c r="C28" s="56">
        <f>ROUNDUP(B28/12,0)</f>
        <v/>
      </c>
      <c r="D28" s="52">
        <f>IF(AND(BANCO_OK_1,B28&lt;=MESES),IF(OR(OF_TIPO_1="Fija",C28&lt;=OF_ANIOS_INI_1),OF_TIN_1,MAX(0,EURIBOR+OF_DIF_1)),0)</f>
        <v/>
      </c>
      <c r="E28" s="58">
        <f>IF(AND(BANCO_OK_1,B28&lt;=MESES),IF(OR(B28=1,D28&lt;&gt;D27),PMT(D28/1200,MESES-B28+1,-H27),E27),0)</f>
        <v/>
      </c>
      <c r="F28" s="58">
        <f>H27*D28/1200</f>
        <v/>
      </c>
      <c r="G28" s="58">
        <f>IF(AND(BANCO_OK_1,B28&lt;=MESES),IF(OR(B28=MESES,E28-F28&gt;H27),H27,E28-F28),0)</f>
        <v/>
      </c>
      <c r="H28" s="58">
        <f>H27-G28</f>
        <v/>
      </c>
      <c r="I28" s="58">
        <f>IF(AND(BANCO_OK_1,B28&lt;=MESES),F28+G28+VINC_MES_1,0)</f>
        <v/>
      </c>
      <c r="J28" s="52">
        <f>IF(AND(BANCO_OK_2,B28&lt;=MESES),IF(OR(OF_TIPO_2="Fija",C28&lt;=OF_ANIOS_INI_2),OF_TIN_2,MAX(0,EURIBOR+OF_DIF_2)),0)</f>
        <v/>
      </c>
      <c r="K28" s="58">
        <f>IF(AND(BANCO_OK_2,B28&lt;=MESES),IF(OR(B28=1,J28&lt;&gt;J27),PMT(J28/1200,MESES-B28+1,-N27),K27),0)</f>
        <v/>
      </c>
      <c r="L28" s="58">
        <f>N27*J28/1200</f>
        <v/>
      </c>
      <c r="M28" s="58">
        <f>IF(AND(BANCO_OK_2,B28&lt;=MESES),IF(OR(B28=MESES,K28-L28&gt;N27),N27,K28-L28),0)</f>
        <v/>
      </c>
      <c r="N28" s="58">
        <f>N27-M28</f>
        <v/>
      </c>
      <c r="O28" s="58">
        <f>IF(AND(BANCO_OK_2,B28&lt;=MESES),L28+M28+VINC_MES_2,0)</f>
        <v/>
      </c>
      <c r="P28" s="52">
        <f>IF(AND(BANCO_OK_3,B28&lt;=MESES),IF(OR(OF_TIPO_3="Fija",C28&lt;=OF_ANIOS_INI_3),OF_TIN_3,MAX(0,EURIBOR+OF_DIF_3)),0)</f>
        <v/>
      </c>
      <c r="Q28" s="58">
        <f>IF(AND(BANCO_OK_3,B28&lt;=MESES),IF(OR(B28=1,P28&lt;&gt;P27),PMT(P28/1200,MESES-B28+1,-T27),Q27),0)</f>
        <v/>
      </c>
      <c r="R28" s="58">
        <f>T27*P28/1200</f>
        <v/>
      </c>
      <c r="S28" s="58">
        <f>IF(AND(BANCO_OK_3,B28&lt;=MESES),IF(OR(B28=MESES,Q28-R28&gt;T27),T27,Q28-R28),0)</f>
        <v/>
      </c>
      <c r="T28" s="58">
        <f>T27-S28</f>
        <v/>
      </c>
      <c r="U28" s="58">
        <f>IF(AND(BANCO_OK_3,B28&lt;=MESES),R28+S28+VINC_MES_3,0)</f>
        <v/>
      </c>
      <c r="V28" s="52">
        <f>IF(AND(BANCO_OK_4,B28&lt;=MESES),IF(OR(OF_TIPO_4="Fija",C28&lt;=OF_ANIOS_INI_4),OF_TIN_4,MAX(0,EURIBOR+OF_DIF_4)),0)</f>
        <v/>
      </c>
      <c r="W28" s="58">
        <f>IF(AND(BANCO_OK_4,B28&lt;=MESES),IF(OR(B28=1,V28&lt;&gt;V27),PMT(V28/1200,MESES-B28+1,-Z27),W27),0)</f>
        <v/>
      </c>
      <c r="X28" s="58">
        <f>Z27*V28/1200</f>
        <v/>
      </c>
      <c r="Y28" s="58">
        <f>IF(AND(BANCO_OK_4,B28&lt;=MESES),IF(OR(B28=MESES,W28-X28&gt;Z27),Z27,W28-X28),0)</f>
        <v/>
      </c>
      <c r="Z28" s="58">
        <f>Z27-Y28</f>
        <v/>
      </c>
      <c r="AA28" s="58">
        <f>IF(AND(BANCO_OK_4,B28&lt;=MESES),X28+Y28+VINC_MES_4,0)</f>
        <v/>
      </c>
    </row>
    <row r="29">
      <c r="B29" s="56" t="n">
        <v>21</v>
      </c>
      <c r="C29" s="56">
        <f>ROUNDUP(B29/12,0)</f>
        <v/>
      </c>
      <c r="D29" s="52">
        <f>IF(AND(BANCO_OK_1,B29&lt;=MESES),IF(OR(OF_TIPO_1="Fija",C29&lt;=OF_ANIOS_INI_1),OF_TIN_1,MAX(0,EURIBOR+OF_DIF_1)),0)</f>
        <v/>
      </c>
      <c r="E29" s="58">
        <f>IF(AND(BANCO_OK_1,B29&lt;=MESES),IF(OR(B29=1,D29&lt;&gt;D28),PMT(D29/1200,MESES-B29+1,-H28),E28),0)</f>
        <v/>
      </c>
      <c r="F29" s="58">
        <f>H28*D29/1200</f>
        <v/>
      </c>
      <c r="G29" s="58">
        <f>IF(AND(BANCO_OK_1,B29&lt;=MESES),IF(OR(B29=MESES,E29-F29&gt;H28),H28,E29-F29),0)</f>
        <v/>
      </c>
      <c r="H29" s="58">
        <f>H28-G29</f>
        <v/>
      </c>
      <c r="I29" s="58">
        <f>IF(AND(BANCO_OK_1,B29&lt;=MESES),F29+G29+VINC_MES_1,0)</f>
        <v/>
      </c>
      <c r="J29" s="52">
        <f>IF(AND(BANCO_OK_2,B29&lt;=MESES),IF(OR(OF_TIPO_2="Fija",C29&lt;=OF_ANIOS_INI_2),OF_TIN_2,MAX(0,EURIBOR+OF_DIF_2)),0)</f>
        <v/>
      </c>
      <c r="K29" s="58">
        <f>IF(AND(BANCO_OK_2,B29&lt;=MESES),IF(OR(B29=1,J29&lt;&gt;J28),PMT(J29/1200,MESES-B29+1,-N28),K28),0)</f>
        <v/>
      </c>
      <c r="L29" s="58">
        <f>N28*J29/1200</f>
        <v/>
      </c>
      <c r="M29" s="58">
        <f>IF(AND(BANCO_OK_2,B29&lt;=MESES),IF(OR(B29=MESES,K29-L29&gt;N28),N28,K29-L29),0)</f>
        <v/>
      </c>
      <c r="N29" s="58">
        <f>N28-M29</f>
        <v/>
      </c>
      <c r="O29" s="58">
        <f>IF(AND(BANCO_OK_2,B29&lt;=MESES),L29+M29+VINC_MES_2,0)</f>
        <v/>
      </c>
      <c r="P29" s="52">
        <f>IF(AND(BANCO_OK_3,B29&lt;=MESES),IF(OR(OF_TIPO_3="Fija",C29&lt;=OF_ANIOS_INI_3),OF_TIN_3,MAX(0,EURIBOR+OF_DIF_3)),0)</f>
        <v/>
      </c>
      <c r="Q29" s="58">
        <f>IF(AND(BANCO_OK_3,B29&lt;=MESES),IF(OR(B29=1,P29&lt;&gt;P28),PMT(P29/1200,MESES-B29+1,-T28),Q28),0)</f>
        <v/>
      </c>
      <c r="R29" s="58">
        <f>T28*P29/1200</f>
        <v/>
      </c>
      <c r="S29" s="58">
        <f>IF(AND(BANCO_OK_3,B29&lt;=MESES),IF(OR(B29=MESES,Q29-R29&gt;T28),T28,Q29-R29),0)</f>
        <v/>
      </c>
      <c r="T29" s="58">
        <f>T28-S29</f>
        <v/>
      </c>
      <c r="U29" s="58">
        <f>IF(AND(BANCO_OK_3,B29&lt;=MESES),R29+S29+VINC_MES_3,0)</f>
        <v/>
      </c>
      <c r="V29" s="52">
        <f>IF(AND(BANCO_OK_4,B29&lt;=MESES),IF(OR(OF_TIPO_4="Fija",C29&lt;=OF_ANIOS_INI_4),OF_TIN_4,MAX(0,EURIBOR+OF_DIF_4)),0)</f>
        <v/>
      </c>
      <c r="W29" s="58">
        <f>IF(AND(BANCO_OK_4,B29&lt;=MESES),IF(OR(B29=1,V29&lt;&gt;V28),PMT(V29/1200,MESES-B29+1,-Z28),W28),0)</f>
        <v/>
      </c>
      <c r="X29" s="58">
        <f>Z28*V29/1200</f>
        <v/>
      </c>
      <c r="Y29" s="58">
        <f>IF(AND(BANCO_OK_4,B29&lt;=MESES),IF(OR(B29=MESES,W29-X29&gt;Z28),Z28,W29-X29),0)</f>
        <v/>
      </c>
      <c r="Z29" s="58">
        <f>Z28-Y29</f>
        <v/>
      </c>
      <c r="AA29" s="58">
        <f>IF(AND(BANCO_OK_4,B29&lt;=MESES),X29+Y29+VINC_MES_4,0)</f>
        <v/>
      </c>
    </row>
    <row r="30">
      <c r="B30" s="56" t="n">
        <v>22</v>
      </c>
      <c r="C30" s="56">
        <f>ROUNDUP(B30/12,0)</f>
        <v/>
      </c>
      <c r="D30" s="52">
        <f>IF(AND(BANCO_OK_1,B30&lt;=MESES),IF(OR(OF_TIPO_1="Fija",C30&lt;=OF_ANIOS_INI_1),OF_TIN_1,MAX(0,EURIBOR+OF_DIF_1)),0)</f>
        <v/>
      </c>
      <c r="E30" s="58">
        <f>IF(AND(BANCO_OK_1,B30&lt;=MESES),IF(OR(B30=1,D30&lt;&gt;D29),PMT(D30/1200,MESES-B30+1,-H29),E29),0)</f>
        <v/>
      </c>
      <c r="F30" s="58">
        <f>H29*D30/1200</f>
        <v/>
      </c>
      <c r="G30" s="58">
        <f>IF(AND(BANCO_OK_1,B30&lt;=MESES),IF(OR(B30=MESES,E30-F30&gt;H29),H29,E30-F30),0)</f>
        <v/>
      </c>
      <c r="H30" s="58">
        <f>H29-G30</f>
        <v/>
      </c>
      <c r="I30" s="58">
        <f>IF(AND(BANCO_OK_1,B30&lt;=MESES),F30+G30+VINC_MES_1,0)</f>
        <v/>
      </c>
      <c r="J30" s="52">
        <f>IF(AND(BANCO_OK_2,B30&lt;=MESES),IF(OR(OF_TIPO_2="Fija",C30&lt;=OF_ANIOS_INI_2),OF_TIN_2,MAX(0,EURIBOR+OF_DIF_2)),0)</f>
        <v/>
      </c>
      <c r="K30" s="58">
        <f>IF(AND(BANCO_OK_2,B30&lt;=MESES),IF(OR(B30=1,J30&lt;&gt;J29),PMT(J30/1200,MESES-B30+1,-N29),K29),0)</f>
        <v/>
      </c>
      <c r="L30" s="58">
        <f>N29*J30/1200</f>
        <v/>
      </c>
      <c r="M30" s="58">
        <f>IF(AND(BANCO_OK_2,B30&lt;=MESES),IF(OR(B30=MESES,K30-L30&gt;N29),N29,K30-L30),0)</f>
        <v/>
      </c>
      <c r="N30" s="58">
        <f>N29-M30</f>
        <v/>
      </c>
      <c r="O30" s="58">
        <f>IF(AND(BANCO_OK_2,B30&lt;=MESES),L30+M30+VINC_MES_2,0)</f>
        <v/>
      </c>
      <c r="P30" s="52">
        <f>IF(AND(BANCO_OK_3,B30&lt;=MESES),IF(OR(OF_TIPO_3="Fija",C30&lt;=OF_ANIOS_INI_3),OF_TIN_3,MAX(0,EURIBOR+OF_DIF_3)),0)</f>
        <v/>
      </c>
      <c r="Q30" s="58">
        <f>IF(AND(BANCO_OK_3,B30&lt;=MESES),IF(OR(B30=1,P30&lt;&gt;P29),PMT(P30/1200,MESES-B30+1,-T29),Q29),0)</f>
        <v/>
      </c>
      <c r="R30" s="58">
        <f>T29*P30/1200</f>
        <v/>
      </c>
      <c r="S30" s="58">
        <f>IF(AND(BANCO_OK_3,B30&lt;=MESES),IF(OR(B30=MESES,Q30-R30&gt;T29),T29,Q30-R30),0)</f>
        <v/>
      </c>
      <c r="T30" s="58">
        <f>T29-S30</f>
        <v/>
      </c>
      <c r="U30" s="58">
        <f>IF(AND(BANCO_OK_3,B30&lt;=MESES),R30+S30+VINC_MES_3,0)</f>
        <v/>
      </c>
      <c r="V30" s="52">
        <f>IF(AND(BANCO_OK_4,B30&lt;=MESES),IF(OR(OF_TIPO_4="Fija",C30&lt;=OF_ANIOS_INI_4),OF_TIN_4,MAX(0,EURIBOR+OF_DIF_4)),0)</f>
        <v/>
      </c>
      <c r="W30" s="58">
        <f>IF(AND(BANCO_OK_4,B30&lt;=MESES),IF(OR(B30=1,V30&lt;&gt;V29),PMT(V30/1200,MESES-B30+1,-Z29),W29),0)</f>
        <v/>
      </c>
      <c r="X30" s="58">
        <f>Z29*V30/1200</f>
        <v/>
      </c>
      <c r="Y30" s="58">
        <f>IF(AND(BANCO_OK_4,B30&lt;=MESES),IF(OR(B30=MESES,W30-X30&gt;Z29),Z29,W30-X30),0)</f>
        <v/>
      </c>
      <c r="Z30" s="58">
        <f>Z29-Y30</f>
        <v/>
      </c>
      <c r="AA30" s="58">
        <f>IF(AND(BANCO_OK_4,B30&lt;=MESES),X30+Y30+VINC_MES_4,0)</f>
        <v/>
      </c>
    </row>
    <row r="31">
      <c r="B31" s="56" t="n">
        <v>23</v>
      </c>
      <c r="C31" s="56">
        <f>ROUNDUP(B31/12,0)</f>
        <v/>
      </c>
      <c r="D31" s="52">
        <f>IF(AND(BANCO_OK_1,B31&lt;=MESES),IF(OR(OF_TIPO_1="Fija",C31&lt;=OF_ANIOS_INI_1),OF_TIN_1,MAX(0,EURIBOR+OF_DIF_1)),0)</f>
        <v/>
      </c>
      <c r="E31" s="58">
        <f>IF(AND(BANCO_OK_1,B31&lt;=MESES),IF(OR(B31=1,D31&lt;&gt;D30),PMT(D31/1200,MESES-B31+1,-H30),E30),0)</f>
        <v/>
      </c>
      <c r="F31" s="58">
        <f>H30*D31/1200</f>
        <v/>
      </c>
      <c r="G31" s="58">
        <f>IF(AND(BANCO_OK_1,B31&lt;=MESES),IF(OR(B31=MESES,E31-F31&gt;H30),H30,E31-F31),0)</f>
        <v/>
      </c>
      <c r="H31" s="58">
        <f>H30-G31</f>
        <v/>
      </c>
      <c r="I31" s="58">
        <f>IF(AND(BANCO_OK_1,B31&lt;=MESES),F31+G31+VINC_MES_1,0)</f>
        <v/>
      </c>
      <c r="J31" s="52">
        <f>IF(AND(BANCO_OK_2,B31&lt;=MESES),IF(OR(OF_TIPO_2="Fija",C31&lt;=OF_ANIOS_INI_2),OF_TIN_2,MAX(0,EURIBOR+OF_DIF_2)),0)</f>
        <v/>
      </c>
      <c r="K31" s="58">
        <f>IF(AND(BANCO_OK_2,B31&lt;=MESES),IF(OR(B31=1,J31&lt;&gt;J30),PMT(J31/1200,MESES-B31+1,-N30),K30),0)</f>
        <v/>
      </c>
      <c r="L31" s="58">
        <f>N30*J31/1200</f>
        <v/>
      </c>
      <c r="M31" s="58">
        <f>IF(AND(BANCO_OK_2,B31&lt;=MESES),IF(OR(B31=MESES,K31-L31&gt;N30),N30,K31-L31),0)</f>
        <v/>
      </c>
      <c r="N31" s="58">
        <f>N30-M31</f>
        <v/>
      </c>
      <c r="O31" s="58">
        <f>IF(AND(BANCO_OK_2,B31&lt;=MESES),L31+M31+VINC_MES_2,0)</f>
        <v/>
      </c>
      <c r="P31" s="52">
        <f>IF(AND(BANCO_OK_3,B31&lt;=MESES),IF(OR(OF_TIPO_3="Fija",C31&lt;=OF_ANIOS_INI_3),OF_TIN_3,MAX(0,EURIBOR+OF_DIF_3)),0)</f>
        <v/>
      </c>
      <c r="Q31" s="58">
        <f>IF(AND(BANCO_OK_3,B31&lt;=MESES),IF(OR(B31=1,P31&lt;&gt;P30),PMT(P31/1200,MESES-B31+1,-T30),Q30),0)</f>
        <v/>
      </c>
      <c r="R31" s="58">
        <f>T30*P31/1200</f>
        <v/>
      </c>
      <c r="S31" s="58">
        <f>IF(AND(BANCO_OK_3,B31&lt;=MESES),IF(OR(B31=MESES,Q31-R31&gt;T30),T30,Q31-R31),0)</f>
        <v/>
      </c>
      <c r="T31" s="58">
        <f>T30-S31</f>
        <v/>
      </c>
      <c r="U31" s="58">
        <f>IF(AND(BANCO_OK_3,B31&lt;=MESES),R31+S31+VINC_MES_3,0)</f>
        <v/>
      </c>
      <c r="V31" s="52">
        <f>IF(AND(BANCO_OK_4,B31&lt;=MESES),IF(OR(OF_TIPO_4="Fija",C31&lt;=OF_ANIOS_INI_4),OF_TIN_4,MAX(0,EURIBOR+OF_DIF_4)),0)</f>
        <v/>
      </c>
      <c r="W31" s="58">
        <f>IF(AND(BANCO_OK_4,B31&lt;=MESES),IF(OR(B31=1,V31&lt;&gt;V30),PMT(V31/1200,MESES-B31+1,-Z30),W30),0)</f>
        <v/>
      </c>
      <c r="X31" s="58">
        <f>Z30*V31/1200</f>
        <v/>
      </c>
      <c r="Y31" s="58">
        <f>IF(AND(BANCO_OK_4,B31&lt;=MESES),IF(OR(B31=MESES,W31-X31&gt;Z30),Z30,W31-X31),0)</f>
        <v/>
      </c>
      <c r="Z31" s="58">
        <f>Z30-Y31</f>
        <v/>
      </c>
      <c r="AA31" s="58">
        <f>IF(AND(BANCO_OK_4,B31&lt;=MESES),X31+Y31+VINC_MES_4,0)</f>
        <v/>
      </c>
    </row>
    <row r="32">
      <c r="B32" s="56" t="n">
        <v>24</v>
      </c>
      <c r="C32" s="56">
        <f>ROUNDUP(B32/12,0)</f>
        <v/>
      </c>
      <c r="D32" s="52">
        <f>IF(AND(BANCO_OK_1,B32&lt;=MESES),IF(OR(OF_TIPO_1="Fija",C32&lt;=OF_ANIOS_INI_1),OF_TIN_1,MAX(0,EURIBOR+OF_DIF_1)),0)</f>
        <v/>
      </c>
      <c r="E32" s="58">
        <f>IF(AND(BANCO_OK_1,B32&lt;=MESES),IF(OR(B32=1,D32&lt;&gt;D31),PMT(D32/1200,MESES-B32+1,-H31),E31),0)</f>
        <v/>
      </c>
      <c r="F32" s="58">
        <f>H31*D32/1200</f>
        <v/>
      </c>
      <c r="G32" s="58">
        <f>IF(AND(BANCO_OK_1,B32&lt;=MESES),IF(OR(B32=MESES,E32-F32&gt;H31),H31,E32-F32),0)</f>
        <v/>
      </c>
      <c r="H32" s="58">
        <f>H31-G32</f>
        <v/>
      </c>
      <c r="I32" s="58">
        <f>IF(AND(BANCO_OK_1,B32&lt;=MESES),F32+G32+VINC_MES_1,0)</f>
        <v/>
      </c>
      <c r="J32" s="52">
        <f>IF(AND(BANCO_OK_2,B32&lt;=MESES),IF(OR(OF_TIPO_2="Fija",C32&lt;=OF_ANIOS_INI_2),OF_TIN_2,MAX(0,EURIBOR+OF_DIF_2)),0)</f>
        <v/>
      </c>
      <c r="K32" s="58">
        <f>IF(AND(BANCO_OK_2,B32&lt;=MESES),IF(OR(B32=1,J32&lt;&gt;J31),PMT(J32/1200,MESES-B32+1,-N31),K31),0)</f>
        <v/>
      </c>
      <c r="L32" s="58">
        <f>N31*J32/1200</f>
        <v/>
      </c>
      <c r="M32" s="58">
        <f>IF(AND(BANCO_OK_2,B32&lt;=MESES),IF(OR(B32=MESES,K32-L32&gt;N31),N31,K32-L32),0)</f>
        <v/>
      </c>
      <c r="N32" s="58">
        <f>N31-M32</f>
        <v/>
      </c>
      <c r="O32" s="58">
        <f>IF(AND(BANCO_OK_2,B32&lt;=MESES),L32+M32+VINC_MES_2,0)</f>
        <v/>
      </c>
      <c r="P32" s="52">
        <f>IF(AND(BANCO_OK_3,B32&lt;=MESES),IF(OR(OF_TIPO_3="Fija",C32&lt;=OF_ANIOS_INI_3),OF_TIN_3,MAX(0,EURIBOR+OF_DIF_3)),0)</f>
        <v/>
      </c>
      <c r="Q32" s="58">
        <f>IF(AND(BANCO_OK_3,B32&lt;=MESES),IF(OR(B32=1,P32&lt;&gt;P31),PMT(P32/1200,MESES-B32+1,-T31),Q31),0)</f>
        <v/>
      </c>
      <c r="R32" s="58">
        <f>T31*P32/1200</f>
        <v/>
      </c>
      <c r="S32" s="58">
        <f>IF(AND(BANCO_OK_3,B32&lt;=MESES),IF(OR(B32=MESES,Q32-R32&gt;T31),T31,Q32-R32),0)</f>
        <v/>
      </c>
      <c r="T32" s="58">
        <f>T31-S32</f>
        <v/>
      </c>
      <c r="U32" s="58">
        <f>IF(AND(BANCO_OK_3,B32&lt;=MESES),R32+S32+VINC_MES_3,0)</f>
        <v/>
      </c>
      <c r="V32" s="52">
        <f>IF(AND(BANCO_OK_4,B32&lt;=MESES),IF(OR(OF_TIPO_4="Fija",C32&lt;=OF_ANIOS_INI_4),OF_TIN_4,MAX(0,EURIBOR+OF_DIF_4)),0)</f>
        <v/>
      </c>
      <c r="W32" s="58">
        <f>IF(AND(BANCO_OK_4,B32&lt;=MESES),IF(OR(B32=1,V32&lt;&gt;V31),PMT(V32/1200,MESES-B32+1,-Z31),W31),0)</f>
        <v/>
      </c>
      <c r="X32" s="58">
        <f>Z31*V32/1200</f>
        <v/>
      </c>
      <c r="Y32" s="58">
        <f>IF(AND(BANCO_OK_4,B32&lt;=MESES),IF(OR(B32=MESES,W32-X32&gt;Z31),Z31,W32-X32),0)</f>
        <v/>
      </c>
      <c r="Z32" s="58">
        <f>Z31-Y32</f>
        <v/>
      </c>
      <c r="AA32" s="58">
        <f>IF(AND(BANCO_OK_4,B32&lt;=MESES),X32+Y32+VINC_MES_4,0)</f>
        <v/>
      </c>
    </row>
    <row r="33">
      <c r="B33" s="56" t="n">
        <v>25</v>
      </c>
      <c r="C33" s="56">
        <f>ROUNDUP(B33/12,0)</f>
        <v/>
      </c>
      <c r="D33" s="52">
        <f>IF(AND(BANCO_OK_1,B33&lt;=MESES),IF(OR(OF_TIPO_1="Fija",C33&lt;=OF_ANIOS_INI_1),OF_TIN_1,MAX(0,EURIBOR+OF_DIF_1)),0)</f>
        <v/>
      </c>
      <c r="E33" s="58">
        <f>IF(AND(BANCO_OK_1,B33&lt;=MESES),IF(OR(B33=1,D33&lt;&gt;D32),PMT(D33/1200,MESES-B33+1,-H32),E32),0)</f>
        <v/>
      </c>
      <c r="F33" s="58">
        <f>H32*D33/1200</f>
        <v/>
      </c>
      <c r="G33" s="58">
        <f>IF(AND(BANCO_OK_1,B33&lt;=MESES),IF(OR(B33=MESES,E33-F33&gt;H32),H32,E33-F33),0)</f>
        <v/>
      </c>
      <c r="H33" s="58">
        <f>H32-G33</f>
        <v/>
      </c>
      <c r="I33" s="58">
        <f>IF(AND(BANCO_OK_1,B33&lt;=MESES),F33+G33+VINC_MES_1,0)</f>
        <v/>
      </c>
      <c r="J33" s="52">
        <f>IF(AND(BANCO_OK_2,B33&lt;=MESES),IF(OR(OF_TIPO_2="Fija",C33&lt;=OF_ANIOS_INI_2),OF_TIN_2,MAX(0,EURIBOR+OF_DIF_2)),0)</f>
        <v/>
      </c>
      <c r="K33" s="58">
        <f>IF(AND(BANCO_OK_2,B33&lt;=MESES),IF(OR(B33=1,J33&lt;&gt;J32),PMT(J33/1200,MESES-B33+1,-N32),K32),0)</f>
        <v/>
      </c>
      <c r="L33" s="58">
        <f>N32*J33/1200</f>
        <v/>
      </c>
      <c r="M33" s="58">
        <f>IF(AND(BANCO_OK_2,B33&lt;=MESES),IF(OR(B33=MESES,K33-L33&gt;N32),N32,K33-L33),0)</f>
        <v/>
      </c>
      <c r="N33" s="58">
        <f>N32-M33</f>
        <v/>
      </c>
      <c r="O33" s="58">
        <f>IF(AND(BANCO_OK_2,B33&lt;=MESES),L33+M33+VINC_MES_2,0)</f>
        <v/>
      </c>
      <c r="P33" s="52">
        <f>IF(AND(BANCO_OK_3,B33&lt;=MESES),IF(OR(OF_TIPO_3="Fija",C33&lt;=OF_ANIOS_INI_3),OF_TIN_3,MAX(0,EURIBOR+OF_DIF_3)),0)</f>
        <v/>
      </c>
      <c r="Q33" s="58">
        <f>IF(AND(BANCO_OK_3,B33&lt;=MESES),IF(OR(B33=1,P33&lt;&gt;P32),PMT(P33/1200,MESES-B33+1,-T32),Q32),0)</f>
        <v/>
      </c>
      <c r="R33" s="58">
        <f>T32*P33/1200</f>
        <v/>
      </c>
      <c r="S33" s="58">
        <f>IF(AND(BANCO_OK_3,B33&lt;=MESES),IF(OR(B33=MESES,Q33-R33&gt;T32),T32,Q33-R33),0)</f>
        <v/>
      </c>
      <c r="T33" s="58">
        <f>T32-S33</f>
        <v/>
      </c>
      <c r="U33" s="58">
        <f>IF(AND(BANCO_OK_3,B33&lt;=MESES),R33+S33+VINC_MES_3,0)</f>
        <v/>
      </c>
      <c r="V33" s="52">
        <f>IF(AND(BANCO_OK_4,B33&lt;=MESES),IF(OR(OF_TIPO_4="Fija",C33&lt;=OF_ANIOS_INI_4),OF_TIN_4,MAX(0,EURIBOR+OF_DIF_4)),0)</f>
        <v/>
      </c>
      <c r="W33" s="58">
        <f>IF(AND(BANCO_OK_4,B33&lt;=MESES),IF(OR(B33=1,V33&lt;&gt;V32),PMT(V33/1200,MESES-B33+1,-Z32),W32),0)</f>
        <v/>
      </c>
      <c r="X33" s="58">
        <f>Z32*V33/1200</f>
        <v/>
      </c>
      <c r="Y33" s="58">
        <f>IF(AND(BANCO_OK_4,B33&lt;=MESES),IF(OR(B33=MESES,W33-X33&gt;Z32),Z32,W33-X33),0)</f>
        <v/>
      </c>
      <c r="Z33" s="58">
        <f>Z32-Y33</f>
        <v/>
      </c>
      <c r="AA33" s="58">
        <f>IF(AND(BANCO_OK_4,B33&lt;=MESES),X33+Y33+VINC_MES_4,0)</f>
        <v/>
      </c>
    </row>
    <row r="34">
      <c r="B34" s="56" t="n">
        <v>26</v>
      </c>
      <c r="C34" s="56">
        <f>ROUNDUP(B34/12,0)</f>
        <v/>
      </c>
      <c r="D34" s="52">
        <f>IF(AND(BANCO_OK_1,B34&lt;=MESES),IF(OR(OF_TIPO_1="Fija",C34&lt;=OF_ANIOS_INI_1),OF_TIN_1,MAX(0,EURIBOR+OF_DIF_1)),0)</f>
        <v/>
      </c>
      <c r="E34" s="58">
        <f>IF(AND(BANCO_OK_1,B34&lt;=MESES),IF(OR(B34=1,D34&lt;&gt;D33),PMT(D34/1200,MESES-B34+1,-H33),E33),0)</f>
        <v/>
      </c>
      <c r="F34" s="58">
        <f>H33*D34/1200</f>
        <v/>
      </c>
      <c r="G34" s="58">
        <f>IF(AND(BANCO_OK_1,B34&lt;=MESES),IF(OR(B34=MESES,E34-F34&gt;H33),H33,E34-F34),0)</f>
        <v/>
      </c>
      <c r="H34" s="58">
        <f>H33-G34</f>
        <v/>
      </c>
      <c r="I34" s="58">
        <f>IF(AND(BANCO_OK_1,B34&lt;=MESES),F34+G34+VINC_MES_1,0)</f>
        <v/>
      </c>
      <c r="J34" s="52">
        <f>IF(AND(BANCO_OK_2,B34&lt;=MESES),IF(OR(OF_TIPO_2="Fija",C34&lt;=OF_ANIOS_INI_2),OF_TIN_2,MAX(0,EURIBOR+OF_DIF_2)),0)</f>
        <v/>
      </c>
      <c r="K34" s="58">
        <f>IF(AND(BANCO_OK_2,B34&lt;=MESES),IF(OR(B34=1,J34&lt;&gt;J33),PMT(J34/1200,MESES-B34+1,-N33),K33),0)</f>
        <v/>
      </c>
      <c r="L34" s="58">
        <f>N33*J34/1200</f>
        <v/>
      </c>
      <c r="M34" s="58">
        <f>IF(AND(BANCO_OK_2,B34&lt;=MESES),IF(OR(B34=MESES,K34-L34&gt;N33),N33,K34-L34),0)</f>
        <v/>
      </c>
      <c r="N34" s="58">
        <f>N33-M34</f>
        <v/>
      </c>
      <c r="O34" s="58">
        <f>IF(AND(BANCO_OK_2,B34&lt;=MESES),L34+M34+VINC_MES_2,0)</f>
        <v/>
      </c>
      <c r="P34" s="52">
        <f>IF(AND(BANCO_OK_3,B34&lt;=MESES),IF(OR(OF_TIPO_3="Fija",C34&lt;=OF_ANIOS_INI_3),OF_TIN_3,MAX(0,EURIBOR+OF_DIF_3)),0)</f>
        <v/>
      </c>
      <c r="Q34" s="58">
        <f>IF(AND(BANCO_OK_3,B34&lt;=MESES),IF(OR(B34=1,P34&lt;&gt;P33),PMT(P34/1200,MESES-B34+1,-T33),Q33),0)</f>
        <v/>
      </c>
      <c r="R34" s="58">
        <f>T33*P34/1200</f>
        <v/>
      </c>
      <c r="S34" s="58">
        <f>IF(AND(BANCO_OK_3,B34&lt;=MESES),IF(OR(B34=MESES,Q34-R34&gt;T33),T33,Q34-R34),0)</f>
        <v/>
      </c>
      <c r="T34" s="58">
        <f>T33-S34</f>
        <v/>
      </c>
      <c r="U34" s="58">
        <f>IF(AND(BANCO_OK_3,B34&lt;=MESES),R34+S34+VINC_MES_3,0)</f>
        <v/>
      </c>
      <c r="V34" s="52">
        <f>IF(AND(BANCO_OK_4,B34&lt;=MESES),IF(OR(OF_TIPO_4="Fija",C34&lt;=OF_ANIOS_INI_4),OF_TIN_4,MAX(0,EURIBOR+OF_DIF_4)),0)</f>
        <v/>
      </c>
      <c r="W34" s="58">
        <f>IF(AND(BANCO_OK_4,B34&lt;=MESES),IF(OR(B34=1,V34&lt;&gt;V33),PMT(V34/1200,MESES-B34+1,-Z33),W33),0)</f>
        <v/>
      </c>
      <c r="X34" s="58">
        <f>Z33*V34/1200</f>
        <v/>
      </c>
      <c r="Y34" s="58">
        <f>IF(AND(BANCO_OK_4,B34&lt;=MESES),IF(OR(B34=MESES,W34-X34&gt;Z33),Z33,W34-X34),0)</f>
        <v/>
      </c>
      <c r="Z34" s="58">
        <f>Z33-Y34</f>
        <v/>
      </c>
      <c r="AA34" s="58">
        <f>IF(AND(BANCO_OK_4,B34&lt;=MESES),X34+Y34+VINC_MES_4,0)</f>
        <v/>
      </c>
    </row>
    <row r="35">
      <c r="B35" s="56" t="n">
        <v>27</v>
      </c>
      <c r="C35" s="56">
        <f>ROUNDUP(B35/12,0)</f>
        <v/>
      </c>
      <c r="D35" s="52">
        <f>IF(AND(BANCO_OK_1,B35&lt;=MESES),IF(OR(OF_TIPO_1="Fija",C35&lt;=OF_ANIOS_INI_1),OF_TIN_1,MAX(0,EURIBOR+OF_DIF_1)),0)</f>
        <v/>
      </c>
      <c r="E35" s="58">
        <f>IF(AND(BANCO_OK_1,B35&lt;=MESES),IF(OR(B35=1,D35&lt;&gt;D34),PMT(D35/1200,MESES-B35+1,-H34),E34),0)</f>
        <v/>
      </c>
      <c r="F35" s="58">
        <f>H34*D35/1200</f>
        <v/>
      </c>
      <c r="G35" s="58">
        <f>IF(AND(BANCO_OK_1,B35&lt;=MESES),IF(OR(B35=MESES,E35-F35&gt;H34),H34,E35-F35),0)</f>
        <v/>
      </c>
      <c r="H35" s="58">
        <f>H34-G35</f>
        <v/>
      </c>
      <c r="I35" s="58">
        <f>IF(AND(BANCO_OK_1,B35&lt;=MESES),F35+G35+VINC_MES_1,0)</f>
        <v/>
      </c>
      <c r="J35" s="52">
        <f>IF(AND(BANCO_OK_2,B35&lt;=MESES),IF(OR(OF_TIPO_2="Fija",C35&lt;=OF_ANIOS_INI_2),OF_TIN_2,MAX(0,EURIBOR+OF_DIF_2)),0)</f>
        <v/>
      </c>
      <c r="K35" s="58">
        <f>IF(AND(BANCO_OK_2,B35&lt;=MESES),IF(OR(B35=1,J35&lt;&gt;J34),PMT(J35/1200,MESES-B35+1,-N34),K34),0)</f>
        <v/>
      </c>
      <c r="L35" s="58">
        <f>N34*J35/1200</f>
        <v/>
      </c>
      <c r="M35" s="58">
        <f>IF(AND(BANCO_OK_2,B35&lt;=MESES),IF(OR(B35=MESES,K35-L35&gt;N34),N34,K35-L35),0)</f>
        <v/>
      </c>
      <c r="N35" s="58">
        <f>N34-M35</f>
        <v/>
      </c>
      <c r="O35" s="58">
        <f>IF(AND(BANCO_OK_2,B35&lt;=MESES),L35+M35+VINC_MES_2,0)</f>
        <v/>
      </c>
      <c r="P35" s="52">
        <f>IF(AND(BANCO_OK_3,B35&lt;=MESES),IF(OR(OF_TIPO_3="Fija",C35&lt;=OF_ANIOS_INI_3),OF_TIN_3,MAX(0,EURIBOR+OF_DIF_3)),0)</f>
        <v/>
      </c>
      <c r="Q35" s="58">
        <f>IF(AND(BANCO_OK_3,B35&lt;=MESES),IF(OR(B35=1,P35&lt;&gt;P34),PMT(P35/1200,MESES-B35+1,-T34),Q34),0)</f>
        <v/>
      </c>
      <c r="R35" s="58">
        <f>T34*P35/1200</f>
        <v/>
      </c>
      <c r="S35" s="58">
        <f>IF(AND(BANCO_OK_3,B35&lt;=MESES),IF(OR(B35=MESES,Q35-R35&gt;T34),T34,Q35-R35),0)</f>
        <v/>
      </c>
      <c r="T35" s="58">
        <f>T34-S35</f>
        <v/>
      </c>
      <c r="U35" s="58">
        <f>IF(AND(BANCO_OK_3,B35&lt;=MESES),R35+S35+VINC_MES_3,0)</f>
        <v/>
      </c>
      <c r="V35" s="52">
        <f>IF(AND(BANCO_OK_4,B35&lt;=MESES),IF(OR(OF_TIPO_4="Fija",C35&lt;=OF_ANIOS_INI_4),OF_TIN_4,MAX(0,EURIBOR+OF_DIF_4)),0)</f>
        <v/>
      </c>
      <c r="W35" s="58">
        <f>IF(AND(BANCO_OK_4,B35&lt;=MESES),IF(OR(B35=1,V35&lt;&gt;V34),PMT(V35/1200,MESES-B35+1,-Z34),W34),0)</f>
        <v/>
      </c>
      <c r="X35" s="58">
        <f>Z34*V35/1200</f>
        <v/>
      </c>
      <c r="Y35" s="58">
        <f>IF(AND(BANCO_OK_4,B35&lt;=MESES),IF(OR(B35=MESES,W35-X35&gt;Z34),Z34,W35-X35),0)</f>
        <v/>
      </c>
      <c r="Z35" s="58">
        <f>Z34-Y35</f>
        <v/>
      </c>
      <c r="AA35" s="58">
        <f>IF(AND(BANCO_OK_4,B35&lt;=MESES),X35+Y35+VINC_MES_4,0)</f>
        <v/>
      </c>
    </row>
    <row r="36">
      <c r="B36" s="56" t="n">
        <v>28</v>
      </c>
      <c r="C36" s="56">
        <f>ROUNDUP(B36/12,0)</f>
        <v/>
      </c>
      <c r="D36" s="52">
        <f>IF(AND(BANCO_OK_1,B36&lt;=MESES),IF(OR(OF_TIPO_1="Fija",C36&lt;=OF_ANIOS_INI_1),OF_TIN_1,MAX(0,EURIBOR+OF_DIF_1)),0)</f>
        <v/>
      </c>
      <c r="E36" s="58">
        <f>IF(AND(BANCO_OK_1,B36&lt;=MESES),IF(OR(B36=1,D36&lt;&gt;D35),PMT(D36/1200,MESES-B36+1,-H35),E35),0)</f>
        <v/>
      </c>
      <c r="F36" s="58">
        <f>H35*D36/1200</f>
        <v/>
      </c>
      <c r="G36" s="58">
        <f>IF(AND(BANCO_OK_1,B36&lt;=MESES),IF(OR(B36=MESES,E36-F36&gt;H35),H35,E36-F36),0)</f>
        <v/>
      </c>
      <c r="H36" s="58">
        <f>H35-G36</f>
        <v/>
      </c>
      <c r="I36" s="58">
        <f>IF(AND(BANCO_OK_1,B36&lt;=MESES),F36+G36+VINC_MES_1,0)</f>
        <v/>
      </c>
      <c r="J36" s="52">
        <f>IF(AND(BANCO_OK_2,B36&lt;=MESES),IF(OR(OF_TIPO_2="Fija",C36&lt;=OF_ANIOS_INI_2),OF_TIN_2,MAX(0,EURIBOR+OF_DIF_2)),0)</f>
        <v/>
      </c>
      <c r="K36" s="58">
        <f>IF(AND(BANCO_OK_2,B36&lt;=MESES),IF(OR(B36=1,J36&lt;&gt;J35),PMT(J36/1200,MESES-B36+1,-N35),K35),0)</f>
        <v/>
      </c>
      <c r="L36" s="58">
        <f>N35*J36/1200</f>
        <v/>
      </c>
      <c r="M36" s="58">
        <f>IF(AND(BANCO_OK_2,B36&lt;=MESES),IF(OR(B36=MESES,K36-L36&gt;N35),N35,K36-L36),0)</f>
        <v/>
      </c>
      <c r="N36" s="58">
        <f>N35-M36</f>
        <v/>
      </c>
      <c r="O36" s="58">
        <f>IF(AND(BANCO_OK_2,B36&lt;=MESES),L36+M36+VINC_MES_2,0)</f>
        <v/>
      </c>
      <c r="P36" s="52">
        <f>IF(AND(BANCO_OK_3,B36&lt;=MESES),IF(OR(OF_TIPO_3="Fija",C36&lt;=OF_ANIOS_INI_3),OF_TIN_3,MAX(0,EURIBOR+OF_DIF_3)),0)</f>
        <v/>
      </c>
      <c r="Q36" s="58">
        <f>IF(AND(BANCO_OK_3,B36&lt;=MESES),IF(OR(B36=1,P36&lt;&gt;P35),PMT(P36/1200,MESES-B36+1,-T35),Q35),0)</f>
        <v/>
      </c>
      <c r="R36" s="58">
        <f>T35*P36/1200</f>
        <v/>
      </c>
      <c r="S36" s="58">
        <f>IF(AND(BANCO_OK_3,B36&lt;=MESES),IF(OR(B36=MESES,Q36-R36&gt;T35),T35,Q36-R36),0)</f>
        <v/>
      </c>
      <c r="T36" s="58">
        <f>T35-S36</f>
        <v/>
      </c>
      <c r="U36" s="58">
        <f>IF(AND(BANCO_OK_3,B36&lt;=MESES),R36+S36+VINC_MES_3,0)</f>
        <v/>
      </c>
      <c r="V36" s="52">
        <f>IF(AND(BANCO_OK_4,B36&lt;=MESES),IF(OR(OF_TIPO_4="Fija",C36&lt;=OF_ANIOS_INI_4),OF_TIN_4,MAX(0,EURIBOR+OF_DIF_4)),0)</f>
        <v/>
      </c>
      <c r="W36" s="58">
        <f>IF(AND(BANCO_OK_4,B36&lt;=MESES),IF(OR(B36=1,V36&lt;&gt;V35),PMT(V36/1200,MESES-B36+1,-Z35),W35),0)</f>
        <v/>
      </c>
      <c r="X36" s="58">
        <f>Z35*V36/1200</f>
        <v/>
      </c>
      <c r="Y36" s="58">
        <f>IF(AND(BANCO_OK_4,B36&lt;=MESES),IF(OR(B36=MESES,W36-X36&gt;Z35),Z35,W36-X36),0)</f>
        <v/>
      </c>
      <c r="Z36" s="58">
        <f>Z35-Y36</f>
        <v/>
      </c>
      <c r="AA36" s="58">
        <f>IF(AND(BANCO_OK_4,B36&lt;=MESES),X36+Y36+VINC_MES_4,0)</f>
        <v/>
      </c>
    </row>
    <row r="37">
      <c r="B37" s="56" t="n">
        <v>29</v>
      </c>
      <c r="C37" s="56">
        <f>ROUNDUP(B37/12,0)</f>
        <v/>
      </c>
      <c r="D37" s="52">
        <f>IF(AND(BANCO_OK_1,B37&lt;=MESES),IF(OR(OF_TIPO_1="Fija",C37&lt;=OF_ANIOS_INI_1),OF_TIN_1,MAX(0,EURIBOR+OF_DIF_1)),0)</f>
        <v/>
      </c>
      <c r="E37" s="58">
        <f>IF(AND(BANCO_OK_1,B37&lt;=MESES),IF(OR(B37=1,D37&lt;&gt;D36),PMT(D37/1200,MESES-B37+1,-H36),E36),0)</f>
        <v/>
      </c>
      <c r="F37" s="58">
        <f>H36*D37/1200</f>
        <v/>
      </c>
      <c r="G37" s="58">
        <f>IF(AND(BANCO_OK_1,B37&lt;=MESES),IF(OR(B37=MESES,E37-F37&gt;H36),H36,E37-F37),0)</f>
        <v/>
      </c>
      <c r="H37" s="58">
        <f>H36-G37</f>
        <v/>
      </c>
      <c r="I37" s="58">
        <f>IF(AND(BANCO_OK_1,B37&lt;=MESES),F37+G37+VINC_MES_1,0)</f>
        <v/>
      </c>
      <c r="J37" s="52">
        <f>IF(AND(BANCO_OK_2,B37&lt;=MESES),IF(OR(OF_TIPO_2="Fija",C37&lt;=OF_ANIOS_INI_2),OF_TIN_2,MAX(0,EURIBOR+OF_DIF_2)),0)</f>
        <v/>
      </c>
      <c r="K37" s="58">
        <f>IF(AND(BANCO_OK_2,B37&lt;=MESES),IF(OR(B37=1,J37&lt;&gt;J36),PMT(J37/1200,MESES-B37+1,-N36),K36),0)</f>
        <v/>
      </c>
      <c r="L37" s="58">
        <f>N36*J37/1200</f>
        <v/>
      </c>
      <c r="M37" s="58">
        <f>IF(AND(BANCO_OK_2,B37&lt;=MESES),IF(OR(B37=MESES,K37-L37&gt;N36),N36,K37-L37),0)</f>
        <v/>
      </c>
      <c r="N37" s="58">
        <f>N36-M37</f>
        <v/>
      </c>
      <c r="O37" s="58">
        <f>IF(AND(BANCO_OK_2,B37&lt;=MESES),L37+M37+VINC_MES_2,0)</f>
        <v/>
      </c>
      <c r="P37" s="52">
        <f>IF(AND(BANCO_OK_3,B37&lt;=MESES),IF(OR(OF_TIPO_3="Fija",C37&lt;=OF_ANIOS_INI_3),OF_TIN_3,MAX(0,EURIBOR+OF_DIF_3)),0)</f>
        <v/>
      </c>
      <c r="Q37" s="58">
        <f>IF(AND(BANCO_OK_3,B37&lt;=MESES),IF(OR(B37=1,P37&lt;&gt;P36),PMT(P37/1200,MESES-B37+1,-T36),Q36),0)</f>
        <v/>
      </c>
      <c r="R37" s="58">
        <f>T36*P37/1200</f>
        <v/>
      </c>
      <c r="S37" s="58">
        <f>IF(AND(BANCO_OK_3,B37&lt;=MESES),IF(OR(B37=MESES,Q37-R37&gt;T36),T36,Q37-R37),0)</f>
        <v/>
      </c>
      <c r="T37" s="58">
        <f>T36-S37</f>
        <v/>
      </c>
      <c r="U37" s="58">
        <f>IF(AND(BANCO_OK_3,B37&lt;=MESES),R37+S37+VINC_MES_3,0)</f>
        <v/>
      </c>
      <c r="V37" s="52">
        <f>IF(AND(BANCO_OK_4,B37&lt;=MESES),IF(OR(OF_TIPO_4="Fija",C37&lt;=OF_ANIOS_INI_4),OF_TIN_4,MAX(0,EURIBOR+OF_DIF_4)),0)</f>
        <v/>
      </c>
      <c r="W37" s="58">
        <f>IF(AND(BANCO_OK_4,B37&lt;=MESES),IF(OR(B37=1,V37&lt;&gt;V36),PMT(V37/1200,MESES-B37+1,-Z36),W36),0)</f>
        <v/>
      </c>
      <c r="X37" s="58">
        <f>Z36*V37/1200</f>
        <v/>
      </c>
      <c r="Y37" s="58">
        <f>IF(AND(BANCO_OK_4,B37&lt;=MESES),IF(OR(B37=MESES,W37-X37&gt;Z36),Z36,W37-X37),0)</f>
        <v/>
      </c>
      <c r="Z37" s="58">
        <f>Z36-Y37</f>
        <v/>
      </c>
      <c r="AA37" s="58">
        <f>IF(AND(BANCO_OK_4,B37&lt;=MESES),X37+Y37+VINC_MES_4,0)</f>
        <v/>
      </c>
    </row>
    <row r="38">
      <c r="B38" s="56" t="n">
        <v>30</v>
      </c>
      <c r="C38" s="56">
        <f>ROUNDUP(B38/12,0)</f>
        <v/>
      </c>
      <c r="D38" s="52">
        <f>IF(AND(BANCO_OK_1,B38&lt;=MESES),IF(OR(OF_TIPO_1="Fija",C38&lt;=OF_ANIOS_INI_1),OF_TIN_1,MAX(0,EURIBOR+OF_DIF_1)),0)</f>
        <v/>
      </c>
      <c r="E38" s="58">
        <f>IF(AND(BANCO_OK_1,B38&lt;=MESES),IF(OR(B38=1,D38&lt;&gt;D37),PMT(D38/1200,MESES-B38+1,-H37),E37),0)</f>
        <v/>
      </c>
      <c r="F38" s="58">
        <f>H37*D38/1200</f>
        <v/>
      </c>
      <c r="G38" s="58">
        <f>IF(AND(BANCO_OK_1,B38&lt;=MESES),IF(OR(B38=MESES,E38-F38&gt;H37),H37,E38-F38),0)</f>
        <v/>
      </c>
      <c r="H38" s="58">
        <f>H37-G38</f>
        <v/>
      </c>
      <c r="I38" s="58">
        <f>IF(AND(BANCO_OK_1,B38&lt;=MESES),F38+G38+VINC_MES_1,0)</f>
        <v/>
      </c>
      <c r="J38" s="52">
        <f>IF(AND(BANCO_OK_2,B38&lt;=MESES),IF(OR(OF_TIPO_2="Fija",C38&lt;=OF_ANIOS_INI_2),OF_TIN_2,MAX(0,EURIBOR+OF_DIF_2)),0)</f>
        <v/>
      </c>
      <c r="K38" s="58">
        <f>IF(AND(BANCO_OK_2,B38&lt;=MESES),IF(OR(B38=1,J38&lt;&gt;J37),PMT(J38/1200,MESES-B38+1,-N37),K37),0)</f>
        <v/>
      </c>
      <c r="L38" s="58">
        <f>N37*J38/1200</f>
        <v/>
      </c>
      <c r="M38" s="58">
        <f>IF(AND(BANCO_OK_2,B38&lt;=MESES),IF(OR(B38=MESES,K38-L38&gt;N37),N37,K38-L38),0)</f>
        <v/>
      </c>
      <c r="N38" s="58">
        <f>N37-M38</f>
        <v/>
      </c>
      <c r="O38" s="58">
        <f>IF(AND(BANCO_OK_2,B38&lt;=MESES),L38+M38+VINC_MES_2,0)</f>
        <v/>
      </c>
      <c r="P38" s="52">
        <f>IF(AND(BANCO_OK_3,B38&lt;=MESES),IF(OR(OF_TIPO_3="Fija",C38&lt;=OF_ANIOS_INI_3),OF_TIN_3,MAX(0,EURIBOR+OF_DIF_3)),0)</f>
        <v/>
      </c>
      <c r="Q38" s="58">
        <f>IF(AND(BANCO_OK_3,B38&lt;=MESES),IF(OR(B38=1,P38&lt;&gt;P37),PMT(P38/1200,MESES-B38+1,-T37),Q37),0)</f>
        <v/>
      </c>
      <c r="R38" s="58">
        <f>T37*P38/1200</f>
        <v/>
      </c>
      <c r="S38" s="58">
        <f>IF(AND(BANCO_OK_3,B38&lt;=MESES),IF(OR(B38=MESES,Q38-R38&gt;T37),T37,Q38-R38),0)</f>
        <v/>
      </c>
      <c r="T38" s="58">
        <f>T37-S38</f>
        <v/>
      </c>
      <c r="U38" s="58">
        <f>IF(AND(BANCO_OK_3,B38&lt;=MESES),R38+S38+VINC_MES_3,0)</f>
        <v/>
      </c>
      <c r="V38" s="52">
        <f>IF(AND(BANCO_OK_4,B38&lt;=MESES),IF(OR(OF_TIPO_4="Fija",C38&lt;=OF_ANIOS_INI_4),OF_TIN_4,MAX(0,EURIBOR+OF_DIF_4)),0)</f>
        <v/>
      </c>
      <c r="W38" s="58">
        <f>IF(AND(BANCO_OK_4,B38&lt;=MESES),IF(OR(B38=1,V38&lt;&gt;V37),PMT(V38/1200,MESES-B38+1,-Z37),W37),0)</f>
        <v/>
      </c>
      <c r="X38" s="58">
        <f>Z37*V38/1200</f>
        <v/>
      </c>
      <c r="Y38" s="58">
        <f>IF(AND(BANCO_OK_4,B38&lt;=MESES),IF(OR(B38=MESES,W38-X38&gt;Z37),Z37,W38-X38),0)</f>
        <v/>
      </c>
      <c r="Z38" s="58">
        <f>Z37-Y38</f>
        <v/>
      </c>
      <c r="AA38" s="58">
        <f>IF(AND(BANCO_OK_4,B38&lt;=MESES),X38+Y38+VINC_MES_4,0)</f>
        <v/>
      </c>
    </row>
    <row r="39">
      <c r="B39" s="56" t="n">
        <v>31</v>
      </c>
      <c r="C39" s="56">
        <f>ROUNDUP(B39/12,0)</f>
        <v/>
      </c>
      <c r="D39" s="52">
        <f>IF(AND(BANCO_OK_1,B39&lt;=MESES),IF(OR(OF_TIPO_1="Fija",C39&lt;=OF_ANIOS_INI_1),OF_TIN_1,MAX(0,EURIBOR+OF_DIF_1)),0)</f>
        <v/>
      </c>
      <c r="E39" s="58">
        <f>IF(AND(BANCO_OK_1,B39&lt;=MESES),IF(OR(B39=1,D39&lt;&gt;D38),PMT(D39/1200,MESES-B39+1,-H38),E38),0)</f>
        <v/>
      </c>
      <c r="F39" s="58">
        <f>H38*D39/1200</f>
        <v/>
      </c>
      <c r="G39" s="58">
        <f>IF(AND(BANCO_OK_1,B39&lt;=MESES),IF(OR(B39=MESES,E39-F39&gt;H38),H38,E39-F39),0)</f>
        <v/>
      </c>
      <c r="H39" s="58">
        <f>H38-G39</f>
        <v/>
      </c>
      <c r="I39" s="58">
        <f>IF(AND(BANCO_OK_1,B39&lt;=MESES),F39+G39+VINC_MES_1,0)</f>
        <v/>
      </c>
      <c r="J39" s="52">
        <f>IF(AND(BANCO_OK_2,B39&lt;=MESES),IF(OR(OF_TIPO_2="Fija",C39&lt;=OF_ANIOS_INI_2),OF_TIN_2,MAX(0,EURIBOR+OF_DIF_2)),0)</f>
        <v/>
      </c>
      <c r="K39" s="58">
        <f>IF(AND(BANCO_OK_2,B39&lt;=MESES),IF(OR(B39=1,J39&lt;&gt;J38),PMT(J39/1200,MESES-B39+1,-N38),K38),0)</f>
        <v/>
      </c>
      <c r="L39" s="58">
        <f>N38*J39/1200</f>
        <v/>
      </c>
      <c r="M39" s="58">
        <f>IF(AND(BANCO_OK_2,B39&lt;=MESES),IF(OR(B39=MESES,K39-L39&gt;N38),N38,K39-L39),0)</f>
        <v/>
      </c>
      <c r="N39" s="58">
        <f>N38-M39</f>
        <v/>
      </c>
      <c r="O39" s="58">
        <f>IF(AND(BANCO_OK_2,B39&lt;=MESES),L39+M39+VINC_MES_2,0)</f>
        <v/>
      </c>
      <c r="P39" s="52">
        <f>IF(AND(BANCO_OK_3,B39&lt;=MESES),IF(OR(OF_TIPO_3="Fija",C39&lt;=OF_ANIOS_INI_3),OF_TIN_3,MAX(0,EURIBOR+OF_DIF_3)),0)</f>
        <v/>
      </c>
      <c r="Q39" s="58">
        <f>IF(AND(BANCO_OK_3,B39&lt;=MESES),IF(OR(B39=1,P39&lt;&gt;P38),PMT(P39/1200,MESES-B39+1,-T38),Q38),0)</f>
        <v/>
      </c>
      <c r="R39" s="58">
        <f>T38*P39/1200</f>
        <v/>
      </c>
      <c r="S39" s="58">
        <f>IF(AND(BANCO_OK_3,B39&lt;=MESES),IF(OR(B39=MESES,Q39-R39&gt;T38),T38,Q39-R39),0)</f>
        <v/>
      </c>
      <c r="T39" s="58">
        <f>T38-S39</f>
        <v/>
      </c>
      <c r="U39" s="58">
        <f>IF(AND(BANCO_OK_3,B39&lt;=MESES),R39+S39+VINC_MES_3,0)</f>
        <v/>
      </c>
      <c r="V39" s="52">
        <f>IF(AND(BANCO_OK_4,B39&lt;=MESES),IF(OR(OF_TIPO_4="Fija",C39&lt;=OF_ANIOS_INI_4),OF_TIN_4,MAX(0,EURIBOR+OF_DIF_4)),0)</f>
        <v/>
      </c>
      <c r="W39" s="58">
        <f>IF(AND(BANCO_OK_4,B39&lt;=MESES),IF(OR(B39=1,V39&lt;&gt;V38),PMT(V39/1200,MESES-B39+1,-Z38),W38),0)</f>
        <v/>
      </c>
      <c r="X39" s="58">
        <f>Z38*V39/1200</f>
        <v/>
      </c>
      <c r="Y39" s="58">
        <f>IF(AND(BANCO_OK_4,B39&lt;=MESES),IF(OR(B39=MESES,W39-X39&gt;Z38),Z38,W39-X39),0)</f>
        <v/>
      </c>
      <c r="Z39" s="58">
        <f>Z38-Y39</f>
        <v/>
      </c>
      <c r="AA39" s="58">
        <f>IF(AND(BANCO_OK_4,B39&lt;=MESES),X39+Y39+VINC_MES_4,0)</f>
        <v/>
      </c>
    </row>
    <row r="40">
      <c r="B40" s="56" t="n">
        <v>32</v>
      </c>
      <c r="C40" s="56">
        <f>ROUNDUP(B40/12,0)</f>
        <v/>
      </c>
      <c r="D40" s="52">
        <f>IF(AND(BANCO_OK_1,B40&lt;=MESES),IF(OR(OF_TIPO_1="Fija",C40&lt;=OF_ANIOS_INI_1),OF_TIN_1,MAX(0,EURIBOR+OF_DIF_1)),0)</f>
        <v/>
      </c>
      <c r="E40" s="58">
        <f>IF(AND(BANCO_OK_1,B40&lt;=MESES),IF(OR(B40=1,D40&lt;&gt;D39),PMT(D40/1200,MESES-B40+1,-H39),E39),0)</f>
        <v/>
      </c>
      <c r="F40" s="58">
        <f>H39*D40/1200</f>
        <v/>
      </c>
      <c r="G40" s="58">
        <f>IF(AND(BANCO_OK_1,B40&lt;=MESES),IF(OR(B40=MESES,E40-F40&gt;H39),H39,E40-F40),0)</f>
        <v/>
      </c>
      <c r="H40" s="58">
        <f>H39-G40</f>
        <v/>
      </c>
      <c r="I40" s="58">
        <f>IF(AND(BANCO_OK_1,B40&lt;=MESES),F40+G40+VINC_MES_1,0)</f>
        <v/>
      </c>
      <c r="J40" s="52">
        <f>IF(AND(BANCO_OK_2,B40&lt;=MESES),IF(OR(OF_TIPO_2="Fija",C40&lt;=OF_ANIOS_INI_2),OF_TIN_2,MAX(0,EURIBOR+OF_DIF_2)),0)</f>
        <v/>
      </c>
      <c r="K40" s="58">
        <f>IF(AND(BANCO_OK_2,B40&lt;=MESES),IF(OR(B40=1,J40&lt;&gt;J39),PMT(J40/1200,MESES-B40+1,-N39),K39),0)</f>
        <v/>
      </c>
      <c r="L40" s="58">
        <f>N39*J40/1200</f>
        <v/>
      </c>
      <c r="M40" s="58">
        <f>IF(AND(BANCO_OK_2,B40&lt;=MESES),IF(OR(B40=MESES,K40-L40&gt;N39),N39,K40-L40),0)</f>
        <v/>
      </c>
      <c r="N40" s="58">
        <f>N39-M40</f>
        <v/>
      </c>
      <c r="O40" s="58">
        <f>IF(AND(BANCO_OK_2,B40&lt;=MESES),L40+M40+VINC_MES_2,0)</f>
        <v/>
      </c>
      <c r="P40" s="52">
        <f>IF(AND(BANCO_OK_3,B40&lt;=MESES),IF(OR(OF_TIPO_3="Fija",C40&lt;=OF_ANIOS_INI_3),OF_TIN_3,MAX(0,EURIBOR+OF_DIF_3)),0)</f>
        <v/>
      </c>
      <c r="Q40" s="58">
        <f>IF(AND(BANCO_OK_3,B40&lt;=MESES),IF(OR(B40=1,P40&lt;&gt;P39),PMT(P40/1200,MESES-B40+1,-T39),Q39),0)</f>
        <v/>
      </c>
      <c r="R40" s="58">
        <f>T39*P40/1200</f>
        <v/>
      </c>
      <c r="S40" s="58">
        <f>IF(AND(BANCO_OK_3,B40&lt;=MESES),IF(OR(B40=MESES,Q40-R40&gt;T39),T39,Q40-R40),0)</f>
        <v/>
      </c>
      <c r="T40" s="58">
        <f>T39-S40</f>
        <v/>
      </c>
      <c r="U40" s="58">
        <f>IF(AND(BANCO_OK_3,B40&lt;=MESES),R40+S40+VINC_MES_3,0)</f>
        <v/>
      </c>
      <c r="V40" s="52">
        <f>IF(AND(BANCO_OK_4,B40&lt;=MESES),IF(OR(OF_TIPO_4="Fija",C40&lt;=OF_ANIOS_INI_4),OF_TIN_4,MAX(0,EURIBOR+OF_DIF_4)),0)</f>
        <v/>
      </c>
      <c r="W40" s="58">
        <f>IF(AND(BANCO_OK_4,B40&lt;=MESES),IF(OR(B40=1,V40&lt;&gt;V39),PMT(V40/1200,MESES-B40+1,-Z39),W39),0)</f>
        <v/>
      </c>
      <c r="X40" s="58">
        <f>Z39*V40/1200</f>
        <v/>
      </c>
      <c r="Y40" s="58">
        <f>IF(AND(BANCO_OK_4,B40&lt;=MESES),IF(OR(B40=MESES,W40-X40&gt;Z39),Z39,W40-X40),0)</f>
        <v/>
      </c>
      <c r="Z40" s="58">
        <f>Z39-Y40</f>
        <v/>
      </c>
      <c r="AA40" s="58">
        <f>IF(AND(BANCO_OK_4,B40&lt;=MESES),X40+Y40+VINC_MES_4,0)</f>
        <v/>
      </c>
    </row>
    <row r="41">
      <c r="B41" s="56" t="n">
        <v>33</v>
      </c>
      <c r="C41" s="56">
        <f>ROUNDUP(B41/12,0)</f>
        <v/>
      </c>
      <c r="D41" s="52">
        <f>IF(AND(BANCO_OK_1,B41&lt;=MESES),IF(OR(OF_TIPO_1="Fija",C41&lt;=OF_ANIOS_INI_1),OF_TIN_1,MAX(0,EURIBOR+OF_DIF_1)),0)</f>
        <v/>
      </c>
      <c r="E41" s="58">
        <f>IF(AND(BANCO_OK_1,B41&lt;=MESES),IF(OR(B41=1,D41&lt;&gt;D40),PMT(D41/1200,MESES-B41+1,-H40),E40),0)</f>
        <v/>
      </c>
      <c r="F41" s="58">
        <f>H40*D41/1200</f>
        <v/>
      </c>
      <c r="G41" s="58">
        <f>IF(AND(BANCO_OK_1,B41&lt;=MESES),IF(OR(B41=MESES,E41-F41&gt;H40),H40,E41-F41),0)</f>
        <v/>
      </c>
      <c r="H41" s="58">
        <f>H40-G41</f>
        <v/>
      </c>
      <c r="I41" s="58">
        <f>IF(AND(BANCO_OK_1,B41&lt;=MESES),F41+G41+VINC_MES_1,0)</f>
        <v/>
      </c>
      <c r="J41" s="52">
        <f>IF(AND(BANCO_OK_2,B41&lt;=MESES),IF(OR(OF_TIPO_2="Fija",C41&lt;=OF_ANIOS_INI_2),OF_TIN_2,MAX(0,EURIBOR+OF_DIF_2)),0)</f>
        <v/>
      </c>
      <c r="K41" s="58">
        <f>IF(AND(BANCO_OK_2,B41&lt;=MESES),IF(OR(B41=1,J41&lt;&gt;J40),PMT(J41/1200,MESES-B41+1,-N40),K40),0)</f>
        <v/>
      </c>
      <c r="L41" s="58">
        <f>N40*J41/1200</f>
        <v/>
      </c>
      <c r="M41" s="58">
        <f>IF(AND(BANCO_OK_2,B41&lt;=MESES),IF(OR(B41=MESES,K41-L41&gt;N40),N40,K41-L41),0)</f>
        <v/>
      </c>
      <c r="N41" s="58">
        <f>N40-M41</f>
        <v/>
      </c>
      <c r="O41" s="58">
        <f>IF(AND(BANCO_OK_2,B41&lt;=MESES),L41+M41+VINC_MES_2,0)</f>
        <v/>
      </c>
      <c r="P41" s="52">
        <f>IF(AND(BANCO_OK_3,B41&lt;=MESES),IF(OR(OF_TIPO_3="Fija",C41&lt;=OF_ANIOS_INI_3),OF_TIN_3,MAX(0,EURIBOR+OF_DIF_3)),0)</f>
        <v/>
      </c>
      <c r="Q41" s="58">
        <f>IF(AND(BANCO_OK_3,B41&lt;=MESES),IF(OR(B41=1,P41&lt;&gt;P40),PMT(P41/1200,MESES-B41+1,-T40),Q40),0)</f>
        <v/>
      </c>
      <c r="R41" s="58">
        <f>T40*P41/1200</f>
        <v/>
      </c>
      <c r="S41" s="58">
        <f>IF(AND(BANCO_OK_3,B41&lt;=MESES),IF(OR(B41=MESES,Q41-R41&gt;T40),T40,Q41-R41),0)</f>
        <v/>
      </c>
      <c r="T41" s="58">
        <f>T40-S41</f>
        <v/>
      </c>
      <c r="U41" s="58">
        <f>IF(AND(BANCO_OK_3,B41&lt;=MESES),R41+S41+VINC_MES_3,0)</f>
        <v/>
      </c>
      <c r="V41" s="52">
        <f>IF(AND(BANCO_OK_4,B41&lt;=MESES),IF(OR(OF_TIPO_4="Fija",C41&lt;=OF_ANIOS_INI_4),OF_TIN_4,MAX(0,EURIBOR+OF_DIF_4)),0)</f>
        <v/>
      </c>
      <c r="W41" s="58">
        <f>IF(AND(BANCO_OK_4,B41&lt;=MESES),IF(OR(B41=1,V41&lt;&gt;V40),PMT(V41/1200,MESES-B41+1,-Z40),W40),0)</f>
        <v/>
      </c>
      <c r="X41" s="58">
        <f>Z40*V41/1200</f>
        <v/>
      </c>
      <c r="Y41" s="58">
        <f>IF(AND(BANCO_OK_4,B41&lt;=MESES),IF(OR(B41=MESES,W41-X41&gt;Z40),Z40,W41-X41),0)</f>
        <v/>
      </c>
      <c r="Z41" s="58">
        <f>Z40-Y41</f>
        <v/>
      </c>
      <c r="AA41" s="58">
        <f>IF(AND(BANCO_OK_4,B41&lt;=MESES),X41+Y41+VINC_MES_4,0)</f>
        <v/>
      </c>
    </row>
    <row r="42">
      <c r="B42" s="56" t="n">
        <v>34</v>
      </c>
      <c r="C42" s="56">
        <f>ROUNDUP(B42/12,0)</f>
        <v/>
      </c>
      <c r="D42" s="52">
        <f>IF(AND(BANCO_OK_1,B42&lt;=MESES),IF(OR(OF_TIPO_1="Fija",C42&lt;=OF_ANIOS_INI_1),OF_TIN_1,MAX(0,EURIBOR+OF_DIF_1)),0)</f>
        <v/>
      </c>
      <c r="E42" s="58">
        <f>IF(AND(BANCO_OK_1,B42&lt;=MESES),IF(OR(B42=1,D42&lt;&gt;D41),PMT(D42/1200,MESES-B42+1,-H41),E41),0)</f>
        <v/>
      </c>
      <c r="F42" s="58">
        <f>H41*D42/1200</f>
        <v/>
      </c>
      <c r="G42" s="58">
        <f>IF(AND(BANCO_OK_1,B42&lt;=MESES),IF(OR(B42=MESES,E42-F42&gt;H41),H41,E42-F42),0)</f>
        <v/>
      </c>
      <c r="H42" s="58">
        <f>H41-G42</f>
        <v/>
      </c>
      <c r="I42" s="58">
        <f>IF(AND(BANCO_OK_1,B42&lt;=MESES),F42+G42+VINC_MES_1,0)</f>
        <v/>
      </c>
      <c r="J42" s="52">
        <f>IF(AND(BANCO_OK_2,B42&lt;=MESES),IF(OR(OF_TIPO_2="Fija",C42&lt;=OF_ANIOS_INI_2),OF_TIN_2,MAX(0,EURIBOR+OF_DIF_2)),0)</f>
        <v/>
      </c>
      <c r="K42" s="58">
        <f>IF(AND(BANCO_OK_2,B42&lt;=MESES),IF(OR(B42=1,J42&lt;&gt;J41),PMT(J42/1200,MESES-B42+1,-N41),K41),0)</f>
        <v/>
      </c>
      <c r="L42" s="58">
        <f>N41*J42/1200</f>
        <v/>
      </c>
      <c r="M42" s="58">
        <f>IF(AND(BANCO_OK_2,B42&lt;=MESES),IF(OR(B42=MESES,K42-L42&gt;N41),N41,K42-L42),0)</f>
        <v/>
      </c>
      <c r="N42" s="58">
        <f>N41-M42</f>
        <v/>
      </c>
      <c r="O42" s="58">
        <f>IF(AND(BANCO_OK_2,B42&lt;=MESES),L42+M42+VINC_MES_2,0)</f>
        <v/>
      </c>
      <c r="P42" s="52">
        <f>IF(AND(BANCO_OK_3,B42&lt;=MESES),IF(OR(OF_TIPO_3="Fija",C42&lt;=OF_ANIOS_INI_3),OF_TIN_3,MAX(0,EURIBOR+OF_DIF_3)),0)</f>
        <v/>
      </c>
      <c r="Q42" s="58">
        <f>IF(AND(BANCO_OK_3,B42&lt;=MESES),IF(OR(B42=1,P42&lt;&gt;P41),PMT(P42/1200,MESES-B42+1,-T41),Q41),0)</f>
        <v/>
      </c>
      <c r="R42" s="58">
        <f>T41*P42/1200</f>
        <v/>
      </c>
      <c r="S42" s="58">
        <f>IF(AND(BANCO_OK_3,B42&lt;=MESES),IF(OR(B42=MESES,Q42-R42&gt;T41),T41,Q42-R42),0)</f>
        <v/>
      </c>
      <c r="T42" s="58">
        <f>T41-S42</f>
        <v/>
      </c>
      <c r="U42" s="58">
        <f>IF(AND(BANCO_OK_3,B42&lt;=MESES),R42+S42+VINC_MES_3,0)</f>
        <v/>
      </c>
      <c r="V42" s="52">
        <f>IF(AND(BANCO_OK_4,B42&lt;=MESES),IF(OR(OF_TIPO_4="Fija",C42&lt;=OF_ANIOS_INI_4),OF_TIN_4,MAX(0,EURIBOR+OF_DIF_4)),0)</f>
        <v/>
      </c>
      <c r="W42" s="58">
        <f>IF(AND(BANCO_OK_4,B42&lt;=MESES),IF(OR(B42=1,V42&lt;&gt;V41),PMT(V42/1200,MESES-B42+1,-Z41),W41),0)</f>
        <v/>
      </c>
      <c r="X42" s="58">
        <f>Z41*V42/1200</f>
        <v/>
      </c>
      <c r="Y42" s="58">
        <f>IF(AND(BANCO_OK_4,B42&lt;=MESES),IF(OR(B42=MESES,W42-X42&gt;Z41),Z41,W42-X42),0)</f>
        <v/>
      </c>
      <c r="Z42" s="58">
        <f>Z41-Y42</f>
        <v/>
      </c>
      <c r="AA42" s="58">
        <f>IF(AND(BANCO_OK_4,B42&lt;=MESES),X42+Y42+VINC_MES_4,0)</f>
        <v/>
      </c>
    </row>
    <row r="43">
      <c r="B43" s="56" t="n">
        <v>35</v>
      </c>
      <c r="C43" s="56">
        <f>ROUNDUP(B43/12,0)</f>
        <v/>
      </c>
      <c r="D43" s="52">
        <f>IF(AND(BANCO_OK_1,B43&lt;=MESES),IF(OR(OF_TIPO_1="Fija",C43&lt;=OF_ANIOS_INI_1),OF_TIN_1,MAX(0,EURIBOR+OF_DIF_1)),0)</f>
        <v/>
      </c>
      <c r="E43" s="58">
        <f>IF(AND(BANCO_OK_1,B43&lt;=MESES),IF(OR(B43=1,D43&lt;&gt;D42),PMT(D43/1200,MESES-B43+1,-H42),E42),0)</f>
        <v/>
      </c>
      <c r="F43" s="58">
        <f>H42*D43/1200</f>
        <v/>
      </c>
      <c r="G43" s="58">
        <f>IF(AND(BANCO_OK_1,B43&lt;=MESES),IF(OR(B43=MESES,E43-F43&gt;H42),H42,E43-F43),0)</f>
        <v/>
      </c>
      <c r="H43" s="58">
        <f>H42-G43</f>
        <v/>
      </c>
      <c r="I43" s="58">
        <f>IF(AND(BANCO_OK_1,B43&lt;=MESES),F43+G43+VINC_MES_1,0)</f>
        <v/>
      </c>
      <c r="J43" s="52">
        <f>IF(AND(BANCO_OK_2,B43&lt;=MESES),IF(OR(OF_TIPO_2="Fija",C43&lt;=OF_ANIOS_INI_2),OF_TIN_2,MAX(0,EURIBOR+OF_DIF_2)),0)</f>
        <v/>
      </c>
      <c r="K43" s="58">
        <f>IF(AND(BANCO_OK_2,B43&lt;=MESES),IF(OR(B43=1,J43&lt;&gt;J42),PMT(J43/1200,MESES-B43+1,-N42),K42),0)</f>
        <v/>
      </c>
      <c r="L43" s="58">
        <f>N42*J43/1200</f>
        <v/>
      </c>
      <c r="M43" s="58">
        <f>IF(AND(BANCO_OK_2,B43&lt;=MESES),IF(OR(B43=MESES,K43-L43&gt;N42),N42,K43-L43),0)</f>
        <v/>
      </c>
      <c r="N43" s="58">
        <f>N42-M43</f>
        <v/>
      </c>
      <c r="O43" s="58">
        <f>IF(AND(BANCO_OK_2,B43&lt;=MESES),L43+M43+VINC_MES_2,0)</f>
        <v/>
      </c>
      <c r="P43" s="52">
        <f>IF(AND(BANCO_OK_3,B43&lt;=MESES),IF(OR(OF_TIPO_3="Fija",C43&lt;=OF_ANIOS_INI_3),OF_TIN_3,MAX(0,EURIBOR+OF_DIF_3)),0)</f>
        <v/>
      </c>
      <c r="Q43" s="58">
        <f>IF(AND(BANCO_OK_3,B43&lt;=MESES),IF(OR(B43=1,P43&lt;&gt;P42),PMT(P43/1200,MESES-B43+1,-T42),Q42),0)</f>
        <v/>
      </c>
      <c r="R43" s="58">
        <f>T42*P43/1200</f>
        <v/>
      </c>
      <c r="S43" s="58">
        <f>IF(AND(BANCO_OK_3,B43&lt;=MESES),IF(OR(B43=MESES,Q43-R43&gt;T42),T42,Q43-R43),0)</f>
        <v/>
      </c>
      <c r="T43" s="58">
        <f>T42-S43</f>
        <v/>
      </c>
      <c r="U43" s="58">
        <f>IF(AND(BANCO_OK_3,B43&lt;=MESES),R43+S43+VINC_MES_3,0)</f>
        <v/>
      </c>
      <c r="V43" s="52">
        <f>IF(AND(BANCO_OK_4,B43&lt;=MESES),IF(OR(OF_TIPO_4="Fija",C43&lt;=OF_ANIOS_INI_4),OF_TIN_4,MAX(0,EURIBOR+OF_DIF_4)),0)</f>
        <v/>
      </c>
      <c r="W43" s="58">
        <f>IF(AND(BANCO_OK_4,B43&lt;=MESES),IF(OR(B43=1,V43&lt;&gt;V42),PMT(V43/1200,MESES-B43+1,-Z42),W42),0)</f>
        <v/>
      </c>
      <c r="X43" s="58">
        <f>Z42*V43/1200</f>
        <v/>
      </c>
      <c r="Y43" s="58">
        <f>IF(AND(BANCO_OK_4,B43&lt;=MESES),IF(OR(B43=MESES,W43-X43&gt;Z42),Z42,W43-X43),0)</f>
        <v/>
      </c>
      <c r="Z43" s="58">
        <f>Z42-Y43</f>
        <v/>
      </c>
      <c r="AA43" s="58">
        <f>IF(AND(BANCO_OK_4,B43&lt;=MESES),X43+Y43+VINC_MES_4,0)</f>
        <v/>
      </c>
    </row>
    <row r="44">
      <c r="B44" s="56" t="n">
        <v>36</v>
      </c>
      <c r="C44" s="56">
        <f>ROUNDUP(B44/12,0)</f>
        <v/>
      </c>
      <c r="D44" s="52">
        <f>IF(AND(BANCO_OK_1,B44&lt;=MESES),IF(OR(OF_TIPO_1="Fija",C44&lt;=OF_ANIOS_INI_1),OF_TIN_1,MAX(0,EURIBOR+OF_DIF_1)),0)</f>
        <v/>
      </c>
      <c r="E44" s="58">
        <f>IF(AND(BANCO_OK_1,B44&lt;=MESES),IF(OR(B44=1,D44&lt;&gt;D43),PMT(D44/1200,MESES-B44+1,-H43),E43),0)</f>
        <v/>
      </c>
      <c r="F44" s="58">
        <f>H43*D44/1200</f>
        <v/>
      </c>
      <c r="G44" s="58">
        <f>IF(AND(BANCO_OK_1,B44&lt;=MESES),IF(OR(B44=MESES,E44-F44&gt;H43),H43,E44-F44),0)</f>
        <v/>
      </c>
      <c r="H44" s="58">
        <f>H43-G44</f>
        <v/>
      </c>
      <c r="I44" s="58">
        <f>IF(AND(BANCO_OK_1,B44&lt;=MESES),F44+G44+VINC_MES_1,0)</f>
        <v/>
      </c>
      <c r="J44" s="52">
        <f>IF(AND(BANCO_OK_2,B44&lt;=MESES),IF(OR(OF_TIPO_2="Fija",C44&lt;=OF_ANIOS_INI_2),OF_TIN_2,MAX(0,EURIBOR+OF_DIF_2)),0)</f>
        <v/>
      </c>
      <c r="K44" s="58">
        <f>IF(AND(BANCO_OK_2,B44&lt;=MESES),IF(OR(B44=1,J44&lt;&gt;J43),PMT(J44/1200,MESES-B44+1,-N43),K43),0)</f>
        <v/>
      </c>
      <c r="L44" s="58">
        <f>N43*J44/1200</f>
        <v/>
      </c>
      <c r="M44" s="58">
        <f>IF(AND(BANCO_OK_2,B44&lt;=MESES),IF(OR(B44=MESES,K44-L44&gt;N43),N43,K44-L44),0)</f>
        <v/>
      </c>
      <c r="N44" s="58">
        <f>N43-M44</f>
        <v/>
      </c>
      <c r="O44" s="58">
        <f>IF(AND(BANCO_OK_2,B44&lt;=MESES),L44+M44+VINC_MES_2,0)</f>
        <v/>
      </c>
      <c r="P44" s="52">
        <f>IF(AND(BANCO_OK_3,B44&lt;=MESES),IF(OR(OF_TIPO_3="Fija",C44&lt;=OF_ANIOS_INI_3),OF_TIN_3,MAX(0,EURIBOR+OF_DIF_3)),0)</f>
        <v/>
      </c>
      <c r="Q44" s="58">
        <f>IF(AND(BANCO_OK_3,B44&lt;=MESES),IF(OR(B44=1,P44&lt;&gt;P43),PMT(P44/1200,MESES-B44+1,-T43),Q43),0)</f>
        <v/>
      </c>
      <c r="R44" s="58">
        <f>T43*P44/1200</f>
        <v/>
      </c>
      <c r="S44" s="58">
        <f>IF(AND(BANCO_OK_3,B44&lt;=MESES),IF(OR(B44=MESES,Q44-R44&gt;T43),T43,Q44-R44),0)</f>
        <v/>
      </c>
      <c r="T44" s="58">
        <f>T43-S44</f>
        <v/>
      </c>
      <c r="U44" s="58">
        <f>IF(AND(BANCO_OK_3,B44&lt;=MESES),R44+S44+VINC_MES_3,0)</f>
        <v/>
      </c>
      <c r="V44" s="52">
        <f>IF(AND(BANCO_OK_4,B44&lt;=MESES),IF(OR(OF_TIPO_4="Fija",C44&lt;=OF_ANIOS_INI_4),OF_TIN_4,MAX(0,EURIBOR+OF_DIF_4)),0)</f>
        <v/>
      </c>
      <c r="W44" s="58">
        <f>IF(AND(BANCO_OK_4,B44&lt;=MESES),IF(OR(B44=1,V44&lt;&gt;V43),PMT(V44/1200,MESES-B44+1,-Z43),W43),0)</f>
        <v/>
      </c>
      <c r="X44" s="58">
        <f>Z43*V44/1200</f>
        <v/>
      </c>
      <c r="Y44" s="58">
        <f>IF(AND(BANCO_OK_4,B44&lt;=MESES),IF(OR(B44=MESES,W44-X44&gt;Z43),Z43,W44-X44),0)</f>
        <v/>
      </c>
      <c r="Z44" s="58">
        <f>Z43-Y44</f>
        <v/>
      </c>
      <c r="AA44" s="58">
        <f>IF(AND(BANCO_OK_4,B44&lt;=MESES),X44+Y44+VINC_MES_4,0)</f>
        <v/>
      </c>
    </row>
    <row r="45">
      <c r="B45" s="56" t="n">
        <v>37</v>
      </c>
      <c r="C45" s="56">
        <f>ROUNDUP(B45/12,0)</f>
        <v/>
      </c>
      <c r="D45" s="52">
        <f>IF(AND(BANCO_OK_1,B45&lt;=MESES),IF(OR(OF_TIPO_1="Fija",C45&lt;=OF_ANIOS_INI_1),OF_TIN_1,MAX(0,EURIBOR+OF_DIF_1)),0)</f>
        <v/>
      </c>
      <c r="E45" s="58">
        <f>IF(AND(BANCO_OK_1,B45&lt;=MESES),IF(OR(B45=1,D45&lt;&gt;D44),PMT(D45/1200,MESES-B45+1,-H44),E44),0)</f>
        <v/>
      </c>
      <c r="F45" s="58">
        <f>H44*D45/1200</f>
        <v/>
      </c>
      <c r="G45" s="58">
        <f>IF(AND(BANCO_OK_1,B45&lt;=MESES),IF(OR(B45=MESES,E45-F45&gt;H44),H44,E45-F45),0)</f>
        <v/>
      </c>
      <c r="H45" s="58">
        <f>H44-G45</f>
        <v/>
      </c>
      <c r="I45" s="58">
        <f>IF(AND(BANCO_OK_1,B45&lt;=MESES),F45+G45+VINC_MES_1,0)</f>
        <v/>
      </c>
      <c r="J45" s="52">
        <f>IF(AND(BANCO_OK_2,B45&lt;=MESES),IF(OR(OF_TIPO_2="Fija",C45&lt;=OF_ANIOS_INI_2),OF_TIN_2,MAX(0,EURIBOR+OF_DIF_2)),0)</f>
        <v/>
      </c>
      <c r="K45" s="58">
        <f>IF(AND(BANCO_OK_2,B45&lt;=MESES),IF(OR(B45=1,J45&lt;&gt;J44),PMT(J45/1200,MESES-B45+1,-N44),K44),0)</f>
        <v/>
      </c>
      <c r="L45" s="58">
        <f>N44*J45/1200</f>
        <v/>
      </c>
      <c r="M45" s="58">
        <f>IF(AND(BANCO_OK_2,B45&lt;=MESES),IF(OR(B45=MESES,K45-L45&gt;N44),N44,K45-L45),0)</f>
        <v/>
      </c>
      <c r="N45" s="58">
        <f>N44-M45</f>
        <v/>
      </c>
      <c r="O45" s="58">
        <f>IF(AND(BANCO_OK_2,B45&lt;=MESES),L45+M45+VINC_MES_2,0)</f>
        <v/>
      </c>
      <c r="P45" s="52">
        <f>IF(AND(BANCO_OK_3,B45&lt;=MESES),IF(OR(OF_TIPO_3="Fija",C45&lt;=OF_ANIOS_INI_3),OF_TIN_3,MAX(0,EURIBOR+OF_DIF_3)),0)</f>
        <v/>
      </c>
      <c r="Q45" s="58">
        <f>IF(AND(BANCO_OK_3,B45&lt;=MESES),IF(OR(B45=1,P45&lt;&gt;P44),PMT(P45/1200,MESES-B45+1,-T44),Q44),0)</f>
        <v/>
      </c>
      <c r="R45" s="58">
        <f>T44*P45/1200</f>
        <v/>
      </c>
      <c r="S45" s="58">
        <f>IF(AND(BANCO_OK_3,B45&lt;=MESES),IF(OR(B45=MESES,Q45-R45&gt;T44),T44,Q45-R45),0)</f>
        <v/>
      </c>
      <c r="T45" s="58">
        <f>T44-S45</f>
        <v/>
      </c>
      <c r="U45" s="58">
        <f>IF(AND(BANCO_OK_3,B45&lt;=MESES),R45+S45+VINC_MES_3,0)</f>
        <v/>
      </c>
      <c r="V45" s="52">
        <f>IF(AND(BANCO_OK_4,B45&lt;=MESES),IF(OR(OF_TIPO_4="Fija",C45&lt;=OF_ANIOS_INI_4),OF_TIN_4,MAX(0,EURIBOR+OF_DIF_4)),0)</f>
        <v/>
      </c>
      <c r="W45" s="58">
        <f>IF(AND(BANCO_OK_4,B45&lt;=MESES),IF(OR(B45=1,V45&lt;&gt;V44),PMT(V45/1200,MESES-B45+1,-Z44),W44),0)</f>
        <v/>
      </c>
      <c r="X45" s="58">
        <f>Z44*V45/1200</f>
        <v/>
      </c>
      <c r="Y45" s="58">
        <f>IF(AND(BANCO_OK_4,B45&lt;=MESES),IF(OR(B45=MESES,W45-X45&gt;Z44),Z44,W45-X45),0)</f>
        <v/>
      </c>
      <c r="Z45" s="58">
        <f>Z44-Y45</f>
        <v/>
      </c>
      <c r="AA45" s="58">
        <f>IF(AND(BANCO_OK_4,B45&lt;=MESES),X45+Y45+VINC_MES_4,0)</f>
        <v/>
      </c>
    </row>
    <row r="46">
      <c r="B46" s="56" t="n">
        <v>38</v>
      </c>
      <c r="C46" s="56">
        <f>ROUNDUP(B46/12,0)</f>
        <v/>
      </c>
      <c r="D46" s="52">
        <f>IF(AND(BANCO_OK_1,B46&lt;=MESES),IF(OR(OF_TIPO_1="Fija",C46&lt;=OF_ANIOS_INI_1),OF_TIN_1,MAX(0,EURIBOR+OF_DIF_1)),0)</f>
        <v/>
      </c>
      <c r="E46" s="58">
        <f>IF(AND(BANCO_OK_1,B46&lt;=MESES),IF(OR(B46=1,D46&lt;&gt;D45),PMT(D46/1200,MESES-B46+1,-H45),E45),0)</f>
        <v/>
      </c>
      <c r="F46" s="58">
        <f>H45*D46/1200</f>
        <v/>
      </c>
      <c r="G46" s="58">
        <f>IF(AND(BANCO_OK_1,B46&lt;=MESES),IF(OR(B46=MESES,E46-F46&gt;H45),H45,E46-F46),0)</f>
        <v/>
      </c>
      <c r="H46" s="58">
        <f>H45-G46</f>
        <v/>
      </c>
      <c r="I46" s="58">
        <f>IF(AND(BANCO_OK_1,B46&lt;=MESES),F46+G46+VINC_MES_1,0)</f>
        <v/>
      </c>
      <c r="J46" s="52">
        <f>IF(AND(BANCO_OK_2,B46&lt;=MESES),IF(OR(OF_TIPO_2="Fija",C46&lt;=OF_ANIOS_INI_2),OF_TIN_2,MAX(0,EURIBOR+OF_DIF_2)),0)</f>
        <v/>
      </c>
      <c r="K46" s="58">
        <f>IF(AND(BANCO_OK_2,B46&lt;=MESES),IF(OR(B46=1,J46&lt;&gt;J45),PMT(J46/1200,MESES-B46+1,-N45),K45),0)</f>
        <v/>
      </c>
      <c r="L46" s="58">
        <f>N45*J46/1200</f>
        <v/>
      </c>
      <c r="M46" s="58">
        <f>IF(AND(BANCO_OK_2,B46&lt;=MESES),IF(OR(B46=MESES,K46-L46&gt;N45),N45,K46-L46),0)</f>
        <v/>
      </c>
      <c r="N46" s="58">
        <f>N45-M46</f>
        <v/>
      </c>
      <c r="O46" s="58">
        <f>IF(AND(BANCO_OK_2,B46&lt;=MESES),L46+M46+VINC_MES_2,0)</f>
        <v/>
      </c>
      <c r="P46" s="52">
        <f>IF(AND(BANCO_OK_3,B46&lt;=MESES),IF(OR(OF_TIPO_3="Fija",C46&lt;=OF_ANIOS_INI_3),OF_TIN_3,MAX(0,EURIBOR+OF_DIF_3)),0)</f>
        <v/>
      </c>
      <c r="Q46" s="58">
        <f>IF(AND(BANCO_OK_3,B46&lt;=MESES),IF(OR(B46=1,P46&lt;&gt;P45),PMT(P46/1200,MESES-B46+1,-T45),Q45),0)</f>
        <v/>
      </c>
      <c r="R46" s="58">
        <f>T45*P46/1200</f>
        <v/>
      </c>
      <c r="S46" s="58">
        <f>IF(AND(BANCO_OK_3,B46&lt;=MESES),IF(OR(B46=MESES,Q46-R46&gt;T45),T45,Q46-R46),0)</f>
        <v/>
      </c>
      <c r="T46" s="58">
        <f>T45-S46</f>
        <v/>
      </c>
      <c r="U46" s="58">
        <f>IF(AND(BANCO_OK_3,B46&lt;=MESES),R46+S46+VINC_MES_3,0)</f>
        <v/>
      </c>
      <c r="V46" s="52">
        <f>IF(AND(BANCO_OK_4,B46&lt;=MESES),IF(OR(OF_TIPO_4="Fija",C46&lt;=OF_ANIOS_INI_4),OF_TIN_4,MAX(0,EURIBOR+OF_DIF_4)),0)</f>
        <v/>
      </c>
      <c r="W46" s="58">
        <f>IF(AND(BANCO_OK_4,B46&lt;=MESES),IF(OR(B46=1,V46&lt;&gt;V45),PMT(V46/1200,MESES-B46+1,-Z45),W45),0)</f>
        <v/>
      </c>
      <c r="X46" s="58">
        <f>Z45*V46/1200</f>
        <v/>
      </c>
      <c r="Y46" s="58">
        <f>IF(AND(BANCO_OK_4,B46&lt;=MESES),IF(OR(B46=MESES,W46-X46&gt;Z45),Z45,W46-X46),0)</f>
        <v/>
      </c>
      <c r="Z46" s="58">
        <f>Z45-Y46</f>
        <v/>
      </c>
      <c r="AA46" s="58">
        <f>IF(AND(BANCO_OK_4,B46&lt;=MESES),X46+Y46+VINC_MES_4,0)</f>
        <v/>
      </c>
    </row>
    <row r="47">
      <c r="B47" s="56" t="n">
        <v>39</v>
      </c>
      <c r="C47" s="56">
        <f>ROUNDUP(B47/12,0)</f>
        <v/>
      </c>
      <c r="D47" s="52">
        <f>IF(AND(BANCO_OK_1,B47&lt;=MESES),IF(OR(OF_TIPO_1="Fija",C47&lt;=OF_ANIOS_INI_1),OF_TIN_1,MAX(0,EURIBOR+OF_DIF_1)),0)</f>
        <v/>
      </c>
      <c r="E47" s="58">
        <f>IF(AND(BANCO_OK_1,B47&lt;=MESES),IF(OR(B47=1,D47&lt;&gt;D46),PMT(D47/1200,MESES-B47+1,-H46),E46),0)</f>
        <v/>
      </c>
      <c r="F47" s="58">
        <f>H46*D47/1200</f>
        <v/>
      </c>
      <c r="G47" s="58">
        <f>IF(AND(BANCO_OK_1,B47&lt;=MESES),IF(OR(B47=MESES,E47-F47&gt;H46),H46,E47-F47),0)</f>
        <v/>
      </c>
      <c r="H47" s="58">
        <f>H46-G47</f>
        <v/>
      </c>
      <c r="I47" s="58">
        <f>IF(AND(BANCO_OK_1,B47&lt;=MESES),F47+G47+VINC_MES_1,0)</f>
        <v/>
      </c>
      <c r="J47" s="52">
        <f>IF(AND(BANCO_OK_2,B47&lt;=MESES),IF(OR(OF_TIPO_2="Fija",C47&lt;=OF_ANIOS_INI_2),OF_TIN_2,MAX(0,EURIBOR+OF_DIF_2)),0)</f>
        <v/>
      </c>
      <c r="K47" s="58">
        <f>IF(AND(BANCO_OK_2,B47&lt;=MESES),IF(OR(B47=1,J47&lt;&gt;J46),PMT(J47/1200,MESES-B47+1,-N46),K46),0)</f>
        <v/>
      </c>
      <c r="L47" s="58">
        <f>N46*J47/1200</f>
        <v/>
      </c>
      <c r="M47" s="58">
        <f>IF(AND(BANCO_OK_2,B47&lt;=MESES),IF(OR(B47=MESES,K47-L47&gt;N46),N46,K47-L47),0)</f>
        <v/>
      </c>
      <c r="N47" s="58">
        <f>N46-M47</f>
        <v/>
      </c>
      <c r="O47" s="58">
        <f>IF(AND(BANCO_OK_2,B47&lt;=MESES),L47+M47+VINC_MES_2,0)</f>
        <v/>
      </c>
      <c r="P47" s="52">
        <f>IF(AND(BANCO_OK_3,B47&lt;=MESES),IF(OR(OF_TIPO_3="Fija",C47&lt;=OF_ANIOS_INI_3),OF_TIN_3,MAX(0,EURIBOR+OF_DIF_3)),0)</f>
        <v/>
      </c>
      <c r="Q47" s="58">
        <f>IF(AND(BANCO_OK_3,B47&lt;=MESES),IF(OR(B47=1,P47&lt;&gt;P46),PMT(P47/1200,MESES-B47+1,-T46),Q46),0)</f>
        <v/>
      </c>
      <c r="R47" s="58">
        <f>T46*P47/1200</f>
        <v/>
      </c>
      <c r="S47" s="58">
        <f>IF(AND(BANCO_OK_3,B47&lt;=MESES),IF(OR(B47=MESES,Q47-R47&gt;T46),T46,Q47-R47),0)</f>
        <v/>
      </c>
      <c r="T47" s="58">
        <f>T46-S47</f>
        <v/>
      </c>
      <c r="U47" s="58">
        <f>IF(AND(BANCO_OK_3,B47&lt;=MESES),R47+S47+VINC_MES_3,0)</f>
        <v/>
      </c>
      <c r="V47" s="52">
        <f>IF(AND(BANCO_OK_4,B47&lt;=MESES),IF(OR(OF_TIPO_4="Fija",C47&lt;=OF_ANIOS_INI_4),OF_TIN_4,MAX(0,EURIBOR+OF_DIF_4)),0)</f>
        <v/>
      </c>
      <c r="W47" s="58">
        <f>IF(AND(BANCO_OK_4,B47&lt;=MESES),IF(OR(B47=1,V47&lt;&gt;V46),PMT(V47/1200,MESES-B47+1,-Z46),W46),0)</f>
        <v/>
      </c>
      <c r="X47" s="58">
        <f>Z46*V47/1200</f>
        <v/>
      </c>
      <c r="Y47" s="58">
        <f>IF(AND(BANCO_OK_4,B47&lt;=MESES),IF(OR(B47=MESES,W47-X47&gt;Z46),Z46,W47-X47),0)</f>
        <v/>
      </c>
      <c r="Z47" s="58">
        <f>Z46-Y47</f>
        <v/>
      </c>
      <c r="AA47" s="58">
        <f>IF(AND(BANCO_OK_4,B47&lt;=MESES),X47+Y47+VINC_MES_4,0)</f>
        <v/>
      </c>
    </row>
    <row r="48">
      <c r="B48" s="56" t="n">
        <v>40</v>
      </c>
      <c r="C48" s="56">
        <f>ROUNDUP(B48/12,0)</f>
        <v/>
      </c>
      <c r="D48" s="52">
        <f>IF(AND(BANCO_OK_1,B48&lt;=MESES),IF(OR(OF_TIPO_1="Fija",C48&lt;=OF_ANIOS_INI_1),OF_TIN_1,MAX(0,EURIBOR+OF_DIF_1)),0)</f>
        <v/>
      </c>
      <c r="E48" s="58">
        <f>IF(AND(BANCO_OK_1,B48&lt;=MESES),IF(OR(B48=1,D48&lt;&gt;D47),PMT(D48/1200,MESES-B48+1,-H47),E47),0)</f>
        <v/>
      </c>
      <c r="F48" s="58">
        <f>H47*D48/1200</f>
        <v/>
      </c>
      <c r="G48" s="58">
        <f>IF(AND(BANCO_OK_1,B48&lt;=MESES),IF(OR(B48=MESES,E48-F48&gt;H47),H47,E48-F48),0)</f>
        <v/>
      </c>
      <c r="H48" s="58">
        <f>H47-G48</f>
        <v/>
      </c>
      <c r="I48" s="58">
        <f>IF(AND(BANCO_OK_1,B48&lt;=MESES),F48+G48+VINC_MES_1,0)</f>
        <v/>
      </c>
      <c r="J48" s="52">
        <f>IF(AND(BANCO_OK_2,B48&lt;=MESES),IF(OR(OF_TIPO_2="Fija",C48&lt;=OF_ANIOS_INI_2),OF_TIN_2,MAX(0,EURIBOR+OF_DIF_2)),0)</f>
        <v/>
      </c>
      <c r="K48" s="58">
        <f>IF(AND(BANCO_OK_2,B48&lt;=MESES),IF(OR(B48=1,J48&lt;&gt;J47),PMT(J48/1200,MESES-B48+1,-N47),K47),0)</f>
        <v/>
      </c>
      <c r="L48" s="58">
        <f>N47*J48/1200</f>
        <v/>
      </c>
      <c r="M48" s="58">
        <f>IF(AND(BANCO_OK_2,B48&lt;=MESES),IF(OR(B48=MESES,K48-L48&gt;N47),N47,K48-L48),0)</f>
        <v/>
      </c>
      <c r="N48" s="58">
        <f>N47-M48</f>
        <v/>
      </c>
      <c r="O48" s="58">
        <f>IF(AND(BANCO_OK_2,B48&lt;=MESES),L48+M48+VINC_MES_2,0)</f>
        <v/>
      </c>
      <c r="P48" s="52">
        <f>IF(AND(BANCO_OK_3,B48&lt;=MESES),IF(OR(OF_TIPO_3="Fija",C48&lt;=OF_ANIOS_INI_3),OF_TIN_3,MAX(0,EURIBOR+OF_DIF_3)),0)</f>
        <v/>
      </c>
      <c r="Q48" s="58">
        <f>IF(AND(BANCO_OK_3,B48&lt;=MESES),IF(OR(B48=1,P48&lt;&gt;P47),PMT(P48/1200,MESES-B48+1,-T47),Q47),0)</f>
        <v/>
      </c>
      <c r="R48" s="58">
        <f>T47*P48/1200</f>
        <v/>
      </c>
      <c r="S48" s="58">
        <f>IF(AND(BANCO_OK_3,B48&lt;=MESES),IF(OR(B48=MESES,Q48-R48&gt;T47),T47,Q48-R48),0)</f>
        <v/>
      </c>
      <c r="T48" s="58">
        <f>T47-S48</f>
        <v/>
      </c>
      <c r="U48" s="58">
        <f>IF(AND(BANCO_OK_3,B48&lt;=MESES),R48+S48+VINC_MES_3,0)</f>
        <v/>
      </c>
      <c r="V48" s="52">
        <f>IF(AND(BANCO_OK_4,B48&lt;=MESES),IF(OR(OF_TIPO_4="Fija",C48&lt;=OF_ANIOS_INI_4),OF_TIN_4,MAX(0,EURIBOR+OF_DIF_4)),0)</f>
        <v/>
      </c>
      <c r="W48" s="58">
        <f>IF(AND(BANCO_OK_4,B48&lt;=MESES),IF(OR(B48=1,V48&lt;&gt;V47),PMT(V48/1200,MESES-B48+1,-Z47),W47),0)</f>
        <v/>
      </c>
      <c r="X48" s="58">
        <f>Z47*V48/1200</f>
        <v/>
      </c>
      <c r="Y48" s="58">
        <f>IF(AND(BANCO_OK_4,B48&lt;=MESES),IF(OR(B48=MESES,W48-X48&gt;Z47),Z47,W48-X48),0)</f>
        <v/>
      </c>
      <c r="Z48" s="58">
        <f>Z47-Y48</f>
        <v/>
      </c>
      <c r="AA48" s="58">
        <f>IF(AND(BANCO_OK_4,B48&lt;=MESES),X48+Y48+VINC_MES_4,0)</f>
        <v/>
      </c>
    </row>
    <row r="49">
      <c r="B49" s="56" t="n">
        <v>41</v>
      </c>
      <c r="C49" s="56">
        <f>ROUNDUP(B49/12,0)</f>
        <v/>
      </c>
      <c r="D49" s="52">
        <f>IF(AND(BANCO_OK_1,B49&lt;=MESES),IF(OR(OF_TIPO_1="Fija",C49&lt;=OF_ANIOS_INI_1),OF_TIN_1,MAX(0,EURIBOR+OF_DIF_1)),0)</f>
        <v/>
      </c>
      <c r="E49" s="58">
        <f>IF(AND(BANCO_OK_1,B49&lt;=MESES),IF(OR(B49=1,D49&lt;&gt;D48),PMT(D49/1200,MESES-B49+1,-H48),E48),0)</f>
        <v/>
      </c>
      <c r="F49" s="58">
        <f>H48*D49/1200</f>
        <v/>
      </c>
      <c r="G49" s="58">
        <f>IF(AND(BANCO_OK_1,B49&lt;=MESES),IF(OR(B49=MESES,E49-F49&gt;H48),H48,E49-F49),0)</f>
        <v/>
      </c>
      <c r="H49" s="58">
        <f>H48-G49</f>
        <v/>
      </c>
      <c r="I49" s="58">
        <f>IF(AND(BANCO_OK_1,B49&lt;=MESES),F49+G49+VINC_MES_1,0)</f>
        <v/>
      </c>
      <c r="J49" s="52">
        <f>IF(AND(BANCO_OK_2,B49&lt;=MESES),IF(OR(OF_TIPO_2="Fija",C49&lt;=OF_ANIOS_INI_2),OF_TIN_2,MAX(0,EURIBOR+OF_DIF_2)),0)</f>
        <v/>
      </c>
      <c r="K49" s="58">
        <f>IF(AND(BANCO_OK_2,B49&lt;=MESES),IF(OR(B49=1,J49&lt;&gt;J48),PMT(J49/1200,MESES-B49+1,-N48),K48),0)</f>
        <v/>
      </c>
      <c r="L49" s="58">
        <f>N48*J49/1200</f>
        <v/>
      </c>
      <c r="M49" s="58">
        <f>IF(AND(BANCO_OK_2,B49&lt;=MESES),IF(OR(B49=MESES,K49-L49&gt;N48),N48,K49-L49),0)</f>
        <v/>
      </c>
      <c r="N49" s="58">
        <f>N48-M49</f>
        <v/>
      </c>
      <c r="O49" s="58">
        <f>IF(AND(BANCO_OK_2,B49&lt;=MESES),L49+M49+VINC_MES_2,0)</f>
        <v/>
      </c>
      <c r="P49" s="52">
        <f>IF(AND(BANCO_OK_3,B49&lt;=MESES),IF(OR(OF_TIPO_3="Fija",C49&lt;=OF_ANIOS_INI_3),OF_TIN_3,MAX(0,EURIBOR+OF_DIF_3)),0)</f>
        <v/>
      </c>
      <c r="Q49" s="58">
        <f>IF(AND(BANCO_OK_3,B49&lt;=MESES),IF(OR(B49=1,P49&lt;&gt;P48),PMT(P49/1200,MESES-B49+1,-T48),Q48),0)</f>
        <v/>
      </c>
      <c r="R49" s="58">
        <f>T48*P49/1200</f>
        <v/>
      </c>
      <c r="S49" s="58">
        <f>IF(AND(BANCO_OK_3,B49&lt;=MESES),IF(OR(B49=MESES,Q49-R49&gt;T48),T48,Q49-R49),0)</f>
        <v/>
      </c>
      <c r="T49" s="58">
        <f>T48-S49</f>
        <v/>
      </c>
      <c r="U49" s="58">
        <f>IF(AND(BANCO_OK_3,B49&lt;=MESES),R49+S49+VINC_MES_3,0)</f>
        <v/>
      </c>
      <c r="V49" s="52">
        <f>IF(AND(BANCO_OK_4,B49&lt;=MESES),IF(OR(OF_TIPO_4="Fija",C49&lt;=OF_ANIOS_INI_4),OF_TIN_4,MAX(0,EURIBOR+OF_DIF_4)),0)</f>
        <v/>
      </c>
      <c r="W49" s="58">
        <f>IF(AND(BANCO_OK_4,B49&lt;=MESES),IF(OR(B49=1,V49&lt;&gt;V48),PMT(V49/1200,MESES-B49+1,-Z48),W48),0)</f>
        <v/>
      </c>
      <c r="X49" s="58">
        <f>Z48*V49/1200</f>
        <v/>
      </c>
      <c r="Y49" s="58">
        <f>IF(AND(BANCO_OK_4,B49&lt;=MESES),IF(OR(B49=MESES,W49-X49&gt;Z48),Z48,W49-X49),0)</f>
        <v/>
      </c>
      <c r="Z49" s="58">
        <f>Z48-Y49</f>
        <v/>
      </c>
      <c r="AA49" s="58">
        <f>IF(AND(BANCO_OK_4,B49&lt;=MESES),X49+Y49+VINC_MES_4,0)</f>
        <v/>
      </c>
    </row>
    <row r="50">
      <c r="B50" s="56" t="n">
        <v>42</v>
      </c>
      <c r="C50" s="56">
        <f>ROUNDUP(B50/12,0)</f>
        <v/>
      </c>
      <c r="D50" s="52">
        <f>IF(AND(BANCO_OK_1,B50&lt;=MESES),IF(OR(OF_TIPO_1="Fija",C50&lt;=OF_ANIOS_INI_1),OF_TIN_1,MAX(0,EURIBOR+OF_DIF_1)),0)</f>
        <v/>
      </c>
      <c r="E50" s="58">
        <f>IF(AND(BANCO_OK_1,B50&lt;=MESES),IF(OR(B50=1,D50&lt;&gt;D49),PMT(D50/1200,MESES-B50+1,-H49),E49),0)</f>
        <v/>
      </c>
      <c r="F50" s="58">
        <f>H49*D50/1200</f>
        <v/>
      </c>
      <c r="G50" s="58">
        <f>IF(AND(BANCO_OK_1,B50&lt;=MESES),IF(OR(B50=MESES,E50-F50&gt;H49),H49,E50-F50),0)</f>
        <v/>
      </c>
      <c r="H50" s="58">
        <f>H49-G50</f>
        <v/>
      </c>
      <c r="I50" s="58">
        <f>IF(AND(BANCO_OK_1,B50&lt;=MESES),F50+G50+VINC_MES_1,0)</f>
        <v/>
      </c>
      <c r="J50" s="52">
        <f>IF(AND(BANCO_OK_2,B50&lt;=MESES),IF(OR(OF_TIPO_2="Fija",C50&lt;=OF_ANIOS_INI_2),OF_TIN_2,MAX(0,EURIBOR+OF_DIF_2)),0)</f>
        <v/>
      </c>
      <c r="K50" s="58">
        <f>IF(AND(BANCO_OK_2,B50&lt;=MESES),IF(OR(B50=1,J50&lt;&gt;J49),PMT(J50/1200,MESES-B50+1,-N49),K49),0)</f>
        <v/>
      </c>
      <c r="L50" s="58">
        <f>N49*J50/1200</f>
        <v/>
      </c>
      <c r="M50" s="58">
        <f>IF(AND(BANCO_OK_2,B50&lt;=MESES),IF(OR(B50=MESES,K50-L50&gt;N49),N49,K50-L50),0)</f>
        <v/>
      </c>
      <c r="N50" s="58">
        <f>N49-M50</f>
        <v/>
      </c>
      <c r="O50" s="58">
        <f>IF(AND(BANCO_OK_2,B50&lt;=MESES),L50+M50+VINC_MES_2,0)</f>
        <v/>
      </c>
      <c r="P50" s="52">
        <f>IF(AND(BANCO_OK_3,B50&lt;=MESES),IF(OR(OF_TIPO_3="Fija",C50&lt;=OF_ANIOS_INI_3),OF_TIN_3,MAX(0,EURIBOR+OF_DIF_3)),0)</f>
        <v/>
      </c>
      <c r="Q50" s="58">
        <f>IF(AND(BANCO_OK_3,B50&lt;=MESES),IF(OR(B50=1,P50&lt;&gt;P49),PMT(P50/1200,MESES-B50+1,-T49),Q49),0)</f>
        <v/>
      </c>
      <c r="R50" s="58">
        <f>T49*P50/1200</f>
        <v/>
      </c>
      <c r="S50" s="58">
        <f>IF(AND(BANCO_OK_3,B50&lt;=MESES),IF(OR(B50=MESES,Q50-R50&gt;T49),T49,Q50-R50),0)</f>
        <v/>
      </c>
      <c r="T50" s="58">
        <f>T49-S50</f>
        <v/>
      </c>
      <c r="U50" s="58">
        <f>IF(AND(BANCO_OK_3,B50&lt;=MESES),R50+S50+VINC_MES_3,0)</f>
        <v/>
      </c>
      <c r="V50" s="52">
        <f>IF(AND(BANCO_OK_4,B50&lt;=MESES),IF(OR(OF_TIPO_4="Fija",C50&lt;=OF_ANIOS_INI_4),OF_TIN_4,MAX(0,EURIBOR+OF_DIF_4)),0)</f>
        <v/>
      </c>
      <c r="W50" s="58">
        <f>IF(AND(BANCO_OK_4,B50&lt;=MESES),IF(OR(B50=1,V50&lt;&gt;V49),PMT(V50/1200,MESES-B50+1,-Z49),W49),0)</f>
        <v/>
      </c>
      <c r="X50" s="58">
        <f>Z49*V50/1200</f>
        <v/>
      </c>
      <c r="Y50" s="58">
        <f>IF(AND(BANCO_OK_4,B50&lt;=MESES),IF(OR(B50=MESES,W50-X50&gt;Z49),Z49,W50-X50),0)</f>
        <v/>
      </c>
      <c r="Z50" s="58">
        <f>Z49-Y50</f>
        <v/>
      </c>
      <c r="AA50" s="58">
        <f>IF(AND(BANCO_OK_4,B50&lt;=MESES),X50+Y50+VINC_MES_4,0)</f>
        <v/>
      </c>
    </row>
    <row r="51">
      <c r="B51" s="56" t="n">
        <v>43</v>
      </c>
      <c r="C51" s="56">
        <f>ROUNDUP(B51/12,0)</f>
        <v/>
      </c>
      <c r="D51" s="52">
        <f>IF(AND(BANCO_OK_1,B51&lt;=MESES),IF(OR(OF_TIPO_1="Fija",C51&lt;=OF_ANIOS_INI_1),OF_TIN_1,MAX(0,EURIBOR+OF_DIF_1)),0)</f>
        <v/>
      </c>
      <c r="E51" s="58">
        <f>IF(AND(BANCO_OK_1,B51&lt;=MESES),IF(OR(B51=1,D51&lt;&gt;D50),PMT(D51/1200,MESES-B51+1,-H50),E50),0)</f>
        <v/>
      </c>
      <c r="F51" s="58">
        <f>H50*D51/1200</f>
        <v/>
      </c>
      <c r="G51" s="58">
        <f>IF(AND(BANCO_OK_1,B51&lt;=MESES),IF(OR(B51=MESES,E51-F51&gt;H50),H50,E51-F51),0)</f>
        <v/>
      </c>
      <c r="H51" s="58">
        <f>H50-G51</f>
        <v/>
      </c>
      <c r="I51" s="58">
        <f>IF(AND(BANCO_OK_1,B51&lt;=MESES),F51+G51+VINC_MES_1,0)</f>
        <v/>
      </c>
      <c r="J51" s="52">
        <f>IF(AND(BANCO_OK_2,B51&lt;=MESES),IF(OR(OF_TIPO_2="Fija",C51&lt;=OF_ANIOS_INI_2),OF_TIN_2,MAX(0,EURIBOR+OF_DIF_2)),0)</f>
        <v/>
      </c>
      <c r="K51" s="58">
        <f>IF(AND(BANCO_OK_2,B51&lt;=MESES),IF(OR(B51=1,J51&lt;&gt;J50),PMT(J51/1200,MESES-B51+1,-N50),K50),0)</f>
        <v/>
      </c>
      <c r="L51" s="58">
        <f>N50*J51/1200</f>
        <v/>
      </c>
      <c r="M51" s="58">
        <f>IF(AND(BANCO_OK_2,B51&lt;=MESES),IF(OR(B51=MESES,K51-L51&gt;N50),N50,K51-L51),0)</f>
        <v/>
      </c>
      <c r="N51" s="58">
        <f>N50-M51</f>
        <v/>
      </c>
      <c r="O51" s="58">
        <f>IF(AND(BANCO_OK_2,B51&lt;=MESES),L51+M51+VINC_MES_2,0)</f>
        <v/>
      </c>
      <c r="P51" s="52">
        <f>IF(AND(BANCO_OK_3,B51&lt;=MESES),IF(OR(OF_TIPO_3="Fija",C51&lt;=OF_ANIOS_INI_3),OF_TIN_3,MAX(0,EURIBOR+OF_DIF_3)),0)</f>
        <v/>
      </c>
      <c r="Q51" s="58">
        <f>IF(AND(BANCO_OK_3,B51&lt;=MESES),IF(OR(B51=1,P51&lt;&gt;P50),PMT(P51/1200,MESES-B51+1,-T50),Q50),0)</f>
        <v/>
      </c>
      <c r="R51" s="58">
        <f>T50*P51/1200</f>
        <v/>
      </c>
      <c r="S51" s="58">
        <f>IF(AND(BANCO_OK_3,B51&lt;=MESES),IF(OR(B51=MESES,Q51-R51&gt;T50),T50,Q51-R51),0)</f>
        <v/>
      </c>
      <c r="T51" s="58">
        <f>T50-S51</f>
        <v/>
      </c>
      <c r="U51" s="58">
        <f>IF(AND(BANCO_OK_3,B51&lt;=MESES),R51+S51+VINC_MES_3,0)</f>
        <v/>
      </c>
      <c r="V51" s="52">
        <f>IF(AND(BANCO_OK_4,B51&lt;=MESES),IF(OR(OF_TIPO_4="Fija",C51&lt;=OF_ANIOS_INI_4),OF_TIN_4,MAX(0,EURIBOR+OF_DIF_4)),0)</f>
        <v/>
      </c>
      <c r="W51" s="58">
        <f>IF(AND(BANCO_OK_4,B51&lt;=MESES),IF(OR(B51=1,V51&lt;&gt;V50),PMT(V51/1200,MESES-B51+1,-Z50),W50),0)</f>
        <v/>
      </c>
      <c r="X51" s="58">
        <f>Z50*V51/1200</f>
        <v/>
      </c>
      <c r="Y51" s="58">
        <f>IF(AND(BANCO_OK_4,B51&lt;=MESES),IF(OR(B51=MESES,W51-X51&gt;Z50),Z50,W51-X51),0)</f>
        <v/>
      </c>
      <c r="Z51" s="58">
        <f>Z50-Y51</f>
        <v/>
      </c>
      <c r="AA51" s="58">
        <f>IF(AND(BANCO_OK_4,B51&lt;=MESES),X51+Y51+VINC_MES_4,0)</f>
        <v/>
      </c>
    </row>
    <row r="52">
      <c r="B52" s="56" t="n">
        <v>44</v>
      </c>
      <c r="C52" s="56">
        <f>ROUNDUP(B52/12,0)</f>
        <v/>
      </c>
      <c r="D52" s="52">
        <f>IF(AND(BANCO_OK_1,B52&lt;=MESES),IF(OR(OF_TIPO_1="Fija",C52&lt;=OF_ANIOS_INI_1),OF_TIN_1,MAX(0,EURIBOR+OF_DIF_1)),0)</f>
        <v/>
      </c>
      <c r="E52" s="58">
        <f>IF(AND(BANCO_OK_1,B52&lt;=MESES),IF(OR(B52=1,D52&lt;&gt;D51),PMT(D52/1200,MESES-B52+1,-H51),E51),0)</f>
        <v/>
      </c>
      <c r="F52" s="58">
        <f>H51*D52/1200</f>
        <v/>
      </c>
      <c r="G52" s="58">
        <f>IF(AND(BANCO_OK_1,B52&lt;=MESES),IF(OR(B52=MESES,E52-F52&gt;H51),H51,E52-F52),0)</f>
        <v/>
      </c>
      <c r="H52" s="58">
        <f>H51-G52</f>
        <v/>
      </c>
      <c r="I52" s="58">
        <f>IF(AND(BANCO_OK_1,B52&lt;=MESES),F52+G52+VINC_MES_1,0)</f>
        <v/>
      </c>
      <c r="J52" s="52">
        <f>IF(AND(BANCO_OK_2,B52&lt;=MESES),IF(OR(OF_TIPO_2="Fija",C52&lt;=OF_ANIOS_INI_2),OF_TIN_2,MAX(0,EURIBOR+OF_DIF_2)),0)</f>
        <v/>
      </c>
      <c r="K52" s="58">
        <f>IF(AND(BANCO_OK_2,B52&lt;=MESES),IF(OR(B52=1,J52&lt;&gt;J51),PMT(J52/1200,MESES-B52+1,-N51),K51),0)</f>
        <v/>
      </c>
      <c r="L52" s="58">
        <f>N51*J52/1200</f>
        <v/>
      </c>
      <c r="M52" s="58">
        <f>IF(AND(BANCO_OK_2,B52&lt;=MESES),IF(OR(B52=MESES,K52-L52&gt;N51),N51,K52-L52),0)</f>
        <v/>
      </c>
      <c r="N52" s="58">
        <f>N51-M52</f>
        <v/>
      </c>
      <c r="O52" s="58">
        <f>IF(AND(BANCO_OK_2,B52&lt;=MESES),L52+M52+VINC_MES_2,0)</f>
        <v/>
      </c>
      <c r="P52" s="52">
        <f>IF(AND(BANCO_OK_3,B52&lt;=MESES),IF(OR(OF_TIPO_3="Fija",C52&lt;=OF_ANIOS_INI_3),OF_TIN_3,MAX(0,EURIBOR+OF_DIF_3)),0)</f>
        <v/>
      </c>
      <c r="Q52" s="58">
        <f>IF(AND(BANCO_OK_3,B52&lt;=MESES),IF(OR(B52=1,P52&lt;&gt;P51),PMT(P52/1200,MESES-B52+1,-T51),Q51),0)</f>
        <v/>
      </c>
      <c r="R52" s="58">
        <f>T51*P52/1200</f>
        <v/>
      </c>
      <c r="S52" s="58">
        <f>IF(AND(BANCO_OK_3,B52&lt;=MESES),IF(OR(B52=MESES,Q52-R52&gt;T51),T51,Q52-R52),0)</f>
        <v/>
      </c>
      <c r="T52" s="58">
        <f>T51-S52</f>
        <v/>
      </c>
      <c r="U52" s="58">
        <f>IF(AND(BANCO_OK_3,B52&lt;=MESES),R52+S52+VINC_MES_3,0)</f>
        <v/>
      </c>
      <c r="V52" s="52">
        <f>IF(AND(BANCO_OK_4,B52&lt;=MESES),IF(OR(OF_TIPO_4="Fija",C52&lt;=OF_ANIOS_INI_4),OF_TIN_4,MAX(0,EURIBOR+OF_DIF_4)),0)</f>
        <v/>
      </c>
      <c r="W52" s="58">
        <f>IF(AND(BANCO_OK_4,B52&lt;=MESES),IF(OR(B52=1,V52&lt;&gt;V51),PMT(V52/1200,MESES-B52+1,-Z51),W51),0)</f>
        <v/>
      </c>
      <c r="X52" s="58">
        <f>Z51*V52/1200</f>
        <v/>
      </c>
      <c r="Y52" s="58">
        <f>IF(AND(BANCO_OK_4,B52&lt;=MESES),IF(OR(B52=MESES,W52-X52&gt;Z51),Z51,W52-X52),0)</f>
        <v/>
      </c>
      <c r="Z52" s="58">
        <f>Z51-Y52</f>
        <v/>
      </c>
      <c r="AA52" s="58">
        <f>IF(AND(BANCO_OK_4,B52&lt;=MESES),X52+Y52+VINC_MES_4,0)</f>
        <v/>
      </c>
    </row>
    <row r="53">
      <c r="B53" s="56" t="n">
        <v>45</v>
      </c>
      <c r="C53" s="56">
        <f>ROUNDUP(B53/12,0)</f>
        <v/>
      </c>
      <c r="D53" s="52">
        <f>IF(AND(BANCO_OK_1,B53&lt;=MESES),IF(OR(OF_TIPO_1="Fija",C53&lt;=OF_ANIOS_INI_1),OF_TIN_1,MAX(0,EURIBOR+OF_DIF_1)),0)</f>
        <v/>
      </c>
      <c r="E53" s="58">
        <f>IF(AND(BANCO_OK_1,B53&lt;=MESES),IF(OR(B53=1,D53&lt;&gt;D52),PMT(D53/1200,MESES-B53+1,-H52),E52),0)</f>
        <v/>
      </c>
      <c r="F53" s="58">
        <f>H52*D53/1200</f>
        <v/>
      </c>
      <c r="G53" s="58">
        <f>IF(AND(BANCO_OK_1,B53&lt;=MESES),IF(OR(B53=MESES,E53-F53&gt;H52),H52,E53-F53),0)</f>
        <v/>
      </c>
      <c r="H53" s="58">
        <f>H52-G53</f>
        <v/>
      </c>
      <c r="I53" s="58">
        <f>IF(AND(BANCO_OK_1,B53&lt;=MESES),F53+G53+VINC_MES_1,0)</f>
        <v/>
      </c>
      <c r="J53" s="52">
        <f>IF(AND(BANCO_OK_2,B53&lt;=MESES),IF(OR(OF_TIPO_2="Fija",C53&lt;=OF_ANIOS_INI_2),OF_TIN_2,MAX(0,EURIBOR+OF_DIF_2)),0)</f>
        <v/>
      </c>
      <c r="K53" s="58">
        <f>IF(AND(BANCO_OK_2,B53&lt;=MESES),IF(OR(B53=1,J53&lt;&gt;J52),PMT(J53/1200,MESES-B53+1,-N52),K52),0)</f>
        <v/>
      </c>
      <c r="L53" s="58">
        <f>N52*J53/1200</f>
        <v/>
      </c>
      <c r="M53" s="58">
        <f>IF(AND(BANCO_OK_2,B53&lt;=MESES),IF(OR(B53=MESES,K53-L53&gt;N52),N52,K53-L53),0)</f>
        <v/>
      </c>
      <c r="N53" s="58">
        <f>N52-M53</f>
        <v/>
      </c>
      <c r="O53" s="58">
        <f>IF(AND(BANCO_OK_2,B53&lt;=MESES),L53+M53+VINC_MES_2,0)</f>
        <v/>
      </c>
      <c r="P53" s="52">
        <f>IF(AND(BANCO_OK_3,B53&lt;=MESES),IF(OR(OF_TIPO_3="Fija",C53&lt;=OF_ANIOS_INI_3),OF_TIN_3,MAX(0,EURIBOR+OF_DIF_3)),0)</f>
        <v/>
      </c>
      <c r="Q53" s="58">
        <f>IF(AND(BANCO_OK_3,B53&lt;=MESES),IF(OR(B53=1,P53&lt;&gt;P52),PMT(P53/1200,MESES-B53+1,-T52),Q52),0)</f>
        <v/>
      </c>
      <c r="R53" s="58">
        <f>T52*P53/1200</f>
        <v/>
      </c>
      <c r="S53" s="58">
        <f>IF(AND(BANCO_OK_3,B53&lt;=MESES),IF(OR(B53=MESES,Q53-R53&gt;T52),T52,Q53-R53),0)</f>
        <v/>
      </c>
      <c r="T53" s="58">
        <f>T52-S53</f>
        <v/>
      </c>
      <c r="U53" s="58">
        <f>IF(AND(BANCO_OK_3,B53&lt;=MESES),R53+S53+VINC_MES_3,0)</f>
        <v/>
      </c>
      <c r="V53" s="52">
        <f>IF(AND(BANCO_OK_4,B53&lt;=MESES),IF(OR(OF_TIPO_4="Fija",C53&lt;=OF_ANIOS_INI_4),OF_TIN_4,MAX(0,EURIBOR+OF_DIF_4)),0)</f>
        <v/>
      </c>
      <c r="W53" s="58">
        <f>IF(AND(BANCO_OK_4,B53&lt;=MESES),IF(OR(B53=1,V53&lt;&gt;V52),PMT(V53/1200,MESES-B53+1,-Z52),W52),0)</f>
        <v/>
      </c>
      <c r="X53" s="58">
        <f>Z52*V53/1200</f>
        <v/>
      </c>
      <c r="Y53" s="58">
        <f>IF(AND(BANCO_OK_4,B53&lt;=MESES),IF(OR(B53=MESES,W53-X53&gt;Z52),Z52,W53-X53),0)</f>
        <v/>
      </c>
      <c r="Z53" s="58">
        <f>Z52-Y53</f>
        <v/>
      </c>
      <c r="AA53" s="58">
        <f>IF(AND(BANCO_OK_4,B53&lt;=MESES),X53+Y53+VINC_MES_4,0)</f>
        <v/>
      </c>
    </row>
    <row r="54">
      <c r="B54" s="56" t="n">
        <v>46</v>
      </c>
      <c r="C54" s="56">
        <f>ROUNDUP(B54/12,0)</f>
        <v/>
      </c>
      <c r="D54" s="52">
        <f>IF(AND(BANCO_OK_1,B54&lt;=MESES),IF(OR(OF_TIPO_1="Fija",C54&lt;=OF_ANIOS_INI_1),OF_TIN_1,MAX(0,EURIBOR+OF_DIF_1)),0)</f>
        <v/>
      </c>
      <c r="E54" s="58">
        <f>IF(AND(BANCO_OK_1,B54&lt;=MESES),IF(OR(B54=1,D54&lt;&gt;D53),PMT(D54/1200,MESES-B54+1,-H53),E53),0)</f>
        <v/>
      </c>
      <c r="F54" s="58">
        <f>H53*D54/1200</f>
        <v/>
      </c>
      <c r="G54" s="58">
        <f>IF(AND(BANCO_OK_1,B54&lt;=MESES),IF(OR(B54=MESES,E54-F54&gt;H53),H53,E54-F54),0)</f>
        <v/>
      </c>
      <c r="H54" s="58">
        <f>H53-G54</f>
        <v/>
      </c>
      <c r="I54" s="58">
        <f>IF(AND(BANCO_OK_1,B54&lt;=MESES),F54+G54+VINC_MES_1,0)</f>
        <v/>
      </c>
      <c r="J54" s="52">
        <f>IF(AND(BANCO_OK_2,B54&lt;=MESES),IF(OR(OF_TIPO_2="Fija",C54&lt;=OF_ANIOS_INI_2),OF_TIN_2,MAX(0,EURIBOR+OF_DIF_2)),0)</f>
        <v/>
      </c>
      <c r="K54" s="58">
        <f>IF(AND(BANCO_OK_2,B54&lt;=MESES),IF(OR(B54=1,J54&lt;&gt;J53),PMT(J54/1200,MESES-B54+1,-N53),K53),0)</f>
        <v/>
      </c>
      <c r="L54" s="58">
        <f>N53*J54/1200</f>
        <v/>
      </c>
      <c r="M54" s="58">
        <f>IF(AND(BANCO_OK_2,B54&lt;=MESES),IF(OR(B54=MESES,K54-L54&gt;N53),N53,K54-L54),0)</f>
        <v/>
      </c>
      <c r="N54" s="58">
        <f>N53-M54</f>
        <v/>
      </c>
      <c r="O54" s="58">
        <f>IF(AND(BANCO_OK_2,B54&lt;=MESES),L54+M54+VINC_MES_2,0)</f>
        <v/>
      </c>
      <c r="P54" s="52">
        <f>IF(AND(BANCO_OK_3,B54&lt;=MESES),IF(OR(OF_TIPO_3="Fija",C54&lt;=OF_ANIOS_INI_3),OF_TIN_3,MAX(0,EURIBOR+OF_DIF_3)),0)</f>
        <v/>
      </c>
      <c r="Q54" s="58">
        <f>IF(AND(BANCO_OK_3,B54&lt;=MESES),IF(OR(B54=1,P54&lt;&gt;P53),PMT(P54/1200,MESES-B54+1,-T53),Q53),0)</f>
        <v/>
      </c>
      <c r="R54" s="58">
        <f>T53*P54/1200</f>
        <v/>
      </c>
      <c r="S54" s="58">
        <f>IF(AND(BANCO_OK_3,B54&lt;=MESES),IF(OR(B54=MESES,Q54-R54&gt;T53),T53,Q54-R54),0)</f>
        <v/>
      </c>
      <c r="T54" s="58">
        <f>T53-S54</f>
        <v/>
      </c>
      <c r="U54" s="58">
        <f>IF(AND(BANCO_OK_3,B54&lt;=MESES),R54+S54+VINC_MES_3,0)</f>
        <v/>
      </c>
      <c r="V54" s="52">
        <f>IF(AND(BANCO_OK_4,B54&lt;=MESES),IF(OR(OF_TIPO_4="Fija",C54&lt;=OF_ANIOS_INI_4),OF_TIN_4,MAX(0,EURIBOR+OF_DIF_4)),0)</f>
        <v/>
      </c>
      <c r="W54" s="58">
        <f>IF(AND(BANCO_OK_4,B54&lt;=MESES),IF(OR(B54=1,V54&lt;&gt;V53),PMT(V54/1200,MESES-B54+1,-Z53),W53),0)</f>
        <v/>
      </c>
      <c r="X54" s="58">
        <f>Z53*V54/1200</f>
        <v/>
      </c>
      <c r="Y54" s="58">
        <f>IF(AND(BANCO_OK_4,B54&lt;=MESES),IF(OR(B54=MESES,W54-X54&gt;Z53),Z53,W54-X54),0)</f>
        <v/>
      </c>
      <c r="Z54" s="58">
        <f>Z53-Y54</f>
        <v/>
      </c>
      <c r="AA54" s="58">
        <f>IF(AND(BANCO_OK_4,B54&lt;=MESES),X54+Y54+VINC_MES_4,0)</f>
        <v/>
      </c>
    </row>
    <row r="55">
      <c r="B55" s="56" t="n">
        <v>47</v>
      </c>
      <c r="C55" s="56">
        <f>ROUNDUP(B55/12,0)</f>
        <v/>
      </c>
      <c r="D55" s="52">
        <f>IF(AND(BANCO_OK_1,B55&lt;=MESES),IF(OR(OF_TIPO_1="Fija",C55&lt;=OF_ANIOS_INI_1),OF_TIN_1,MAX(0,EURIBOR+OF_DIF_1)),0)</f>
        <v/>
      </c>
      <c r="E55" s="58">
        <f>IF(AND(BANCO_OK_1,B55&lt;=MESES),IF(OR(B55=1,D55&lt;&gt;D54),PMT(D55/1200,MESES-B55+1,-H54),E54),0)</f>
        <v/>
      </c>
      <c r="F55" s="58">
        <f>H54*D55/1200</f>
        <v/>
      </c>
      <c r="G55" s="58">
        <f>IF(AND(BANCO_OK_1,B55&lt;=MESES),IF(OR(B55=MESES,E55-F55&gt;H54),H54,E55-F55),0)</f>
        <v/>
      </c>
      <c r="H55" s="58">
        <f>H54-G55</f>
        <v/>
      </c>
      <c r="I55" s="58">
        <f>IF(AND(BANCO_OK_1,B55&lt;=MESES),F55+G55+VINC_MES_1,0)</f>
        <v/>
      </c>
      <c r="J55" s="52">
        <f>IF(AND(BANCO_OK_2,B55&lt;=MESES),IF(OR(OF_TIPO_2="Fija",C55&lt;=OF_ANIOS_INI_2),OF_TIN_2,MAX(0,EURIBOR+OF_DIF_2)),0)</f>
        <v/>
      </c>
      <c r="K55" s="58">
        <f>IF(AND(BANCO_OK_2,B55&lt;=MESES),IF(OR(B55=1,J55&lt;&gt;J54),PMT(J55/1200,MESES-B55+1,-N54),K54),0)</f>
        <v/>
      </c>
      <c r="L55" s="58">
        <f>N54*J55/1200</f>
        <v/>
      </c>
      <c r="M55" s="58">
        <f>IF(AND(BANCO_OK_2,B55&lt;=MESES),IF(OR(B55=MESES,K55-L55&gt;N54),N54,K55-L55),0)</f>
        <v/>
      </c>
      <c r="N55" s="58">
        <f>N54-M55</f>
        <v/>
      </c>
      <c r="O55" s="58">
        <f>IF(AND(BANCO_OK_2,B55&lt;=MESES),L55+M55+VINC_MES_2,0)</f>
        <v/>
      </c>
      <c r="P55" s="52">
        <f>IF(AND(BANCO_OK_3,B55&lt;=MESES),IF(OR(OF_TIPO_3="Fija",C55&lt;=OF_ANIOS_INI_3),OF_TIN_3,MAX(0,EURIBOR+OF_DIF_3)),0)</f>
        <v/>
      </c>
      <c r="Q55" s="58">
        <f>IF(AND(BANCO_OK_3,B55&lt;=MESES),IF(OR(B55=1,P55&lt;&gt;P54),PMT(P55/1200,MESES-B55+1,-T54),Q54),0)</f>
        <v/>
      </c>
      <c r="R55" s="58">
        <f>T54*P55/1200</f>
        <v/>
      </c>
      <c r="S55" s="58">
        <f>IF(AND(BANCO_OK_3,B55&lt;=MESES),IF(OR(B55=MESES,Q55-R55&gt;T54),T54,Q55-R55),0)</f>
        <v/>
      </c>
      <c r="T55" s="58">
        <f>T54-S55</f>
        <v/>
      </c>
      <c r="U55" s="58">
        <f>IF(AND(BANCO_OK_3,B55&lt;=MESES),R55+S55+VINC_MES_3,0)</f>
        <v/>
      </c>
      <c r="V55" s="52">
        <f>IF(AND(BANCO_OK_4,B55&lt;=MESES),IF(OR(OF_TIPO_4="Fija",C55&lt;=OF_ANIOS_INI_4),OF_TIN_4,MAX(0,EURIBOR+OF_DIF_4)),0)</f>
        <v/>
      </c>
      <c r="W55" s="58">
        <f>IF(AND(BANCO_OK_4,B55&lt;=MESES),IF(OR(B55=1,V55&lt;&gt;V54),PMT(V55/1200,MESES-B55+1,-Z54),W54),0)</f>
        <v/>
      </c>
      <c r="X55" s="58">
        <f>Z54*V55/1200</f>
        <v/>
      </c>
      <c r="Y55" s="58">
        <f>IF(AND(BANCO_OK_4,B55&lt;=MESES),IF(OR(B55=MESES,W55-X55&gt;Z54),Z54,W55-X55),0)</f>
        <v/>
      </c>
      <c r="Z55" s="58">
        <f>Z54-Y55</f>
        <v/>
      </c>
      <c r="AA55" s="58">
        <f>IF(AND(BANCO_OK_4,B55&lt;=MESES),X55+Y55+VINC_MES_4,0)</f>
        <v/>
      </c>
    </row>
    <row r="56">
      <c r="B56" s="56" t="n">
        <v>48</v>
      </c>
      <c r="C56" s="56">
        <f>ROUNDUP(B56/12,0)</f>
        <v/>
      </c>
      <c r="D56" s="52">
        <f>IF(AND(BANCO_OK_1,B56&lt;=MESES),IF(OR(OF_TIPO_1="Fija",C56&lt;=OF_ANIOS_INI_1),OF_TIN_1,MAX(0,EURIBOR+OF_DIF_1)),0)</f>
        <v/>
      </c>
      <c r="E56" s="58">
        <f>IF(AND(BANCO_OK_1,B56&lt;=MESES),IF(OR(B56=1,D56&lt;&gt;D55),PMT(D56/1200,MESES-B56+1,-H55),E55),0)</f>
        <v/>
      </c>
      <c r="F56" s="58">
        <f>H55*D56/1200</f>
        <v/>
      </c>
      <c r="G56" s="58">
        <f>IF(AND(BANCO_OK_1,B56&lt;=MESES),IF(OR(B56=MESES,E56-F56&gt;H55),H55,E56-F56),0)</f>
        <v/>
      </c>
      <c r="H56" s="58">
        <f>H55-G56</f>
        <v/>
      </c>
      <c r="I56" s="58">
        <f>IF(AND(BANCO_OK_1,B56&lt;=MESES),F56+G56+VINC_MES_1,0)</f>
        <v/>
      </c>
      <c r="J56" s="52">
        <f>IF(AND(BANCO_OK_2,B56&lt;=MESES),IF(OR(OF_TIPO_2="Fija",C56&lt;=OF_ANIOS_INI_2),OF_TIN_2,MAX(0,EURIBOR+OF_DIF_2)),0)</f>
        <v/>
      </c>
      <c r="K56" s="58">
        <f>IF(AND(BANCO_OK_2,B56&lt;=MESES),IF(OR(B56=1,J56&lt;&gt;J55),PMT(J56/1200,MESES-B56+1,-N55),K55),0)</f>
        <v/>
      </c>
      <c r="L56" s="58">
        <f>N55*J56/1200</f>
        <v/>
      </c>
      <c r="M56" s="58">
        <f>IF(AND(BANCO_OK_2,B56&lt;=MESES),IF(OR(B56=MESES,K56-L56&gt;N55),N55,K56-L56),0)</f>
        <v/>
      </c>
      <c r="N56" s="58">
        <f>N55-M56</f>
        <v/>
      </c>
      <c r="O56" s="58">
        <f>IF(AND(BANCO_OK_2,B56&lt;=MESES),L56+M56+VINC_MES_2,0)</f>
        <v/>
      </c>
      <c r="P56" s="52">
        <f>IF(AND(BANCO_OK_3,B56&lt;=MESES),IF(OR(OF_TIPO_3="Fija",C56&lt;=OF_ANIOS_INI_3),OF_TIN_3,MAX(0,EURIBOR+OF_DIF_3)),0)</f>
        <v/>
      </c>
      <c r="Q56" s="58">
        <f>IF(AND(BANCO_OK_3,B56&lt;=MESES),IF(OR(B56=1,P56&lt;&gt;P55),PMT(P56/1200,MESES-B56+1,-T55),Q55),0)</f>
        <v/>
      </c>
      <c r="R56" s="58">
        <f>T55*P56/1200</f>
        <v/>
      </c>
      <c r="S56" s="58">
        <f>IF(AND(BANCO_OK_3,B56&lt;=MESES),IF(OR(B56=MESES,Q56-R56&gt;T55),T55,Q56-R56),0)</f>
        <v/>
      </c>
      <c r="T56" s="58">
        <f>T55-S56</f>
        <v/>
      </c>
      <c r="U56" s="58">
        <f>IF(AND(BANCO_OK_3,B56&lt;=MESES),R56+S56+VINC_MES_3,0)</f>
        <v/>
      </c>
      <c r="V56" s="52">
        <f>IF(AND(BANCO_OK_4,B56&lt;=MESES),IF(OR(OF_TIPO_4="Fija",C56&lt;=OF_ANIOS_INI_4),OF_TIN_4,MAX(0,EURIBOR+OF_DIF_4)),0)</f>
        <v/>
      </c>
      <c r="W56" s="58">
        <f>IF(AND(BANCO_OK_4,B56&lt;=MESES),IF(OR(B56=1,V56&lt;&gt;V55),PMT(V56/1200,MESES-B56+1,-Z55),W55),0)</f>
        <v/>
      </c>
      <c r="X56" s="58">
        <f>Z55*V56/1200</f>
        <v/>
      </c>
      <c r="Y56" s="58">
        <f>IF(AND(BANCO_OK_4,B56&lt;=MESES),IF(OR(B56=MESES,W56-X56&gt;Z55),Z55,W56-X56),0)</f>
        <v/>
      </c>
      <c r="Z56" s="58">
        <f>Z55-Y56</f>
        <v/>
      </c>
      <c r="AA56" s="58">
        <f>IF(AND(BANCO_OK_4,B56&lt;=MESES),X56+Y56+VINC_MES_4,0)</f>
        <v/>
      </c>
    </row>
    <row r="57">
      <c r="B57" s="56" t="n">
        <v>49</v>
      </c>
      <c r="C57" s="56">
        <f>ROUNDUP(B57/12,0)</f>
        <v/>
      </c>
      <c r="D57" s="52">
        <f>IF(AND(BANCO_OK_1,B57&lt;=MESES),IF(OR(OF_TIPO_1="Fija",C57&lt;=OF_ANIOS_INI_1),OF_TIN_1,MAX(0,EURIBOR+OF_DIF_1)),0)</f>
        <v/>
      </c>
      <c r="E57" s="58">
        <f>IF(AND(BANCO_OK_1,B57&lt;=MESES),IF(OR(B57=1,D57&lt;&gt;D56),PMT(D57/1200,MESES-B57+1,-H56),E56),0)</f>
        <v/>
      </c>
      <c r="F57" s="58">
        <f>H56*D57/1200</f>
        <v/>
      </c>
      <c r="G57" s="58">
        <f>IF(AND(BANCO_OK_1,B57&lt;=MESES),IF(OR(B57=MESES,E57-F57&gt;H56),H56,E57-F57),0)</f>
        <v/>
      </c>
      <c r="H57" s="58">
        <f>H56-G57</f>
        <v/>
      </c>
      <c r="I57" s="58">
        <f>IF(AND(BANCO_OK_1,B57&lt;=MESES),F57+G57+VINC_MES_1,0)</f>
        <v/>
      </c>
      <c r="J57" s="52">
        <f>IF(AND(BANCO_OK_2,B57&lt;=MESES),IF(OR(OF_TIPO_2="Fija",C57&lt;=OF_ANIOS_INI_2),OF_TIN_2,MAX(0,EURIBOR+OF_DIF_2)),0)</f>
        <v/>
      </c>
      <c r="K57" s="58">
        <f>IF(AND(BANCO_OK_2,B57&lt;=MESES),IF(OR(B57=1,J57&lt;&gt;J56),PMT(J57/1200,MESES-B57+1,-N56),K56),0)</f>
        <v/>
      </c>
      <c r="L57" s="58">
        <f>N56*J57/1200</f>
        <v/>
      </c>
      <c r="M57" s="58">
        <f>IF(AND(BANCO_OK_2,B57&lt;=MESES),IF(OR(B57=MESES,K57-L57&gt;N56),N56,K57-L57),0)</f>
        <v/>
      </c>
      <c r="N57" s="58">
        <f>N56-M57</f>
        <v/>
      </c>
      <c r="O57" s="58">
        <f>IF(AND(BANCO_OK_2,B57&lt;=MESES),L57+M57+VINC_MES_2,0)</f>
        <v/>
      </c>
      <c r="P57" s="52">
        <f>IF(AND(BANCO_OK_3,B57&lt;=MESES),IF(OR(OF_TIPO_3="Fija",C57&lt;=OF_ANIOS_INI_3),OF_TIN_3,MAX(0,EURIBOR+OF_DIF_3)),0)</f>
        <v/>
      </c>
      <c r="Q57" s="58">
        <f>IF(AND(BANCO_OK_3,B57&lt;=MESES),IF(OR(B57=1,P57&lt;&gt;P56),PMT(P57/1200,MESES-B57+1,-T56),Q56),0)</f>
        <v/>
      </c>
      <c r="R57" s="58">
        <f>T56*P57/1200</f>
        <v/>
      </c>
      <c r="S57" s="58">
        <f>IF(AND(BANCO_OK_3,B57&lt;=MESES),IF(OR(B57=MESES,Q57-R57&gt;T56),T56,Q57-R57),0)</f>
        <v/>
      </c>
      <c r="T57" s="58">
        <f>T56-S57</f>
        <v/>
      </c>
      <c r="U57" s="58">
        <f>IF(AND(BANCO_OK_3,B57&lt;=MESES),R57+S57+VINC_MES_3,0)</f>
        <v/>
      </c>
      <c r="V57" s="52">
        <f>IF(AND(BANCO_OK_4,B57&lt;=MESES),IF(OR(OF_TIPO_4="Fija",C57&lt;=OF_ANIOS_INI_4),OF_TIN_4,MAX(0,EURIBOR+OF_DIF_4)),0)</f>
        <v/>
      </c>
      <c r="W57" s="58">
        <f>IF(AND(BANCO_OK_4,B57&lt;=MESES),IF(OR(B57=1,V57&lt;&gt;V56),PMT(V57/1200,MESES-B57+1,-Z56),W56),0)</f>
        <v/>
      </c>
      <c r="X57" s="58">
        <f>Z56*V57/1200</f>
        <v/>
      </c>
      <c r="Y57" s="58">
        <f>IF(AND(BANCO_OK_4,B57&lt;=MESES),IF(OR(B57=MESES,W57-X57&gt;Z56),Z56,W57-X57),0)</f>
        <v/>
      </c>
      <c r="Z57" s="58">
        <f>Z56-Y57</f>
        <v/>
      </c>
      <c r="AA57" s="58">
        <f>IF(AND(BANCO_OK_4,B57&lt;=MESES),X57+Y57+VINC_MES_4,0)</f>
        <v/>
      </c>
    </row>
    <row r="58">
      <c r="B58" s="56" t="n">
        <v>50</v>
      </c>
      <c r="C58" s="56">
        <f>ROUNDUP(B58/12,0)</f>
        <v/>
      </c>
      <c r="D58" s="52">
        <f>IF(AND(BANCO_OK_1,B58&lt;=MESES),IF(OR(OF_TIPO_1="Fija",C58&lt;=OF_ANIOS_INI_1),OF_TIN_1,MAX(0,EURIBOR+OF_DIF_1)),0)</f>
        <v/>
      </c>
      <c r="E58" s="58">
        <f>IF(AND(BANCO_OK_1,B58&lt;=MESES),IF(OR(B58=1,D58&lt;&gt;D57),PMT(D58/1200,MESES-B58+1,-H57),E57),0)</f>
        <v/>
      </c>
      <c r="F58" s="58">
        <f>H57*D58/1200</f>
        <v/>
      </c>
      <c r="G58" s="58">
        <f>IF(AND(BANCO_OK_1,B58&lt;=MESES),IF(OR(B58=MESES,E58-F58&gt;H57),H57,E58-F58),0)</f>
        <v/>
      </c>
      <c r="H58" s="58">
        <f>H57-G58</f>
        <v/>
      </c>
      <c r="I58" s="58">
        <f>IF(AND(BANCO_OK_1,B58&lt;=MESES),F58+G58+VINC_MES_1,0)</f>
        <v/>
      </c>
      <c r="J58" s="52">
        <f>IF(AND(BANCO_OK_2,B58&lt;=MESES),IF(OR(OF_TIPO_2="Fija",C58&lt;=OF_ANIOS_INI_2),OF_TIN_2,MAX(0,EURIBOR+OF_DIF_2)),0)</f>
        <v/>
      </c>
      <c r="K58" s="58">
        <f>IF(AND(BANCO_OK_2,B58&lt;=MESES),IF(OR(B58=1,J58&lt;&gt;J57),PMT(J58/1200,MESES-B58+1,-N57),K57),0)</f>
        <v/>
      </c>
      <c r="L58" s="58">
        <f>N57*J58/1200</f>
        <v/>
      </c>
      <c r="M58" s="58">
        <f>IF(AND(BANCO_OK_2,B58&lt;=MESES),IF(OR(B58=MESES,K58-L58&gt;N57),N57,K58-L58),0)</f>
        <v/>
      </c>
      <c r="N58" s="58">
        <f>N57-M58</f>
        <v/>
      </c>
      <c r="O58" s="58">
        <f>IF(AND(BANCO_OK_2,B58&lt;=MESES),L58+M58+VINC_MES_2,0)</f>
        <v/>
      </c>
      <c r="P58" s="52">
        <f>IF(AND(BANCO_OK_3,B58&lt;=MESES),IF(OR(OF_TIPO_3="Fija",C58&lt;=OF_ANIOS_INI_3),OF_TIN_3,MAX(0,EURIBOR+OF_DIF_3)),0)</f>
        <v/>
      </c>
      <c r="Q58" s="58">
        <f>IF(AND(BANCO_OK_3,B58&lt;=MESES),IF(OR(B58=1,P58&lt;&gt;P57),PMT(P58/1200,MESES-B58+1,-T57),Q57),0)</f>
        <v/>
      </c>
      <c r="R58" s="58">
        <f>T57*P58/1200</f>
        <v/>
      </c>
      <c r="S58" s="58">
        <f>IF(AND(BANCO_OK_3,B58&lt;=MESES),IF(OR(B58=MESES,Q58-R58&gt;T57),T57,Q58-R58),0)</f>
        <v/>
      </c>
      <c r="T58" s="58">
        <f>T57-S58</f>
        <v/>
      </c>
      <c r="U58" s="58">
        <f>IF(AND(BANCO_OK_3,B58&lt;=MESES),R58+S58+VINC_MES_3,0)</f>
        <v/>
      </c>
      <c r="V58" s="52">
        <f>IF(AND(BANCO_OK_4,B58&lt;=MESES),IF(OR(OF_TIPO_4="Fija",C58&lt;=OF_ANIOS_INI_4),OF_TIN_4,MAX(0,EURIBOR+OF_DIF_4)),0)</f>
        <v/>
      </c>
      <c r="W58" s="58">
        <f>IF(AND(BANCO_OK_4,B58&lt;=MESES),IF(OR(B58=1,V58&lt;&gt;V57),PMT(V58/1200,MESES-B58+1,-Z57),W57),0)</f>
        <v/>
      </c>
      <c r="X58" s="58">
        <f>Z57*V58/1200</f>
        <v/>
      </c>
      <c r="Y58" s="58">
        <f>IF(AND(BANCO_OK_4,B58&lt;=MESES),IF(OR(B58=MESES,W58-X58&gt;Z57),Z57,W58-X58),0)</f>
        <v/>
      </c>
      <c r="Z58" s="58">
        <f>Z57-Y58</f>
        <v/>
      </c>
      <c r="AA58" s="58">
        <f>IF(AND(BANCO_OK_4,B58&lt;=MESES),X58+Y58+VINC_MES_4,0)</f>
        <v/>
      </c>
    </row>
    <row r="59">
      <c r="B59" s="56" t="n">
        <v>51</v>
      </c>
      <c r="C59" s="56">
        <f>ROUNDUP(B59/12,0)</f>
        <v/>
      </c>
      <c r="D59" s="52">
        <f>IF(AND(BANCO_OK_1,B59&lt;=MESES),IF(OR(OF_TIPO_1="Fija",C59&lt;=OF_ANIOS_INI_1),OF_TIN_1,MAX(0,EURIBOR+OF_DIF_1)),0)</f>
        <v/>
      </c>
      <c r="E59" s="58">
        <f>IF(AND(BANCO_OK_1,B59&lt;=MESES),IF(OR(B59=1,D59&lt;&gt;D58),PMT(D59/1200,MESES-B59+1,-H58),E58),0)</f>
        <v/>
      </c>
      <c r="F59" s="58">
        <f>H58*D59/1200</f>
        <v/>
      </c>
      <c r="G59" s="58">
        <f>IF(AND(BANCO_OK_1,B59&lt;=MESES),IF(OR(B59=MESES,E59-F59&gt;H58),H58,E59-F59),0)</f>
        <v/>
      </c>
      <c r="H59" s="58">
        <f>H58-G59</f>
        <v/>
      </c>
      <c r="I59" s="58">
        <f>IF(AND(BANCO_OK_1,B59&lt;=MESES),F59+G59+VINC_MES_1,0)</f>
        <v/>
      </c>
      <c r="J59" s="52">
        <f>IF(AND(BANCO_OK_2,B59&lt;=MESES),IF(OR(OF_TIPO_2="Fija",C59&lt;=OF_ANIOS_INI_2),OF_TIN_2,MAX(0,EURIBOR+OF_DIF_2)),0)</f>
        <v/>
      </c>
      <c r="K59" s="58">
        <f>IF(AND(BANCO_OK_2,B59&lt;=MESES),IF(OR(B59=1,J59&lt;&gt;J58),PMT(J59/1200,MESES-B59+1,-N58),K58),0)</f>
        <v/>
      </c>
      <c r="L59" s="58">
        <f>N58*J59/1200</f>
        <v/>
      </c>
      <c r="M59" s="58">
        <f>IF(AND(BANCO_OK_2,B59&lt;=MESES),IF(OR(B59=MESES,K59-L59&gt;N58),N58,K59-L59),0)</f>
        <v/>
      </c>
      <c r="N59" s="58">
        <f>N58-M59</f>
        <v/>
      </c>
      <c r="O59" s="58">
        <f>IF(AND(BANCO_OK_2,B59&lt;=MESES),L59+M59+VINC_MES_2,0)</f>
        <v/>
      </c>
      <c r="P59" s="52">
        <f>IF(AND(BANCO_OK_3,B59&lt;=MESES),IF(OR(OF_TIPO_3="Fija",C59&lt;=OF_ANIOS_INI_3),OF_TIN_3,MAX(0,EURIBOR+OF_DIF_3)),0)</f>
        <v/>
      </c>
      <c r="Q59" s="58">
        <f>IF(AND(BANCO_OK_3,B59&lt;=MESES),IF(OR(B59=1,P59&lt;&gt;P58),PMT(P59/1200,MESES-B59+1,-T58),Q58),0)</f>
        <v/>
      </c>
      <c r="R59" s="58">
        <f>T58*P59/1200</f>
        <v/>
      </c>
      <c r="S59" s="58">
        <f>IF(AND(BANCO_OK_3,B59&lt;=MESES),IF(OR(B59=MESES,Q59-R59&gt;T58),T58,Q59-R59),0)</f>
        <v/>
      </c>
      <c r="T59" s="58">
        <f>T58-S59</f>
        <v/>
      </c>
      <c r="U59" s="58">
        <f>IF(AND(BANCO_OK_3,B59&lt;=MESES),R59+S59+VINC_MES_3,0)</f>
        <v/>
      </c>
      <c r="V59" s="52">
        <f>IF(AND(BANCO_OK_4,B59&lt;=MESES),IF(OR(OF_TIPO_4="Fija",C59&lt;=OF_ANIOS_INI_4),OF_TIN_4,MAX(0,EURIBOR+OF_DIF_4)),0)</f>
        <v/>
      </c>
      <c r="W59" s="58">
        <f>IF(AND(BANCO_OK_4,B59&lt;=MESES),IF(OR(B59=1,V59&lt;&gt;V58),PMT(V59/1200,MESES-B59+1,-Z58),W58),0)</f>
        <v/>
      </c>
      <c r="X59" s="58">
        <f>Z58*V59/1200</f>
        <v/>
      </c>
      <c r="Y59" s="58">
        <f>IF(AND(BANCO_OK_4,B59&lt;=MESES),IF(OR(B59=MESES,W59-X59&gt;Z58),Z58,W59-X59),0)</f>
        <v/>
      </c>
      <c r="Z59" s="58">
        <f>Z58-Y59</f>
        <v/>
      </c>
      <c r="AA59" s="58">
        <f>IF(AND(BANCO_OK_4,B59&lt;=MESES),X59+Y59+VINC_MES_4,0)</f>
        <v/>
      </c>
    </row>
    <row r="60">
      <c r="B60" s="56" t="n">
        <v>52</v>
      </c>
      <c r="C60" s="56">
        <f>ROUNDUP(B60/12,0)</f>
        <v/>
      </c>
      <c r="D60" s="52">
        <f>IF(AND(BANCO_OK_1,B60&lt;=MESES),IF(OR(OF_TIPO_1="Fija",C60&lt;=OF_ANIOS_INI_1),OF_TIN_1,MAX(0,EURIBOR+OF_DIF_1)),0)</f>
        <v/>
      </c>
      <c r="E60" s="58">
        <f>IF(AND(BANCO_OK_1,B60&lt;=MESES),IF(OR(B60=1,D60&lt;&gt;D59),PMT(D60/1200,MESES-B60+1,-H59),E59),0)</f>
        <v/>
      </c>
      <c r="F60" s="58">
        <f>H59*D60/1200</f>
        <v/>
      </c>
      <c r="G60" s="58">
        <f>IF(AND(BANCO_OK_1,B60&lt;=MESES),IF(OR(B60=MESES,E60-F60&gt;H59),H59,E60-F60),0)</f>
        <v/>
      </c>
      <c r="H60" s="58">
        <f>H59-G60</f>
        <v/>
      </c>
      <c r="I60" s="58">
        <f>IF(AND(BANCO_OK_1,B60&lt;=MESES),F60+G60+VINC_MES_1,0)</f>
        <v/>
      </c>
      <c r="J60" s="52">
        <f>IF(AND(BANCO_OK_2,B60&lt;=MESES),IF(OR(OF_TIPO_2="Fija",C60&lt;=OF_ANIOS_INI_2),OF_TIN_2,MAX(0,EURIBOR+OF_DIF_2)),0)</f>
        <v/>
      </c>
      <c r="K60" s="58">
        <f>IF(AND(BANCO_OK_2,B60&lt;=MESES),IF(OR(B60=1,J60&lt;&gt;J59),PMT(J60/1200,MESES-B60+1,-N59),K59),0)</f>
        <v/>
      </c>
      <c r="L60" s="58">
        <f>N59*J60/1200</f>
        <v/>
      </c>
      <c r="M60" s="58">
        <f>IF(AND(BANCO_OK_2,B60&lt;=MESES),IF(OR(B60=MESES,K60-L60&gt;N59),N59,K60-L60),0)</f>
        <v/>
      </c>
      <c r="N60" s="58">
        <f>N59-M60</f>
        <v/>
      </c>
      <c r="O60" s="58">
        <f>IF(AND(BANCO_OK_2,B60&lt;=MESES),L60+M60+VINC_MES_2,0)</f>
        <v/>
      </c>
      <c r="P60" s="52">
        <f>IF(AND(BANCO_OK_3,B60&lt;=MESES),IF(OR(OF_TIPO_3="Fija",C60&lt;=OF_ANIOS_INI_3),OF_TIN_3,MAX(0,EURIBOR+OF_DIF_3)),0)</f>
        <v/>
      </c>
      <c r="Q60" s="58">
        <f>IF(AND(BANCO_OK_3,B60&lt;=MESES),IF(OR(B60=1,P60&lt;&gt;P59),PMT(P60/1200,MESES-B60+1,-T59),Q59),0)</f>
        <v/>
      </c>
      <c r="R60" s="58">
        <f>T59*P60/1200</f>
        <v/>
      </c>
      <c r="S60" s="58">
        <f>IF(AND(BANCO_OK_3,B60&lt;=MESES),IF(OR(B60=MESES,Q60-R60&gt;T59),T59,Q60-R60),0)</f>
        <v/>
      </c>
      <c r="T60" s="58">
        <f>T59-S60</f>
        <v/>
      </c>
      <c r="U60" s="58">
        <f>IF(AND(BANCO_OK_3,B60&lt;=MESES),R60+S60+VINC_MES_3,0)</f>
        <v/>
      </c>
      <c r="V60" s="52">
        <f>IF(AND(BANCO_OK_4,B60&lt;=MESES),IF(OR(OF_TIPO_4="Fija",C60&lt;=OF_ANIOS_INI_4),OF_TIN_4,MAX(0,EURIBOR+OF_DIF_4)),0)</f>
        <v/>
      </c>
      <c r="W60" s="58">
        <f>IF(AND(BANCO_OK_4,B60&lt;=MESES),IF(OR(B60=1,V60&lt;&gt;V59),PMT(V60/1200,MESES-B60+1,-Z59),W59),0)</f>
        <v/>
      </c>
      <c r="X60" s="58">
        <f>Z59*V60/1200</f>
        <v/>
      </c>
      <c r="Y60" s="58">
        <f>IF(AND(BANCO_OK_4,B60&lt;=MESES),IF(OR(B60=MESES,W60-X60&gt;Z59),Z59,W60-X60),0)</f>
        <v/>
      </c>
      <c r="Z60" s="58">
        <f>Z59-Y60</f>
        <v/>
      </c>
      <c r="AA60" s="58">
        <f>IF(AND(BANCO_OK_4,B60&lt;=MESES),X60+Y60+VINC_MES_4,0)</f>
        <v/>
      </c>
    </row>
    <row r="61">
      <c r="B61" s="56" t="n">
        <v>53</v>
      </c>
      <c r="C61" s="56">
        <f>ROUNDUP(B61/12,0)</f>
        <v/>
      </c>
      <c r="D61" s="52">
        <f>IF(AND(BANCO_OK_1,B61&lt;=MESES),IF(OR(OF_TIPO_1="Fija",C61&lt;=OF_ANIOS_INI_1),OF_TIN_1,MAX(0,EURIBOR+OF_DIF_1)),0)</f>
        <v/>
      </c>
      <c r="E61" s="58">
        <f>IF(AND(BANCO_OK_1,B61&lt;=MESES),IF(OR(B61=1,D61&lt;&gt;D60),PMT(D61/1200,MESES-B61+1,-H60),E60),0)</f>
        <v/>
      </c>
      <c r="F61" s="58">
        <f>H60*D61/1200</f>
        <v/>
      </c>
      <c r="G61" s="58">
        <f>IF(AND(BANCO_OK_1,B61&lt;=MESES),IF(OR(B61=MESES,E61-F61&gt;H60),H60,E61-F61),0)</f>
        <v/>
      </c>
      <c r="H61" s="58">
        <f>H60-G61</f>
        <v/>
      </c>
      <c r="I61" s="58">
        <f>IF(AND(BANCO_OK_1,B61&lt;=MESES),F61+G61+VINC_MES_1,0)</f>
        <v/>
      </c>
      <c r="J61" s="52">
        <f>IF(AND(BANCO_OK_2,B61&lt;=MESES),IF(OR(OF_TIPO_2="Fija",C61&lt;=OF_ANIOS_INI_2),OF_TIN_2,MAX(0,EURIBOR+OF_DIF_2)),0)</f>
        <v/>
      </c>
      <c r="K61" s="58">
        <f>IF(AND(BANCO_OK_2,B61&lt;=MESES),IF(OR(B61=1,J61&lt;&gt;J60),PMT(J61/1200,MESES-B61+1,-N60),K60),0)</f>
        <v/>
      </c>
      <c r="L61" s="58">
        <f>N60*J61/1200</f>
        <v/>
      </c>
      <c r="M61" s="58">
        <f>IF(AND(BANCO_OK_2,B61&lt;=MESES),IF(OR(B61=MESES,K61-L61&gt;N60),N60,K61-L61),0)</f>
        <v/>
      </c>
      <c r="N61" s="58">
        <f>N60-M61</f>
        <v/>
      </c>
      <c r="O61" s="58">
        <f>IF(AND(BANCO_OK_2,B61&lt;=MESES),L61+M61+VINC_MES_2,0)</f>
        <v/>
      </c>
      <c r="P61" s="52">
        <f>IF(AND(BANCO_OK_3,B61&lt;=MESES),IF(OR(OF_TIPO_3="Fija",C61&lt;=OF_ANIOS_INI_3),OF_TIN_3,MAX(0,EURIBOR+OF_DIF_3)),0)</f>
        <v/>
      </c>
      <c r="Q61" s="58">
        <f>IF(AND(BANCO_OK_3,B61&lt;=MESES),IF(OR(B61=1,P61&lt;&gt;P60),PMT(P61/1200,MESES-B61+1,-T60),Q60),0)</f>
        <v/>
      </c>
      <c r="R61" s="58">
        <f>T60*P61/1200</f>
        <v/>
      </c>
      <c r="S61" s="58">
        <f>IF(AND(BANCO_OK_3,B61&lt;=MESES),IF(OR(B61=MESES,Q61-R61&gt;T60),T60,Q61-R61),0)</f>
        <v/>
      </c>
      <c r="T61" s="58">
        <f>T60-S61</f>
        <v/>
      </c>
      <c r="U61" s="58">
        <f>IF(AND(BANCO_OK_3,B61&lt;=MESES),R61+S61+VINC_MES_3,0)</f>
        <v/>
      </c>
      <c r="V61" s="52">
        <f>IF(AND(BANCO_OK_4,B61&lt;=MESES),IF(OR(OF_TIPO_4="Fija",C61&lt;=OF_ANIOS_INI_4),OF_TIN_4,MAX(0,EURIBOR+OF_DIF_4)),0)</f>
        <v/>
      </c>
      <c r="W61" s="58">
        <f>IF(AND(BANCO_OK_4,B61&lt;=MESES),IF(OR(B61=1,V61&lt;&gt;V60),PMT(V61/1200,MESES-B61+1,-Z60),W60),0)</f>
        <v/>
      </c>
      <c r="X61" s="58">
        <f>Z60*V61/1200</f>
        <v/>
      </c>
      <c r="Y61" s="58">
        <f>IF(AND(BANCO_OK_4,B61&lt;=MESES),IF(OR(B61=MESES,W61-X61&gt;Z60),Z60,W61-X61),0)</f>
        <v/>
      </c>
      <c r="Z61" s="58">
        <f>Z60-Y61</f>
        <v/>
      </c>
      <c r="AA61" s="58">
        <f>IF(AND(BANCO_OK_4,B61&lt;=MESES),X61+Y61+VINC_MES_4,0)</f>
        <v/>
      </c>
    </row>
    <row r="62">
      <c r="B62" s="56" t="n">
        <v>54</v>
      </c>
      <c r="C62" s="56">
        <f>ROUNDUP(B62/12,0)</f>
        <v/>
      </c>
      <c r="D62" s="52">
        <f>IF(AND(BANCO_OK_1,B62&lt;=MESES),IF(OR(OF_TIPO_1="Fija",C62&lt;=OF_ANIOS_INI_1),OF_TIN_1,MAX(0,EURIBOR+OF_DIF_1)),0)</f>
        <v/>
      </c>
      <c r="E62" s="58">
        <f>IF(AND(BANCO_OK_1,B62&lt;=MESES),IF(OR(B62=1,D62&lt;&gt;D61),PMT(D62/1200,MESES-B62+1,-H61),E61),0)</f>
        <v/>
      </c>
      <c r="F62" s="58">
        <f>H61*D62/1200</f>
        <v/>
      </c>
      <c r="G62" s="58">
        <f>IF(AND(BANCO_OK_1,B62&lt;=MESES),IF(OR(B62=MESES,E62-F62&gt;H61),H61,E62-F62),0)</f>
        <v/>
      </c>
      <c r="H62" s="58">
        <f>H61-G62</f>
        <v/>
      </c>
      <c r="I62" s="58">
        <f>IF(AND(BANCO_OK_1,B62&lt;=MESES),F62+G62+VINC_MES_1,0)</f>
        <v/>
      </c>
      <c r="J62" s="52">
        <f>IF(AND(BANCO_OK_2,B62&lt;=MESES),IF(OR(OF_TIPO_2="Fija",C62&lt;=OF_ANIOS_INI_2),OF_TIN_2,MAX(0,EURIBOR+OF_DIF_2)),0)</f>
        <v/>
      </c>
      <c r="K62" s="58">
        <f>IF(AND(BANCO_OK_2,B62&lt;=MESES),IF(OR(B62=1,J62&lt;&gt;J61),PMT(J62/1200,MESES-B62+1,-N61),K61),0)</f>
        <v/>
      </c>
      <c r="L62" s="58">
        <f>N61*J62/1200</f>
        <v/>
      </c>
      <c r="M62" s="58">
        <f>IF(AND(BANCO_OK_2,B62&lt;=MESES),IF(OR(B62=MESES,K62-L62&gt;N61),N61,K62-L62),0)</f>
        <v/>
      </c>
      <c r="N62" s="58">
        <f>N61-M62</f>
        <v/>
      </c>
      <c r="O62" s="58">
        <f>IF(AND(BANCO_OK_2,B62&lt;=MESES),L62+M62+VINC_MES_2,0)</f>
        <v/>
      </c>
      <c r="P62" s="52">
        <f>IF(AND(BANCO_OK_3,B62&lt;=MESES),IF(OR(OF_TIPO_3="Fija",C62&lt;=OF_ANIOS_INI_3),OF_TIN_3,MAX(0,EURIBOR+OF_DIF_3)),0)</f>
        <v/>
      </c>
      <c r="Q62" s="58">
        <f>IF(AND(BANCO_OK_3,B62&lt;=MESES),IF(OR(B62=1,P62&lt;&gt;P61),PMT(P62/1200,MESES-B62+1,-T61),Q61),0)</f>
        <v/>
      </c>
      <c r="R62" s="58">
        <f>T61*P62/1200</f>
        <v/>
      </c>
      <c r="S62" s="58">
        <f>IF(AND(BANCO_OK_3,B62&lt;=MESES),IF(OR(B62=MESES,Q62-R62&gt;T61),T61,Q62-R62),0)</f>
        <v/>
      </c>
      <c r="T62" s="58">
        <f>T61-S62</f>
        <v/>
      </c>
      <c r="U62" s="58">
        <f>IF(AND(BANCO_OK_3,B62&lt;=MESES),R62+S62+VINC_MES_3,0)</f>
        <v/>
      </c>
      <c r="V62" s="52">
        <f>IF(AND(BANCO_OK_4,B62&lt;=MESES),IF(OR(OF_TIPO_4="Fija",C62&lt;=OF_ANIOS_INI_4),OF_TIN_4,MAX(0,EURIBOR+OF_DIF_4)),0)</f>
        <v/>
      </c>
      <c r="W62" s="58">
        <f>IF(AND(BANCO_OK_4,B62&lt;=MESES),IF(OR(B62=1,V62&lt;&gt;V61),PMT(V62/1200,MESES-B62+1,-Z61),W61),0)</f>
        <v/>
      </c>
      <c r="X62" s="58">
        <f>Z61*V62/1200</f>
        <v/>
      </c>
      <c r="Y62" s="58">
        <f>IF(AND(BANCO_OK_4,B62&lt;=MESES),IF(OR(B62=MESES,W62-X62&gt;Z61),Z61,W62-X62),0)</f>
        <v/>
      </c>
      <c r="Z62" s="58">
        <f>Z61-Y62</f>
        <v/>
      </c>
      <c r="AA62" s="58">
        <f>IF(AND(BANCO_OK_4,B62&lt;=MESES),X62+Y62+VINC_MES_4,0)</f>
        <v/>
      </c>
    </row>
    <row r="63">
      <c r="B63" s="56" t="n">
        <v>55</v>
      </c>
      <c r="C63" s="56">
        <f>ROUNDUP(B63/12,0)</f>
        <v/>
      </c>
      <c r="D63" s="52">
        <f>IF(AND(BANCO_OK_1,B63&lt;=MESES),IF(OR(OF_TIPO_1="Fija",C63&lt;=OF_ANIOS_INI_1),OF_TIN_1,MAX(0,EURIBOR+OF_DIF_1)),0)</f>
        <v/>
      </c>
      <c r="E63" s="58">
        <f>IF(AND(BANCO_OK_1,B63&lt;=MESES),IF(OR(B63=1,D63&lt;&gt;D62),PMT(D63/1200,MESES-B63+1,-H62),E62),0)</f>
        <v/>
      </c>
      <c r="F63" s="58">
        <f>H62*D63/1200</f>
        <v/>
      </c>
      <c r="G63" s="58">
        <f>IF(AND(BANCO_OK_1,B63&lt;=MESES),IF(OR(B63=MESES,E63-F63&gt;H62),H62,E63-F63),0)</f>
        <v/>
      </c>
      <c r="H63" s="58">
        <f>H62-G63</f>
        <v/>
      </c>
      <c r="I63" s="58">
        <f>IF(AND(BANCO_OK_1,B63&lt;=MESES),F63+G63+VINC_MES_1,0)</f>
        <v/>
      </c>
      <c r="J63" s="52">
        <f>IF(AND(BANCO_OK_2,B63&lt;=MESES),IF(OR(OF_TIPO_2="Fija",C63&lt;=OF_ANIOS_INI_2),OF_TIN_2,MAX(0,EURIBOR+OF_DIF_2)),0)</f>
        <v/>
      </c>
      <c r="K63" s="58">
        <f>IF(AND(BANCO_OK_2,B63&lt;=MESES),IF(OR(B63=1,J63&lt;&gt;J62),PMT(J63/1200,MESES-B63+1,-N62),K62),0)</f>
        <v/>
      </c>
      <c r="L63" s="58">
        <f>N62*J63/1200</f>
        <v/>
      </c>
      <c r="M63" s="58">
        <f>IF(AND(BANCO_OK_2,B63&lt;=MESES),IF(OR(B63=MESES,K63-L63&gt;N62),N62,K63-L63),0)</f>
        <v/>
      </c>
      <c r="N63" s="58">
        <f>N62-M63</f>
        <v/>
      </c>
      <c r="O63" s="58">
        <f>IF(AND(BANCO_OK_2,B63&lt;=MESES),L63+M63+VINC_MES_2,0)</f>
        <v/>
      </c>
      <c r="P63" s="52">
        <f>IF(AND(BANCO_OK_3,B63&lt;=MESES),IF(OR(OF_TIPO_3="Fija",C63&lt;=OF_ANIOS_INI_3),OF_TIN_3,MAX(0,EURIBOR+OF_DIF_3)),0)</f>
        <v/>
      </c>
      <c r="Q63" s="58">
        <f>IF(AND(BANCO_OK_3,B63&lt;=MESES),IF(OR(B63=1,P63&lt;&gt;P62),PMT(P63/1200,MESES-B63+1,-T62),Q62),0)</f>
        <v/>
      </c>
      <c r="R63" s="58">
        <f>T62*P63/1200</f>
        <v/>
      </c>
      <c r="S63" s="58">
        <f>IF(AND(BANCO_OK_3,B63&lt;=MESES),IF(OR(B63=MESES,Q63-R63&gt;T62),T62,Q63-R63),0)</f>
        <v/>
      </c>
      <c r="T63" s="58">
        <f>T62-S63</f>
        <v/>
      </c>
      <c r="U63" s="58">
        <f>IF(AND(BANCO_OK_3,B63&lt;=MESES),R63+S63+VINC_MES_3,0)</f>
        <v/>
      </c>
      <c r="V63" s="52">
        <f>IF(AND(BANCO_OK_4,B63&lt;=MESES),IF(OR(OF_TIPO_4="Fija",C63&lt;=OF_ANIOS_INI_4),OF_TIN_4,MAX(0,EURIBOR+OF_DIF_4)),0)</f>
        <v/>
      </c>
      <c r="W63" s="58">
        <f>IF(AND(BANCO_OK_4,B63&lt;=MESES),IF(OR(B63=1,V63&lt;&gt;V62),PMT(V63/1200,MESES-B63+1,-Z62),W62),0)</f>
        <v/>
      </c>
      <c r="X63" s="58">
        <f>Z62*V63/1200</f>
        <v/>
      </c>
      <c r="Y63" s="58">
        <f>IF(AND(BANCO_OK_4,B63&lt;=MESES),IF(OR(B63=MESES,W63-X63&gt;Z62),Z62,W63-X63),0)</f>
        <v/>
      </c>
      <c r="Z63" s="58">
        <f>Z62-Y63</f>
        <v/>
      </c>
      <c r="AA63" s="58">
        <f>IF(AND(BANCO_OK_4,B63&lt;=MESES),X63+Y63+VINC_MES_4,0)</f>
        <v/>
      </c>
    </row>
    <row r="64">
      <c r="B64" s="56" t="n">
        <v>56</v>
      </c>
      <c r="C64" s="56">
        <f>ROUNDUP(B64/12,0)</f>
        <v/>
      </c>
      <c r="D64" s="52">
        <f>IF(AND(BANCO_OK_1,B64&lt;=MESES),IF(OR(OF_TIPO_1="Fija",C64&lt;=OF_ANIOS_INI_1),OF_TIN_1,MAX(0,EURIBOR+OF_DIF_1)),0)</f>
        <v/>
      </c>
      <c r="E64" s="58">
        <f>IF(AND(BANCO_OK_1,B64&lt;=MESES),IF(OR(B64=1,D64&lt;&gt;D63),PMT(D64/1200,MESES-B64+1,-H63),E63),0)</f>
        <v/>
      </c>
      <c r="F64" s="58">
        <f>H63*D64/1200</f>
        <v/>
      </c>
      <c r="G64" s="58">
        <f>IF(AND(BANCO_OK_1,B64&lt;=MESES),IF(OR(B64=MESES,E64-F64&gt;H63),H63,E64-F64),0)</f>
        <v/>
      </c>
      <c r="H64" s="58">
        <f>H63-G64</f>
        <v/>
      </c>
      <c r="I64" s="58">
        <f>IF(AND(BANCO_OK_1,B64&lt;=MESES),F64+G64+VINC_MES_1,0)</f>
        <v/>
      </c>
      <c r="J64" s="52">
        <f>IF(AND(BANCO_OK_2,B64&lt;=MESES),IF(OR(OF_TIPO_2="Fija",C64&lt;=OF_ANIOS_INI_2),OF_TIN_2,MAX(0,EURIBOR+OF_DIF_2)),0)</f>
        <v/>
      </c>
      <c r="K64" s="58">
        <f>IF(AND(BANCO_OK_2,B64&lt;=MESES),IF(OR(B64=1,J64&lt;&gt;J63),PMT(J64/1200,MESES-B64+1,-N63),K63),0)</f>
        <v/>
      </c>
      <c r="L64" s="58">
        <f>N63*J64/1200</f>
        <v/>
      </c>
      <c r="M64" s="58">
        <f>IF(AND(BANCO_OK_2,B64&lt;=MESES),IF(OR(B64=MESES,K64-L64&gt;N63),N63,K64-L64),0)</f>
        <v/>
      </c>
      <c r="N64" s="58">
        <f>N63-M64</f>
        <v/>
      </c>
      <c r="O64" s="58">
        <f>IF(AND(BANCO_OK_2,B64&lt;=MESES),L64+M64+VINC_MES_2,0)</f>
        <v/>
      </c>
      <c r="P64" s="52">
        <f>IF(AND(BANCO_OK_3,B64&lt;=MESES),IF(OR(OF_TIPO_3="Fija",C64&lt;=OF_ANIOS_INI_3),OF_TIN_3,MAX(0,EURIBOR+OF_DIF_3)),0)</f>
        <v/>
      </c>
      <c r="Q64" s="58">
        <f>IF(AND(BANCO_OK_3,B64&lt;=MESES),IF(OR(B64=1,P64&lt;&gt;P63),PMT(P64/1200,MESES-B64+1,-T63),Q63),0)</f>
        <v/>
      </c>
      <c r="R64" s="58">
        <f>T63*P64/1200</f>
        <v/>
      </c>
      <c r="S64" s="58">
        <f>IF(AND(BANCO_OK_3,B64&lt;=MESES),IF(OR(B64=MESES,Q64-R64&gt;T63),T63,Q64-R64),0)</f>
        <v/>
      </c>
      <c r="T64" s="58">
        <f>T63-S64</f>
        <v/>
      </c>
      <c r="U64" s="58">
        <f>IF(AND(BANCO_OK_3,B64&lt;=MESES),R64+S64+VINC_MES_3,0)</f>
        <v/>
      </c>
      <c r="V64" s="52">
        <f>IF(AND(BANCO_OK_4,B64&lt;=MESES),IF(OR(OF_TIPO_4="Fija",C64&lt;=OF_ANIOS_INI_4),OF_TIN_4,MAX(0,EURIBOR+OF_DIF_4)),0)</f>
        <v/>
      </c>
      <c r="W64" s="58">
        <f>IF(AND(BANCO_OK_4,B64&lt;=MESES),IF(OR(B64=1,V64&lt;&gt;V63),PMT(V64/1200,MESES-B64+1,-Z63),W63),0)</f>
        <v/>
      </c>
      <c r="X64" s="58">
        <f>Z63*V64/1200</f>
        <v/>
      </c>
      <c r="Y64" s="58">
        <f>IF(AND(BANCO_OK_4,B64&lt;=MESES),IF(OR(B64=MESES,W64-X64&gt;Z63),Z63,W64-X64),0)</f>
        <v/>
      </c>
      <c r="Z64" s="58">
        <f>Z63-Y64</f>
        <v/>
      </c>
      <c r="AA64" s="58">
        <f>IF(AND(BANCO_OK_4,B64&lt;=MESES),X64+Y64+VINC_MES_4,0)</f>
        <v/>
      </c>
    </row>
    <row r="65">
      <c r="B65" s="56" t="n">
        <v>57</v>
      </c>
      <c r="C65" s="56">
        <f>ROUNDUP(B65/12,0)</f>
        <v/>
      </c>
      <c r="D65" s="52">
        <f>IF(AND(BANCO_OK_1,B65&lt;=MESES),IF(OR(OF_TIPO_1="Fija",C65&lt;=OF_ANIOS_INI_1),OF_TIN_1,MAX(0,EURIBOR+OF_DIF_1)),0)</f>
        <v/>
      </c>
      <c r="E65" s="58">
        <f>IF(AND(BANCO_OK_1,B65&lt;=MESES),IF(OR(B65=1,D65&lt;&gt;D64),PMT(D65/1200,MESES-B65+1,-H64),E64),0)</f>
        <v/>
      </c>
      <c r="F65" s="58">
        <f>H64*D65/1200</f>
        <v/>
      </c>
      <c r="G65" s="58">
        <f>IF(AND(BANCO_OK_1,B65&lt;=MESES),IF(OR(B65=MESES,E65-F65&gt;H64),H64,E65-F65),0)</f>
        <v/>
      </c>
      <c r="H65" s="58">
        <f>H64-G65</f>
        <v/>
      </c>
      <c r="I65" s="58">
        <f>IF(AND(BANCO_OK_1,B65&lt;=MESES),F65+G65+VINC_MES_1,0)</f>
        <v/>
      </c>
      <c r="J65" s="52">
        <f>IF(AND(BANCO_OK_2,B65&lt;=MESES),IF(OR(OF_TIPO_2="Fija",C65&lt;=OF_ANIOS_INI_2),OF_TIN_2,MAX(0,EURIBOR+OF_DIF_2)),0)</f>
        <v/>
      </c>
      <c r="K65" s="58">
        <f>IF(AND(BANCO_OK_2,B65&lt;=MESES),IF(OR(B65=1,J65&lt;&gt;J64),PMT(J65/1200,MESES-B65+1,-N64),K64),0)</f>
        <v/>
      </c>
      <c r="L65" s="58">
        <f>N64*J65/1200</f>
        <v/>
      </c>
      <c r="M65" s="58">
        <f>IF(AND(BANCO_OK_2,B65&lt;=MESES),IF(OR(B65=MESES,K65-L65&gt;N64),N64,K65-L65),0)</f>
        <v/>
      </c>
      <c r="N65" s="58">
        <f>N64-M65</f>
        <v/>
      </c>
      <c r="O65" s="58">
        <f>IF(AND(BANCO_OK_2,B65&lt;=MESES),L65+M65+VINC_MES_2,0)</f>
        <v/>
      </c>
      <c r="P65" s="52">
        <f>IF(AND(BANCO_OK_3,B65&lt;=MESES),IF(OR(OF_TIPO_3="Fija",C65&lt;=OF_ANIOS_INI_3),OF_TIN_3,MAX(0,EURIBOR+OF_DIF_3)),0)</f>
        <v/>
      </c>
      <c r="Q65" s="58">
        <f>IF(AND(BANCO_OK_3,B65&lt;=MESES),IF(OR(B65=1,P65&lt;&gt;P64),PMT(P65/1200,MESES-B65+1,-T64),Q64),0)</f>
        <v/>
      </c>
      <c r="R65" s="58">
        <f>T64*P65/1200</f>
        <v/>
      </c>
      <c r="S65" s="58">
        <f>IF(AND(BANCO_OK_3,B65&lt;=MESES),IF(OR(B65=MESES,Q65-R65&gt;T64),T64,Q65-R65),0)</f>
        <v/>
      </c>
      <c r="T65" s="58">
        <f>T64-S65</f>
        <v/>
      </c>
      <c r="U65" s="58">
        <f>IF(AND(BANCO_OK_3,B65&lt;=MESES),R65+S65+VINC_MES_3,0)</f>
        <v/>
      </c>
      <c r="V65" s="52">
        <f>IF(AND(BANCO_OK_4,B65&lt;=MESES),IF(OR(OF_TIPO_4="Fija",C65&lt;=OF_ANIOS_INI_4),OF_TIN_4,MAX(0,EURIBOR+OF_DIF_4)),0)</f>
        <v/>
      </c>
      <c r="W65" s="58">
        <f>IF(AND(BANCO_OK_4,B65&lt;=MESES),IF(OR(B65=1,V65&lt;&gt;V64),PMT(V65/1200,MESES-B65+1,-Z64),W64),0)</f>
        <v/>
      </c>
      <c r="X65" s="58">
        <f>Z64*V65/1200</f>
        <v/>
      </c>
      <c r="Y65" s="58">
        <f>IF(AND(BANCO_OK_4,B65&lt;=MESES),IF(OR(B65=MESES,W65-X65&gt;Z64),Z64,W65-X65),0)</f>
        <v/>
      </c>
      <c r="Z65" s="58">
        <f>Z64-Y65</f>
        <v/>
      </c>
      <c r="AA65" s="58">
        <f>IF(AND(BANCO_OK_4,B65&lt;=MESES),X65+Y65+VINC_MES_4,0)</f>
        <v/>
      </c>
    </row>
    <row r="66">
      <c r="B66" s="56" t="n">
        <v>58</v>
      </c>
      <c r="C66" s="56">
        <f>ROUNDUP(B66/12,0)</f>
        <v/>
      </c>
      <c r="D66" s="52">
        <f>IF(AND(BANCO_OK_1,B66&lt;=MESES),IF(OR(OF_TIPO_1="Fija",C66&lt;=OF_ANIOS_INI_1),OF_TIN_1,MAX(0,EURIBOR+OF_DIF_1)),0)</f>
        <v/>
      </c>
      <c r="E66" s="58">
        <f>IF(AND(BANCO_OK_1,B66&lt;=MESES),IF(OR(B66=1,D66&lt;&gt;D65),PMT(D66/1200,MESES-B66+1,-H65),E65),0)</f>
        <v/>
      </c>
      <c r="F66" s="58">
        <f>H65*D66/1200</f>
        <v/>
      </c>
      <c r="G66" s="58">
        <f>IF(AND(BANCO_OK_1,B66&lt;=MESES),IF(OR(B66=MESES,E66-F66&gt;H65),H65,E66-F66),0)</f>
        <v/>
      </c>
      <c r="H66" s="58">
        <f>H65-G66</f>
        <v/>
      </c>
      <c r="I66" s="58">
        <f>IF(AND(BANCO_OK_1,B66&lt;=MESES),F66+G66+VINC_MES_1,0)</f>
        <v/>
      </c>
      <c r="J66" s="52">
        <f>IF(AND(BANCO_OK_2,B66&lt;=MESES),IF(OR(OF_TIPO_2="Fija",C66&lt;=OF_ANIOS_INI_2),OF_TIN_2,MAX(0,EURIBOR+OF_DIF_2)),0)</f>
        <v/>
      </c>
      <c r="K66" s="58">
        <f>IF(AND(BANCO_OK_2,B66&lt;=MESES),IF(OR(B66=1,J66&lt;&gt;J65),PMT(J66/1200,MESES-B66+1,-N65),K65),0)</f>
        <v/>
      </c>
      <c r="L66" s="58">
        <f>N65*J66/1200</f>
        <v/>
      </c>
      <c r="M66" s="58">
        <f>IF(AND(BANCO_OK_2,B66&lt;=MESES),IF(OR(B66=MESES,K66-L66&gt;N65),N65,K66-L66),0)</f>
        <v/>
      </c>
      <c r="N66" s="58">
        <f>N65-M66</f>
        <v/>
      </c>
      <c r="O66" s="58">
        <f>IF(AND(BANCO_OK_2,B66&lt;=MESES),L66+M66+VINC_MES_2,0)</f>
        <v/>
      </c>
      <c r="P66" s="52">
        <f>IF(AND(BANCO_OK_3,B66&lt;=MESES),IF(OR(OF_TIPO_3="Fija",C66&lt;=OF_ANIOS_INI_3),OF_TIN_3,MAX(0,EURIBOR+OF_DIF_3)),0)</f>
        <v/>
      </c>
      <c r="Q66" s="58">
        <f>IF(AND(BANCO_OK_3,B66&lt;=MESES),IF(OR(B66=1,P66&lt;&gt;P65),PMT(P66/1200,MESES-B66+1,-T65),Q65),0)</f>
        <v/>
      </c>
      <c r="R66" s="58">
        <f>T65*P66/1200</f>
        <v/>
      </c>
      <c r="S66" s="58">
        <f>IF(AND(BANCO_OK_3,B66&lt;=MESES),IF(OR(B66=MESES,Q66-R66&gt;T65),T65,Q66-R66),0)</f>
        <v/>
      </c>
      <c r="T66" s="58">
        <f>T65-S66</f>
        <v/>
      </c>
      <c r="U66" s="58">
        <f>IF(AND(BANCO_OK_3,B66&lt;=MESES),R66+S66+VINC_MES_3,0)</f>
        <v/>
      </c>
      <c r="V66" s="52">
        <f>IF(AND(BANCO_OK_4,B66&lt;=MESES),IF(OR(OF_TIPO_4="Fija",C66&lt;=OF_ANIOS_INI_4),OF_TIN_4,MAX(0,EURIBOR+OF_DIF_4)),0)</f>
        <v/>
      </c>
      <c r="W66" s="58">
        <f>IF(AND(BANCO_OK_4,B66&lt;=MESES),IF(OR(B66=1,V66&lt;&gt;V65),PMT(V66/1200,MESES-B66+1,-Z65),W65),0)</f>
        <v/>
      </c>
      <c r="X66" s="58">
        <f>Z65*V66/1200</f>
        <v/>
      </c>
      <c r="Y66" s="58">
        <f>IF(AND(BANCO_OK_4,B66&lt;=MESES),IF(OR(B66=MESES,W66-X66&gt;Z65),Z65,W66-X66),0)</f>
        <v/>
      </c>
      <c r="Z66" s="58">
        <f>Z65-Y66</f>
        <v/>
      </c>
      <c r="AA66" s="58">
        <f>IF(AND(BANCO_OK_4,B66&lt;=MESES),X66+Y66+VINC_MES_4,0)</f>
        <v/>
      </c>
    </row>
    <row r="67">
      <c r="B67" s="56" t="n">
        <v>59</v>
      </c>
      <c r="C67" s="56">
        <f>ROUNDUP(B67/12,0)</f>
        <v/>
      </c>
      <c r="D67" s="52">
        <f>IF(AND(BANCO_OK_1,B67&lt;=MESES),IF(OR(OF_TIPO_1="Fija",C67&lt;=OF_ANIOS_INI_1),OF_TIN_1,MAX(0,EURIBOR+OF_DIF_1)),0)</f>
        <v/>
      </c>
      <c r="E67" s="58">
        <f>IF(AND(BANCO_OK_1,B67&lt;=MESES),IF(OR(B67=1,D67&lt;&gt;D66),PMT(D67/1200,MESES-B67+1,-H66),E66),0)</f>
        <v/>
      </c>
      <c r="F67" s="58">
        <f>H66*D67/1200</f>
        <v/>
      </c>
      <c r="G67" s="58">
        <f>IF(AND(BANCO_OK_1,B67&lt;=MESES),IF(OR(B67=MESES,E67-F67&gt;H66),H66,E67-F67),0)</f>
        <v/>
      </c>
      <c r="H67" s="58">
        <f>H66-G67</f>
        <v/>
      </c>
      <c r="I67" s="58">
        <f>IF(AND(BANCO_OK_1,B67&lt;=MESES),F67+G67+VINC_MES_1,0)</f>
        <v/>
      </c>
      <c r="J67" s="52">
        <f>IF(AND(BANCO_OK_2,B67&lt;=MESES),IF(OR(OF_TIPO_2="Fija",C67&lt;=OF_ANIOS_INI_2),OF_TIN_2,MAX(0,EURIBOR+OF_DIF_2)),0)</f>
        <v/>
      </c>
      <c r="K67" s="58">
        <f>IF(AND(BANCO_OK_2,B67&lt;=MESES),IF(OR(B67=1,J67&lt;&gt;J66),PMT(J67/1200,MESES-B67+1,-N66),K66),0)</f>
        <v/>
      </c>
      <c r="L67" s="58">
        <f>N66*J67/1200</f>
        <v/>
      </c>
      <c r="M67" s="58">
        <f>IF(AND(BANCO_OK_2,B67&lt;=MESES),IF(OR(B67=MESES,K67-L67&gt;N66),N66,K67-L67),0)</f>
        <v/>
      </c>
      <c r="N67" s="58">
        <f>N66-M67</f>
        <v/>
      </c>
      <c r="O67" s="58">
        <f>IF(AND(BANCO_OK_2,B67&lt;=MESES),L67+M67+VINC_MES_2,0)</f>
        <v/>
      </c>
      <c r="P67" s="52">
        <f>IF(AND(BANCO_OK_3,B67&lt;=MESES),IF(OR(OF_TIPO_3="Fija",C67&lt;=OF_ANIOS_INI_3),OF_TIN_3,MAX(0,EURIBOR+OF_DIF_3)),0)</f>
        <v/>
      </c>
      <c r="Q67" s="58">
        <f>IF(AND(BANCO_OK_3,B67&lt;=MESES),IF(OR(B67=1,P67&lt;&gt;P66),PMT(P67/1200,MESES-B67+1,-T66),Q66),0)</f>
        <v/>
      </c>
      <c r="R67" s="58">
        <f>T66*P67/1200</f>
        <v/>
      </c>
      <c r="S67" s="58">
        <f>IF(AND(BANCO_OK_3,B67&lt;=MESES),IF(OR(B67=MESES,Q67-R67&gt;T66),T66,Q67-R67),0)</f>
        <v/>
      </c>
      <c r="T67" s="58">
        <f>T66-S67</f>
        <v/>
      </c>
      <c r="U67" s="58">
        <f>IF(AND(BANCO_OK_3,B67&lt;=MESES),R67+S67+VINC_MES_3,0)</f>
        <v/>
      </c>
      <c r="V67" s="52">
        <f>IF(AND(BANCO_OK_4,B67&lt;=MESES),IF(OR(OF_TIPO_4="Fija",C67&lt;=OF_ANIOS_INI_4),OF_TIN_4,MAX(0,EURIBOR+OF_DIF_4)),0)</f>
        <v/>
      </c>
      <c r="W67" s="58">
        <f>IF(AND(BANCO_OK_4,B67&lt;=MESES),IF(OR(B67=1,V67&lt;&gt;V66),PMT(V67/1200,MESES-B67+1,-Z66),W66),0)</f>
        <v/>
      </c>
      <c r="X67" s="58">
        <f>Z66*V67/1200</f>
        <v/>
      </c>
      <c r="Y67" s="58">
        <f>IF(AND(BANCO_OK_4,B67&lt;=MESES),IF(OR(B67=MESES,W67-X67&gt;Z66),Z66,W67-X67),0)</f>
        <v/>
      </c>
      <c r="Z67" s="58">
        <f>Z66-Y67</f>
        <v/>
      </c>
      <c r="AA67" s="58">
        <f>IF(AND(BANCO_OK_4,B67&lt;=MESES),X67+Y67+VINC_MES_4,0)</f>
        <v/>
      </c>
    </row>
    <row r="68">
      <c r="B68" s="56" t="n">
        <v>60</v>
      </c>
      <c r="C68" s="56">
        <f>ROUNDUP(B68/12,0)</f>
        <v/>
      </c>
      <c r="D68" s="52">
        <f>IF(AND(BANCO_OK_1,B68&lt;=MESES),IF(OR(OF_TIPO_1="Fija",C68&lt;=OF_ANIOS_INI_1),OF_TIN_1,MAX(0,EURIBOR+OF_DIF_1)),0)</f>
        <v/>
      </c>
      <c r="E68" s="58">
        <f>IF(AND(BANCO_OK_1,B68&lt;=MESES),IF(OR(B68=1,D68&lt;&gt;D67),PMT(D68/1200,MESES-B68+1,-H67),E67),0)</f>
        <v/>
      </c>
      <c r="F68" s="58">
        <f>H67*D68/1200</f>
        <v/>
      </c>
      <c r="G68" s="58">
        <f>IF(AND(BANCO_OK_1,B68&lt;=MESES),IF(OR(B68=MESES,E68-F68&gt;H67),H67,E68-F68),0)</f>
        <v/>
      </c>
      <c r="H68" s="58">
        <f>H67-G68</f>
        <v/>
      </c>
      <c r="I68" s="58">
        <f>IF(AND(BANCO_OK_1,B68&lt;=MESES),F68+G68+VINC_MES_1,0)</f>
        <v/>
      </c>
      <c r="J68" s="52">
        <f>IF(AND(BANCO_OK_2,B68&lt;=MESES),IF(OR(OF_TIPO_2="Fija",C68&lt;=OF_ANIOS_INI_2),OF_TIN_2,MAX(0,EURIBOR+OF_DIF_2)),0)</f>
        <v/>
      </c>
      <c r="K68" s="58">
        <f>IF(AND(BANCO_OK_2,B68&lt;=MESES),IF(OR(B68=1,J68&lt;&gt;J67),PMT(J68/1200,MESES-B68+1,-N67),K67),0)</f>
        <v/>
      </c>
      <c r="L68" s="58">
        <f>N67*J68/1200</f>
        <v/>
      </c>
      <c r="M68" s="58">
        <f>IF(AND(BANCO_OK_2,B68&lt;=MESES),IF(OR(B68=MESES,K68-L68&gt;N67),N67,K68-L68),0)</f>
        <v/>
      </c>
      <c r="N68" s="58">
        <f>N67-M68</f>
        <v/>
      </c>
      <c r="O68" s="58">
        <f>IF(AND(BANCO_OK_2,B68&lt;=MESES),L68+M68+VINC_MES_2,0)</f>
        <v/>
      </c>
      <c r="P68" s="52">
        <f>IF(AND(BANCO_OK_3,B68&lt;=MESES),IF(OR(OF_TIPO_3="Fija",C68&lt;=OF_ANIOS_INI_3),OF_TIN_3,MAX(0,EURIBOR+OF_DIF_3)),0)</f>
        <v/>
      </c>
      <c r="Q68" s="58">
        <f>IF(AND(BANCO_OK_3,B68&lt;=MESES),IF(OR(B68=1,P68&lt;&gt;P67),PMT(P68/1200,MESES-B68+1,-T67),Q67),0)</f>
        <v/>
      </c>
      <c r="R68" s="58">
        <f>T67*P68/1200</f>
        <v/>
      </c>
      <c r="S68" s="58">
        <f>IF(AND(BANCO_OK_3,B68&lt;=MESES),IF(OR(B68=MESES,Q68-R68&gt;T67),T67,Q68-R68),0)</f>
        <v/>
      </c>
      <c r="T68" s="58">
        <f>T67-S68</f>
        <v/>
      </c>
      <c r="U68" s="58">
        <f>IF(AND(BANCO_OK_3,B68&lt;=MESES),R68+S68+VINC_MES_3,0)</f>
        <v/>
      </c>
      <c r="V68" s="52">
        <f>IF(AND(BANCO_OK_4,B68&lt;=MESES),IF(OR(OF_TIPO_4="Fija",C68&lt;=OF_ANIOS_INI_4),OF_TIN_4,MAX(0,EURIBOR+OF_DIF_4)),0)</f>
        <v/>
      </c>
      <c r="W68" s="58">
        <f>IF(AND(BANCO_OK_4,B68&lt;=MESES),IF(OR(B68=1,V68&lt;&gt;V67),PMT(V68/1200,MESES-B68+1,-Z67),W67),0)</f>
        <v/>
      </c>
      <c r="X68" s="58">
        <f>Z67*V68/1200</f>
        <v/>
      </c>
      <c r="Y68" s="58">
        <f>IF(AND(BANCO_OK_4,B68&lt;=MESES),IF(OR(B68=MESES,W68-X68&gt;Z67),Z67,W68-X68),0)</f>
        <v/>
      </c>
      <c r="Z68" s="58">
        <f>Z67-Y68</f>
        <v/>
      </c>
      <c r="AA68" s="58">
        <f>IF(AND(BANCO_OK_4,B68&lt;=MESES),X68+Y68+VINC_MES_4,0)</f>
        <v/>
      </c>
    </row>
    <row r="69">
      <c r="B69" s="56" t="n">
        <v>61</v>
      </c>
      <c r="C69" s="56">
        <f>ROUNDUP(B69/12,0)</f>
        <v/>
      </c>
      <c r="D69" s="52">
        <f>IF(AND(BANCO_OK_1,B69&lt;=MESES),IF(OR(OF_TIPO_1="Fija",C69&lt;=OF_ANIOS_INI_1),OF_TIN_1,MAX(0,EURIBOR+OF_DIF_1)),0)</f>
        <v/>
      </c>
      <c r="E69" s="58">
        <f>IF(AND(BANCO_OK_1,B69&lt;=MESES),IF(OR(B69=1,D69&lt;&gt;D68),PMT(D69/1200,MESES-B69+1,-H68),E68),0)</f>
        <v/>
      </c>
      <c r="F69" s="58">
        <f>H68*D69/1200</f>
        <v/>
      </c>
      <c r="G69" s="58">
        <f>IF(AND(BANCO_OK_1,B69&lt;=MESES),IF(OR(B69=MESES,E69-F69&gt;H68),H68,E69-F69),0)</f>
        <v/>
      </c>
      <c r="H69" s="58">
        <f>H68-G69</f>
        <v/>
      </c>
      <c r="I69" s="58">
        <f>IF(AND(BANCO_OK_1,B69&lt;=MESES),F69+G69+VINC_MES_1,0)</f>
        <v/>
      </c>
      <c r="J69" s="52">
        <f>IF(AND(BANCO_OK_2,B69&lt;=MESES),IF(OR(OF_TIPO_2="Fija",C69&lt;=OF_ANIOS_INI_2),OF_TIN_2,MAX(0,EURIBOR+OF_DIF_2)),0)</f>
        <v/>
      </c>
      <c r="K69" s="58">
        <f>IF(AND(BANCO_OK_2,B69&lt;=MESES),IF(OR(B69=1,J69&lt;&gt;J68),PMT(J69/1200,MESES-B69+1,-N68),K68),0)</f>
        <v/>
      </c>
      <c r="L69" s="58">
        <f>N68*J69/1200</f>
        <v/>
      </c>
      <c r="M69" s="58">
        <f>IF(AND(BANCO_OK_2,B69&lt;=MESES),IF(OR(B69=MESES,K69-L69&gt;N68),N68,K69-L69),0)</f>
        <v/>
      </c>
      <c r="N69" s="58">
        <f>N68-M69</f>
        <v/>
      </c>
      <c r="O69" s="58">
        <f>IF(AND(BANCO_OK_2,B69&lt;=MESES),L69+M69+VINC_MES_2,0)</f>
        <v/>
      </c>
      <c r="P69" s="52">
        <f>IF(AND(BANCO_OK_3,B69&lt;=MESES),IF(OR(OF_TIPO_3="Fija",C69&lt;=OF_ANIOS_INI_3),OF_TIN_3,MAX(0,EURIBOR+OF_DIF_3)),0)</f>
        <v/>
      </c>
      <c r="Q69" s="58">
        <f>IF(AND(BANCO_OK_3,B69&lt;=MESES),IF(OR(B69=1,P69&lt;&gt;P68),PMT(P69/1200,MESES-B69+1,-T68),Q68),0)</f>
        <v/>
      </c>
      <c r="R69" s="58">
        <f>T68*P69/1200</f>
        <v/>
      </c>
      <c r="S69" s="58">
        <f>IF(AND(BANCO_OK_3,B69&lt;=MESES),IF(OR(B69=MESES,Q69-R69&gt;T68),T68,Q69-R69),0)</f>
        <v/>
      </c>
      <c r="T69" s="58">
        <f>T68-S69</f>
        <v/>
      </c>
      <c r="U69" s="58">
        <f>IF(AND(BANCO_OK_3,B69&lt;=MESES),R69+S69+VINC_MES_3,0)</f>
        <v/>
      </c>
      <c r="V69" s="52">
        <f>IF(AND(BANCO_OK_4,B69&lt;=MESES),IF(OR(OF_TIPO_4="Fija",C69&lt;=OF_ANIOS_INI_4),OF_TIN_4,MAX(0,EURIBOR+OF_DIF_4)),0)</f>
        <v/>
      </c>
      <c r="W69" s="58">
        <f>IF(AND(BANCO_OK_4,B69&lt;=MESES),IF(OR(B69=1,V69&lt;&gt;V68),PMT(V69/1200,MESES-B69+1,-Z68),W68),0)</f>
        <v/>
      </c>
      <c r="X69" s="58">
        <f>Z68*V69/1200</f>
        <v/>
      </c>
      <c r="Y69" s="58">
        <f>IF(AND(BANCO_OK_4,B69&lt;=MESES),IF(OR(B69=MESES,W69-X69&gt;Z68),Z68,W69-X69),0)</f>
        <v/>
      </c>
      <c r="Z69" s="58">
        <f>Z68-Y69</f>
        <v/>
      </c>
      <c r="AA69" s="58">
        <f>IF(AND(BANCO_OK_4,B69&lt;=MESES),X69+Y69+VINC_MES_4,0)</f>
        <v/>
      </c>
    </row>
    <row r="70">
      <c r="B70" s="56" t="n">
        <v>62</v>
      </c>
      <c r="C70" s="56">
        <f>ROUNDUP(B70/12,0)</f>
        <v/>
      </c>
      <c r="D70" s="52">
        <f>IF(AND(BANCO_OK_1,B70&lt;=MESES),IF(OR(OF_TIPO_1="Fija",C70&lt;=OF_ANIOS_INI_1),OF_TIN_1,MAX(0,EURIBOR+OF_DIF_1)),0)</f>
        <v/>
      </c>
      <c r="E70" s="58">
        <f>IF(AND(BANCO_OK_1,B70&lt;=MESES),IF(OR(B70=1,D70&lt;&gt;D69),PMT(D70/1200,MESES-B70+1,-H69),E69),0)</f>
        <v/>
      </c>
      <c r="F70" s="58">
        <f>H69*D70/1200</f>
        <v/>
      </c>
      <c r="G70" s="58">
        <f>IF(AND(BANCO_OK_1,B70&lt;=MESES),IF(OR(B70=MESES,E70-F70&gt;H69),H69,E70-F70),0)</f>
        <v/>
      </c>
      <c r="H70" s="58">
        <f>H69-G70</f>
        <v/>
      </c>
      <c r="I70" s="58">
        <f>IF(AND(BANCO_OK_1,B70&lt;=MESES),F70+G70+VINC_MES_1,0)</f>
        <v/>
      </c>
      <c r="J70" s="52">
        <f>IF(AND(BANCO_OK_2,B70&lt;=MESES),IF(OR(OF_TIPO_2="Fija",C70&lt;=OF_ANIOS_INI_2),OF_TIN_2,MAX(0,EURIBOR+OF_DIF_2)),0)</f>
        <v/>
      </c>
      <c r="K70" s="58">
        <f>IF(AND(BANCO_OK_2,B70&lt;=MESES),IF(OR(B70=1,J70&lt;&gt;J69),PMT(J70/1200,MESES-B70+1,-N69),K69),0)</f>
        <v/>
      </c>
      <c r="L70" s="58">
        <f>N69*J70/1200</f>
        <v/>
      </c>
      <c r="M70" s="58">
        <f>IF(AND(BANCO_OK_2,B70&lt;=MESES),IF(OR(B70=MESES,K70-L70&gt;N69),N69,K70-L70),0)</f>
        <v/>
      </c>
      <c r="N70" s="58">
        <f>N69-M70</f>
        <v/>
      </c>
      <c r="O70" s="58">
        <f>IF(AND(BANCO_OK_2,B70&lt;=MESES),L70+M70+VINC_MES_2,0)</f>
        <v/>
      </c>
      <c r="P70" s="52">
        <f>IF(AND(BANCO_OK_3,B70&lt;=MESES),IF(OR(OF_TIPO_3="Fija",C70&lt;=OF_ANIOS_INI_3),OF_TIN_3,MAX(0,EURIBOR+OF_DIF_3)),0)</f>
        <v/>
      </c>
      <c r="Q70" s="58">
        <f>IF(AND(BANCO_OK_3,B70&lt;=MESES),IF(OR(B70=1,P70&lt;&gt;P69),PMT(P70/1200,MESES-B70+1,-T69),Q69),0)</f>
        <v/>
      </c>
      <c r="R70" s="58">
        <f>T69*P70/1200</f>
        <v/>
      </c>
      <c r="S70" s="58">
        <f>IF(AND(BANCO_OK_3,B70&lt;=MESES),IF(OR(B70=MESES,Q70-R70&gt;T69),T69,Q70-R70),0)</f>
        <v/>
      </c>
      <c r="T70" s="58">
        <f>T69-S70</f>
        <v/>
      </c>
      <c r="U70" s="58">
        <f>IF(AND(BANCO_OK_3,B70&lt;=MESES),R70+S70+VINC_MES_3,0)</f>
        <v/>
      </c>
      <c r="V70" s="52">
        <f>IF(AND(BANCO_OK_4,B70&lt;=MESES),IF(OR(OF_TIPO_4="Fija",C70&lt;=OF_ANIOS_INI_4),OF_TIN_4,MAX(0,EURIBOR+OF_DIF_4)),0)</f>
        <v/>
      </c>
      <c r="W70" s="58">
        <f>IF(AND(BANCO_OK_4,B70&lt;=MESES),IF(OR(B70=1,V70&lt;&gt;V69),PMT(V70/1200,MESES-B70+1,-Z69),W69),0)</f>
        <v/>
      </c>
      <c r="X70" s="58">
        <f>Z69*V70/1200</f>
        <v/>
      </c>
      <c r="Y70" s="58">
        <f>IF(AND(BANCO_OK_4,B70&lt;=MESES),IF(OR(B70=MESES,W70-X70&gt;Z69),Z69,W70-X70),0)</f>
        <v/>
      </c>
      <c r="Z70" s="58">
        <f>Z69-Y70</f>
        <v/>
      </c>
      <c r="AA70" s="58">
        <f>IF(AND(BANCO_OK_4,B70&lt;=MESES),X70+Y70+VINC_MES_4,0)</f>
        <v/>
      </c>
    </row>
    <row r="71">
      <c r="B71" s="56" t="n">
        <v>63</v>
      </c>
      <c r="C71" s="56">
        <f>ROUNDUP(B71/12,0)</f>
        <v/>
      </c>
      <c r="D71" s="52">
        <f>IF(AND(BANCO_OK_1,B71&lt;=MESES),IF(OR(OF_TIPO_1="Fija",C71&lt;=OF_ANIOS_INI_1),OF_TIN_1,MAX(0,EURIBOR+OF_DIF_1)),0)</f>
        <v/>
      </c>
      <c r="E71" s="58">
        <f>IF(AND(BANCO_OK_1,B71&lt;=MESES),IF(OR(B71=1,D71&lt;&gt;D70),PMT(D71/1200,MESES-B71+1,-H70),E70),0)</f>
        <v/>
      </c>
      <c r="F71" s="58">
        <f>H70*D71/1200</f>
        <v/>
      </c>
      <c r="G71" s="58">
        <f>IF(AND(BANCO_OK_1,B71&lt;=MESES),IF(OR(B71=MESES,E71-F71&gt;H70),H70,E71-F71),0)</f>
        <v/>
      </c>
      <c r="H71" s="58">
        <f>H70-G71</f>
        <v/>
      </c>
      <c r="I71" s="58">
        <f>IF(AND(BANCO_OK_1,B71&lt;=MESES),F71+G71+VINC_MES_1,0)</f>
        <v/>
      </c>
      <c r="J71" s="52">
        <f>IF(AND(BANCO_OK_2,B71&lt;=MESES),IF(OR(OF_TIPO_2="Fija",C71&lt;=OF_ANIOS_INI_2),OF_TIN_2,MAX(0,EURIBOR+OF_DIF_2)),0)</f>
        <v/>
      </c>
      <c r="K71" s="58">
        <f>IF(AND(BANCO_OK_2,B71&lt;=MESES),IF(OR(B71=1,J71&lt;&gt;J70),PMT(J71/1200,MESES-B71+1,-N70),K70),0)</f>
        <v/>
      </c>
      <c r="L71" s="58">
        <f>N70*J71/1200</f>
        <v/>
      </c>
      <c r="M71" s="58">
        <f>IF(AND(BANCO_OK_2,B71&lt;=MESES),IF(OR(B71=MESES,K71-L71&gt;N70),N70,K71-L71),0)</f>
        <v/>
      </c>
      <c r="N71" s="58">
        <f>N70-M71</f>
        <v/>
      </c>
      <c r="O71" s="58">
        <f>IF(AND(BANCO_OK_2,B71&lt;=MESES),L71+M71+VINC_MES_2,0)</f>
        <v/>
      </c>
      <c r="P71" s="52">
        <f>IF(AND(BANCO_OK_3,B71&lt;=MESES),IF(OR(OF_TIPO_3="Fija",C71&lt;=OF_ANIOS_INI_3),OF_TIN_3,MAX(0,EURIBOR+OF_DIF_3)),0)</f>
        <v/>
      </c>
      <c r="Q71" s="58">
        <f>IF(AND(BANCO_OK_3,B71&lt;=MESES),IF(OR(B71=1,P71&lt;&gt;P70),PMT(P71/1200,MESES-B71+1,-T70),Q70),0)</f>
        <v/>
      </c>
      <c r="R71" s="58">
        <f>T70*P71/1200</f>
        <v/>
      </c>
      <c r="S71" s="58">
        <f>IF(AND(BANCO_OK_3,B71&lt;=MESES),IF(OR(B71=MESES,Q71-R71&gt;T70),T70,Q71-R71),0)</f>
        <v/>
      </c>
      <c r="T71" s="58">
        <f>T70-S71</f>
        <v/>
      </c>
      <c r="U71" s="58">
        <f>IF(AND(BANCO_OK_3,B71&lt;=MESES),R71+S71+VINC_MES_3,0)</f>
        <v/>
      </c>
      <c r="V71" s="52">
        <f>IF(AND(BANCO_OK_4,B71&lt;=MESES),IF(OR(OF_TIPO_4="Fija",C71&lt;=OF_ANIOS_INI_4),OF_TIN_4,MAX(0,EURIBOR+OF_DIF_4)),0)</f>
        <v/>
      </c>
      <c r="W71" s="58">
        <f>IF(AND(BANCO_OK_4,B71&lt;=MESES),IF(OR(B71=1,V71&lt;&gt;V70),PMT(V71/1200,MESES-B71+1,-Z70),W70),0)</f>
        <v/>
      </c>
      <c r="X71" s="58">
        <f>Z70*V71/1200</f>
        <v/>
      </c>
      <c r="Y71" s="58">
        <f>IF(AND(BANCO_OK_4,B71&lt;=MESES),IF(OR(B71=MESES,W71-X71&gt;Z70),Z70,W71-X71),0)</f>
        <v/>
      </c>
      <c r="Z71" s="58">
        <f>Z70-Y71</f>
        <v/>
      </c>
      <c r="AA71" s="58">
        <f>IF(AND(BANCO_OK_4,B71&lt;=MESES),X71+Y71+VINC_MES_4,0)</f>
        <v/>
      </c>
    </row>
    <row r="72">
      <c r="B72" s="56" t="n">
        <v>64</v>
      </c>
      <c r="C72" s="56">
        <f>ROUNDUP(B72/12,0)</f>
        <v/>
      </c>
      <c r="D72" s="52">
        <f>IF(AND(BANCO_OK_1,B72&lt;=MESES),IF(OR(OF_TIPO_1="Fija",C72&lt;=OF_ANIOS_INI_1),OF_TIN_1,MAX(0,EURIBOR+OF_DIF_1)),0)</f>
        <v/>
      </c>
      <c r="E72" s="58">
        <f>IF(AND(BANCO_OK_1,B72&lt;=MESES),IF(OR(B72=1,D72&lt;&gt;D71),PMT(D72/1200,MESES-B72+1,-H71),E71),0)</f>
        <v/>
      </c>
      <c r="F72" s="58">
        <f>H71*D72/1200</f>
        <v/>
      </c>
      <c r="G72" s="58">
        <f>IF(AND(BANCO_OK_1,B72&lt;=MESES),IF(OR(B72=MESES,E72-F72&gt;H71),H71,E72-F72),0)</f>
        <v/>
      </c>
      <c r="H72" s="58">
        <f>H71-G72</f>
        <v/>
      </c>
      <c r="I72" s="58">
        <f>IF(AND(BANCO_OK_1,B72&lt;=MESES),F72+G72+VINC_MES_1,0)</f>
        <v/>
      </c>
      <c r="J72" s="52">
        <f>IF(AND(BANCO_OK_2,B72&lt;=MESES),IF(OR(OF_TIPO_2="Fija",C72&lt;=OF_ANIOS_INI_2),OF_TIN_2,MAX(0,EURIBOR+OF_DIF_2)),0)</f>
        <v/>
      </c>
      <c r="K72" s="58">
        <f>IF(AND(BANCO_OK_2,B72&lt;=MESES),IF(OR(B72=1,J72&lt;&gt;J71),PMT(J72/1200,MESES-B72+1,-N71),K71),0)</f>
        <v/>
      </c>
      <c r="L72" s="58">
        <f>N71*J72/1200</f>
        <v/>
      </c>
      <c r="M72" s="58">
        <f>IF(AND(BANCO_OK_2,B72&lt;=MESES),IF(OR(B72=MESES,K72-L72&gt;N71),N71,K72-L72),0)</f>
        <v/>
      </c>
      <c r="N72" s="58">
        <f>N71-M72</f>
        <v/>
      </c>
      <c r="O72" s="58">
        <f>IF(AND(BANCO_OK_2,B72&lt;=MESES),L72+M72+VINC_MES_2,0)</f>
        <v/>
      </c>
      <c r="P72" s="52">
        <f>IF(AND(BANCO_OK_3,B72&lt;=MESES),IF(OR(OF_TIPO_3="Fija",C72&lt;=OF_ANIOS_INI_3),OF_TIN_3,MAX(0,EURIBOR+OF_DIF_3)),0)</f>
        <v/>
      </c>
      <c r="Q72" s="58">
        <f>IF(AND(BANCO_OK_3,B72&lt;=MESES),IF(OR(B72=1,P72&lt;&gt;P71),PMT(P72/1200,MESES-B72+1,-T71),Q71),0)</f>
        <v/>
      </c>
      <c r="R72" s="58">
        <f>T71*P72/1200</f>
        <v/>
      </c>
      <c r="S72" s="58">
        <f>IF(AND(BANCO_OK_3,B72&lt;=MESES),IF(OR(B72=MESES,Q72-R72&gt;T71),T71,Q72-R72),0)</f>
        <v/>
      </c>
      <c r="T72" s="58">
        <f>T71-S72</f>
        <v/>
      </c>
      <c r="U72" s="58">
        <f>IF(AND(BANCO_OK_3,B72&lt;=MESES),R72+S72+VINC_MES_3,0)</f>
        <v/>
      </c>
      <c r="V72" s="52">
        <f>IF(AND(BANCO_OK_4,B72&lt;=MESES),IF(OR(OF_TIPO_4="Fija",C72&lt;=OF_ANIOS_INI_4),OF_TIN_4,MAX(0,EURIBOR+OF_DIF_4)),0)</f>
        <v/>
      </c>
      <c r="W72" s="58">
        <f>IF(AND(BANCO_OK_4,B72&lt;=MESES),IF(OR(B72=1,V72&lt;&gt;V71),PMT(V72/1200,MESES-B72+1,-Z71),W71),0)</f>
        <v/>
      </c>
      <c r="X72" s="58">
        <f>Z71*V72/1200</f>
        <v/>
      </c>
      <c r="Y72" s="58">
        <f>IF(AND(BANCO_OK_4,B72&lt;=MESES),IF(OR(B72=MESES,W72-X72&gt;Z71),Z71,W72-X72),0)</f>
        <v/>
      </c>
      <c r="Z72" s="58">
        <f>Z71-Y72</f>
        <v/>
      </c>
      <c r="AA72" s="58">
        <f>IF(AND(BANCO_OK_4,B72&lt;=MESES),X72+Y72+VINC_MES_4,0)</f>
        <v/>
      </c>
    </row>
    <row r="73">
      <c r="B73" s="56" t="n">
        <v>65</v>
      </c>
      <c r="C73" s="56">
        <f>ROUNDUP(B73/12,0)</f>
        <v/>
      </c>
      <c r="D73" s="52">
        <f>IF(AND(BANCO_OK_1,B73&lt;=MESES),IF(OR(OF_TIPO_1="Fija",C73&lt;=OF_ANIOS_INI_1),OF_TIN_1,MAX(0,EURIBOR+OF_DIF_1)),0)</f>
        <v/>
      </c>
      <c r="E73" s="58">
        <f>IF(AND(BANCO_OK_1,B73&lt;=MESES),IF(OR(B73=1,D73&lt;&gt;D72),PMT(D73/1200,MESES-B73+1,-H72),E72),0)</f>
        <v/>
      </c>
      <c r="F73" s="58">
        <f>H72*D73/1200</f>
        <v/>
      </c>
      <c r="G73" s="58">
        <f>IF(AND(BANCO_OK_1,B73&lt;=MESES),IF(OR(B73=MESES,E73-F73&gt;H72),H72,E73-F73),0)</f>
        <v/>
      </c>
      <c r="H73" s="58">
        <f>H72-G73</f>
        <v/>
      </c>
      <c r="I73" s="58">
        <f>IF(AND(BANCO_OK_1,B73&lt;=MESES),F73+G73+VINC_MES_1,0)</f>
        <v/>
      </c>
      <c r="J73" s="52">
        <f>IF(AND(BANCO_OK_2,B73&lt;=MESES),IF(OR(OF_TIPO_2="Fija",C73&lt;=OF_ANIOS_INI_2),OF_TIN_2,MAX(0,EURIBOR+OF_DIF_2)),0)</f>
        <v/>
      </c>
      <c r="K73" s="58">
        <f>IF(AND(BANCO_OK_2,B73&lt;=MESES),IF(OR(B73=1,J73&lt;&gt;J72),PMT(J73/1200,MESES-B73+1,-N72),K72),0)</f>
        <v/>
      </c>
      <c r="L73" s="58">
        <f>N72*J73/1200</f>
        <v/>
      </c>
      <c r="M73" s="58">
        <f>IF(AND(BANCO_OK_2,B73&lt;=MESES),IF(OR(B73=MESES,K73-L73&gt;N72),N72,K73-L73),0)</f>
        <v/>
      </c>
      <c r="N73" s="58">
        <f>N72-M73</f>
        <v/>
      </c>
      <c r="O73" s="58">
        <f>IF(AND(BANCO_OK_2,B73&lt;=MESES),L73+M73+VINC_MES_2,0)</f>
        <v/>
      </c>
      <c r="P73" s="52">
        <f>IF(AND(BANCO_OK_3,B73&lt;=MESES),IF(OR(OF_TIPO_3="Fija",C73&lt;=OF_ANIOS_INI_3),OF_TIN_3,MAX(0,EURIBOR+OF_DIF_3)),0)</f>
        <v/>
      </c>
      <c r="Q73" s="58">
        <f>IF(AND(BANCO_OK_3,B73&lt;=MESES),IF(OR(B73=1,P73&lt;&gt;P72),PMT(P73/1200,MESES-B73+1,-T72),Q72),0)</f>
        <v/>
      </c>
      <c r="R73" s="58">
        <f>T72*P73/1200</f>
        <v/>
      </c>
      <c r="S73" s="58">
        <f>IF(AND(BANCO_OK_3,B73&lt;=MESES),IF(OR(B73=MESES,Q73-R73&gt;T72),T72,Q73-R73),0)</f>
        <v/>
      </c>
      <c r="T73" s="58">
        <f>T72-S73</f>
        <v/>
      </c>
      <c r="U73" s="58">
        <f>IF(AND(BANCO_OK_3,B73&lt;=MESES),R73+S73+VINC_MES_3,0)</f>
        <v/>
      </c>
      <c r="V73" s="52">
        <f>IF(AND(BANCO_OK_4,B73&lt;=MESES),IF(OR(OF_TIPO_4="Fija",C73&lt;=OF_ANIOS_INI_4),OF_TIN_4,MAX(0,EURIBOR+OF_DIF_4)),0)</f>
        <v/>
      </c>
      <c r="W73" s="58">
        <f>IF(AND(BANCO_OK_4,B73&lt;=MESES),IF(OR(B73=1,V73&lt;&gt;V72),PMT(V73/1200,MESES-B73+1,-Z72),W72),0)</f>
        <v/>
      </c>
      <c r="X73" s="58">
        <f>Z72*V73/1200</f>
        <v/>
      </c>
      <c r="Y73" s="58">
        <f>IF(AND(BANCO_OK_4,B73&lt;=MESES),IF(OR(B73=MESES,W73-X73&gt;Z72),Z72,W73-X73),0)</f>
        <v/>
      </c>
      <c r="Z73" s="58">
        <f>Z72-Y73</f>
        <v/>
      </c>
      <c r="AA73" s="58">
        <f>IF(AND(BANCO_OK_4,B73&lt;=MESES),X73+Y73+VINC_MES_4,0)</f>
        <v/>
      </c>
    </row>
    <row r="74">
      <c r="B74" s="56" t="n">
        <v>66</v>
      </c>
      <c r="C74" s="56">
        <f>ROUNDUP(B74/12,0)</f>
        <v/>
      </c>
      <c r="D74" s="52">
        <f>IF(AND(BANCO_OK_1,B74&lt;=MESES),IF(OR(OF_TIPO_1="Fija",C74&lt;=OF_ANIOS_INI_1),OF_TIN_1,MAX(0,EURIBOR+OF_DIF_1)),0)</f>
        <v/>
      </c>
      <c r="E74" s="58">
        <f>IF(AND(BANCO_OK_1,B74&lt;=MESES),IF(OR(B74=1,D74&lt;&gt;D73),PMT(D74/1200,MESES-B74+1,-H73),E73),0)</f>
        <v/>
      </c>
      <c r="F74" s="58">
        <f>H73*D74/1200</f>
        <v/>
      </c>
      <c r="G74" s="58">
        <f>IF(AND(BANCO_OK_1,B74&lt;=MESES),IF(OR(B74=MESES,E74-F74&gt;H73),H73,E74-F74),0)</f>
        <v/>
      </c>
      <c r="H74" s="58">
        <f>H73-G74</f>
        <v/>
      </c>
      <c r="I74" s="58">
        <f>IF(AND(BANCO_OK_1,B74&lt;=MESES),F74+G74+VINC_MES_1,0)</f>
        <v/>
      </c>
      <c r="J74" s="52">
        <f>IF(AND(BANCO_OK_2,B74&lt;=MESES),IF(OR(OF_TIPO_2="Fija",C74&lt;=OF_ANIOS_INI_2),OF_TIN_2,MAX(0,EURIBOR+OF_DIF_2)),0)</f>
        <v/>
      </c>
      <c r="K74" s="58">
        <f>IF(AND(BANCO_OK_2,B74&lt;=MESES),IF(OR(B74=1,J74&lt;&gt;J73),PMT(J74/1200,MESES-B74+1,-N73),K73),0)</f>
        <v/>
      </c>
      <c r="L74" s="58">
        <f>N73*J74/1200</f>
        <v/>
      </c>
      <c r="M74" s="58">
        <f>IF(AND(BANCO_OK_2,B74&lt;=MESES),IF(OR(B74=MESES,K74-L74&gt;N73),N73,K74-L74),0)</f>
        <v/>
      </c>
      <c r="N74" s="58">
        <f>N73-M74</f>
        <v/>
      </c>
      <c r="O74" s="58">
        <f>IF(AND(BANCO_OK_2,B74&lt;=MESES),L74+M74+VINC_MES_2,0)</f>
        <v/>
      </c>
      <c r="P74" s="52">
        <f>IF(AND(BANCO_OK_3,B74&lt;=MESES),IF(OR(OF_TIPO_3="Fija",C74&lt;=OF_ANIOS_INI_3),OF_TIN_3,MAX(0,EURIBOR+OF_DIF_3)),0)</f>
        <v/>
      </c>
      <c r="Q74" s="58">
        <f>IF(AND(BANCO_OK_3,B74&lt;=MESES),IF(OR(B74=1,P74&lt;&gt;P73),PMT(P74/1200,MESES-B74+1,-T73),Q73),0)</f>
        <v/>
      </c>
      <c r="R74" s="58">
        <f>T73*P74/1200</f>
        <v/>
      </c>
      <c r="S74" s="58">
        <f>IF(AND(BANCO_OK_3,B74&lt;=MESES),IF(OR(B74=MESES,Q74-R74&gt;T73),T73,Q74-R74),0)</f>
        <v/>
      </c>
      <c r="T74" s="58">
        <f>T73-S74</f>
        <v/>
      </c>
      <c r="U74" s="58">
        <f>IF(AND(BANCO_OK_3,B74&lt;=MESES),R74+S74+VINC_MES_3,0)</f>
        <v/>
      </c>
      <c r="V74" s="52">
        <f>IF(AND(BANCO_OK_4,B74&lt;=MESES),IF(OR(OF_TIPO_4="Fija",C74&lt;=OF_ANIOS_INI_4),OF_TIN_4,MAX(0,EURIBOR+OF_DIF_4)),0)</f>
        <v/>
      </c>
      <c r="W74" s="58">
        <f>IF(AND(BANCO_OK_4,B74&lt;=MESES),IF(OR(B74=1,V74&lt;&gt;V73),PMT(V74/1200,MESES-B74+1,-Z73),W73),0)</f>
        <v/>
      </c>
      <c r="X74" s="58">
        <f>Z73*V74/1200</f>
        <v/>
      </c>
      <c r="Y74" s="58">
        <f>IF(AND(BANCO_OK_4,B74&lt;=MESES),IF(OR(B74=MESES,W74-X74&gt;Z73),Z73,W74-X74),0)</f>
        <v/>
      </c>
      <c r="Z74" s="58">
        <f>Z73-Y74</f>
        <v/>
      </c>
      <c r="AA74" s="58">
        <f>IF(AND(BANCO_OK_4,B74&lt;=MESES),X74+Y74+VINC_MES_4,0)</f>
        <v/>
      </c>
    </row>
    <row r="75">
      <c r="B75" s="56" t="n">
        <v>67</v>
      </c>
      <c r="C75" s="56">
        <f>ROUNDUP(B75/12,0)</f>
        <v/>
      </c>
      <c r="D75" s="52">
        <f>IF(AND(BANCO_OK_1,B75&lt;=MESES),IF(OR(OF_TIPO_1="Fija",C75&lt;=OF_ANIOS_INI_1),OF_TIN_1,MAX(0,EURIBOR+OF_DIF_1)),0)</f>
        <v/>
      </c>
      <c r="E75" s="58">
        <f>IF(AND(BANCO_OK_1,B75&lt;=MESES),IF(OR(B75=1,D75&lt;&gt;D74),PMT(D75/1200,MESES-B75+1,-H74),E74),0)</f>
        <v/>
      </c>
      <c r="F75" s="58">
        <f>H74*D75/1200</f>
        <v/>
      </c>
      <c r="G75" s="58">
        <f>IF(AND(BANCO_OK_1,B75&lt;=MESES),IF(OR(B75=MESES,E75-F75&gt;H74),H74,E75-F75),0)</f>
        <v/>
      </c>
      <c r="H75" s="58">
        <f>H74-G75</f>
        <v/>
      </c>
      <c r="I75" s="58">
        <f>IF(AND(BANCO_OK_1,B75&lt;=MESES),F75+G75+VINC_MES_1,0)</f>
        <v/>
      </c>
      <c r="J75" s="52">
        <f>IF(AND(BANCO_OK_2,B75&lt;=MESES),IF(OR(OF_TIPO_2="Fija",C75&lt;=OF_ANIOS_INI_2),OF_TIN_2,MAX(0,EURIBOR+OF_DIF_2)),0)</f>
        <v/>
      </c>
      <c r="K75" s="58">
        <f>IF(AND(BANCO_OK_2,B75&lt;=MESES),IF(OR(B75=1,J75&lt;&gt;J74),PMT(J75/1200,MESES-B75+1,-N74),K74),0)</f>
        <v/>
      </c>
      <c r="L75" s="58">
        <f>N74*J75/1200</f>
        <v/>
      </c>
      <c r="M75" s="58">
        <f>IF(AND(BANCO_OK_2,B75&lt;=MESES),IF(OR(B75=MESES,K75-L75&gt;N74),N74,K75-L75),0)</f>
        <v/>
      </c>
      <c r="N75" s="58">
        <f>N74-M75</f>
        <v/>
      </c>
      <c r="O75" s="58">
        <f>IF(AND(BANCO_OK_2,B75&lt;=MESES),L75+M75+VINC_MES_2,0)</f>
        <v/>
      </c>
      <c r="P75" s="52">
        <f>IF(AND(BANCO_OK_3,B75&lt;=MESES),IF(OR(OF_TIPO_3="Fija",C75&lt;=OF_ANIOS_INI_3),OF_TIN_3,MAX(0,EURIBOR+OF_DIF_3)),0)</f>
        <v/>
      </c>
      <c r="Q75" s="58">
        <f>IF(AND(BANCO_OK_3,B75&lt;=MESES),IF(OR(B75=1,P75&lt;&gt;P74),PMT(P75/1200,MESES-B75+1,-T74),Q74),0)</f>
        <v/>
      </c>
      <c r="R75" s="58">
        <f>T74*P75/1200</f>
        <v/>
      </c>
      <c r="S75" s="58">
        <f>IF(AND(BANCO_OK_3,B75&lt;=MESES),IF(OR(B75=MESES,Q75-R75&gt;T74),T74,Q75-R75),0)</f>
        <v/>
      </c>
      <c r="T75" s="58">
        <f>T74-S75</f>
        <v/>
      </c>
      <c r="U75" s="58">
        <f>IF(AND(BANCO_OK_3,B75&lt;=MESES),R75+S75+VINC_MES_3,0)</f>
        <v/>
      </c>
      <c r="V75" s="52">
        <f>IF(AND(BANCO_OK_4,B75&lt;=MESES),IF(OR(OF_TIPO_4="Fija",C75&lt;=OF_ANIOS_INI_4),OF_TIN_4,MAX(0,EURIBOR+OF_DIF_4)),0)</f>
        <v/>
      </c>
      <c r="W75" s="58">
        <f>IF(AND(BANCO_OK_4,B75&lt;=MESES),IF(OR(B75=1,V75&lt;&gt;V74),PMT(V75/1200,MESES-B75+1,-Z74),W74),0)</f>
        <v/>
      </c>
      <c r="X75" s="58">
        <f>Z74*V75/1200</f>
        <v/>
      </c>
      <c r="Y75" s="58">
        <f>IF(AND(BANCO_OK_4,B75&lt;=MESES),IF(OR(B75=MESES,W75-X75&gt;Z74),Z74,W75-X75),0)</f>
        <v/>
      </c>
      <c r="Z75" s="58">
        <f>Z74-Y75</f>
        <v/>
      </c>
      <c r="AA75" s="58">
        <f>IF(AND(BANCO_OK_4,B75&lt;=MESES),X75+Y75+VINC_MES_4,0)</f>
        <v/>
      </c>
    </row>
    <row r="76">
      <c r="B76" s="56" t="n">
        <v>68</v>
      </c>
      <c r="C76" s="56">
        <f>ROUNDUP(B76/12,0)</f>
        <v/>
      </c>
      <c r="D76" s="52">
        <f>IF(AND(BANCO_OK_1,B76&lt;=MESES),IF(OR(OF_TIPO_1="Fija",C76&lt;=OF_ANIOS_INI_1),OF_TIN_1,MAX(0,EURIBOR+OF_DIF_1)),0)</f>
        <v/>
      </c>
      <c r="E76" s="58">
        <f>IF(AND(BANCO_OK_1,B76&lt;=MESES),IF(OR(B76=1,D76&lt;&gt;D75),PMT(D76/1200,MESES-B76+1,-H75),E75),0)</f>
        <v/>
      </c>
      <c r="F76" s="58">
        <f>H75*D76/1200</f>
        <v/>
      </c>
      <c r="G76" s="58">
        <f>IF(AND(BANCO_OK_1,B76&lt;=MESES),IF(OR(B76=MESES,E76-F76&gt;H75),H75,E76-F76),0)</f>
        <v/>
      </c>
      <c r="H76" s="58">
        <f>H75-G76</f>
        <v/>
      </c>
      <c r="I76" s="58">
        <f>IF(AND(BANCO_OK_1,B76&lt;=MESES),F76+G76+VINC_MES_1,0)</f>
        <v/>
      </c>
      <c r="J76" s="52">
        <f>IF(AND(BANCO_OK_2,B76&lt;=MESES),IF(OR(OF_TIPO_2="Fija",C76&lt;=OF_ANIOS_INI_2),OF_TIN_2,MAX(0,EURIBOR+OF_DIF_2)),0)</f>
        <v/>
      </c>
      <c r="K76" s="58">
        <f>IF(AND(BANCO_OK_2,B76&lt;=MESES),IF(OR(B76=1,J76&lt;&gt;J75),PMT(J76/1200,MESES-B76+1,-N75),K75),0)</f>
        <v/>
      </c>
      <c r="L76" s="58">
        <f>N75*J76/1200</f>
        <v/>
      </c>
      <c r="M76" s="58">
        <f>IF(AND(BANCO_OK_2,B76&lt;=MESES),IF(OR(B76=MESES,K76-L76&gt;N75),N75,K76-L76),0)</f>
        <v/>
      </c>
      <c r="N76" s="58">
        <f>N75-M76</f>
        <v/>
      </c>
      <c r="O76" s="58">
        <f>IF(AND(BANCO_OK_2,B76&lt;=MESES),L76+M76+VINC_MES_2,0)</f>
        <v/>
      </c>
      <c r="P76" s="52">
        <f>IF(AND(BANCO_OK_3,B76&lt;=MESES),IF(OR(OF_TIPO_3="Fija",C76&lt;=OF_ANIOS_INI_3),OF_TIN_3,MAX(0,EURIBOR+OF_DIF_3)),0)</f>
        <v/>
      </c>
      <c r="Q76" s="58">
        <f>IF(AND(BANCO_OK_3,B76&lt;=MESES),IF(OR(B76=1,P76&lt;&gt;P75),PMT(P76/1200,MESES-B76+1,-T75),Q75),0)</f>
        <v/>
      </c>
      <c r="R76" s="58">
        <f>T75*P76/1200</f>
        <v/>
      </c>
      <c r="S76" s="58">
        <f>IF(AND(BANCO_OK_3,B76&lt;=MESES),IF(OR(B76=MESES,Q76-R76&gt;T75),T75,Q76-R76),0)</f>
        <v/>
      </c>
      <c r="T76" s="58">
        <f>T75-S76</f>
        <v/>
      </c>
      <c r="U76" s="58">
        <f>IF(AND(BANCO_OK_3,B76&lt;=MESES),R76+S76+VINC_MES_3,0)</f>
        <v/>
      </c>
      <c r="V76" s="52">
        <f>IF(AND(BANCO_OK_4,B76&lt;=MESES),IF(OR(OF_TIPO_4="Fija",C76&lt;=OF_ANIOS_INI_4),OF_TIN_4,MAX(0,EURIBOR+OF_DIF_4)),0)</f>
        <v/>
      </c>
      <c r="W76" s="58">
        <f>IF(AND(BANCO_OK_4,B76&lt;=MESES),IF(OR(B76=1,V76&lt;&gt;V75),PMT(V76/1200,MESES-B76+1,-Z75),W75),0)</f>
        <v/>
      </c>
      <c r="X76" s="58">
        <f>Z75*V76/1200</f>
        <v/>
      </c>
      <c r="Y76" s="58">
        <f>IF(AND(BANCO_OK_4,B76&lt;=MESES),IF(OR(B76=MESES,W76-X76&gt;Z75),Z75,W76-X76),0)</f>
        <v/>
      </c>
      <c r="Z76" s="58">
        <f>Z75-Y76</f>
        <v/>
      </c>
      <c r="AA76" s="58">
        <f>IF(AND(BANCO_OK_4,B76&lt;=MESES),X76+Y76+VINC_MES_4,0)</f>
        <v/>
      </c>
    </row>
    <row r="77">
      <c r="B77" s="56" t="n">
        <v>69</v>
      </c>
      <c r="C77" s="56">
        <f>ROUNDUP(B77/12,0)</f>
        <v/>
      </c>
      <c r="D77" s="52">
        <f>IF(AND(BANCO_OK_1,B77&lt;=MESES),IF(OR(OF_TIPO_1="Fija",C77&lt;=OF_ANIOS_INI_1),OF_TIN_1,MAX(0,EURIBOR+OF_DIF_1)),0)</f>
        <v/>
      </c>
      <c r="E77" s="58">
        <f>IF(AND(BANCO_OK_1,B77&lt;=MESES),IF(OR(B77=1,D77&lt;&gt;D76),PMT(D77/1200,MESES-B77+1,-H76),E76),0)</f>
        <v/>
      </c>
      <c r="F77" s="58">
        <f>H76*D77/1200</f>
        <v/>
      </c>
      <c r="G77" s="58">
        <f>IF(AND(BANCO_OK_1,B77&lt;=MESES),IF(OR(B77=MESES,E77-F77&gt;H76),H76,E77-F77),0)</f>
        <v/>
      </c>
      <c r="H77" s="58">
        <f>H76-G77</f>
        <v/>
      </c>
      <c r="I77" s="58">
        <f>IF(AND(BANCO_OK_1,B77&lt;=MESES),F77+G77+VINC_MES_1,0)</f>
        <v/>
      </c>
      <c r="J77" s="52">
        <f>IF(AND(BANCO_OK_2,B77&lt;=MESES),IF(OR(OF_TIPO_2="Fija",C77&lt;=OF_ANIOS_INI_2),OF_TIN_2,MAX(0,EURIBOR+OF_DIF_2)),0)</f>
        <v/>
      </c>
      <c r="K77" s="58">
        <f>IF(AND(BANCO_OK_2,B77&lt;=MESES),IF(OR(B77=1,J77&lt;&gt;J76),PMT(J77/1200,MESES-B77+1,-N76),K76),0)</f>
        <v/>
      </c>
      <c r="L77" s="58">
        <f>N76*J77/1200</f>
        <v/>
      </c>
      <c r="M77" s="58">
        <f>IF(AND(BANCO_OK_2,B77&lt;=MESES),IF(OR(B77=MESES,K77-L77&gt;N76),N76,K77-L77),0)</f>
        <v/>
      </c>
      <c r="N77" s="58">
        <f>N76-M77</f>
        <v/>
      </c>
      <c r="O77" s="58">
        <f>IF(AND(BANCO_OK_2,B77&lt;=MESES),L77+M77+VINC_MES_2,0)</f>
        <v/>
      </c>
      <c r="P77" s="52">
        <f>IF(AND(BANCO_OK_3,B77&lt;=MESES),IF(OR(OF_TIPO_3="Fija",C77&lt;=OF_ANIOS_INI_3),OF_TIN_3,MAX(0,EURIBOR+OF_DIF_3)),0)</f>
        <v/>
      </c>
      <c r="Q77" s="58">
        <f>IF(AND(BANCO_OK_3,B77&lt;=MESES),IF(OR(B77=1,P77&lt;&gt;P76),PMT(P77/1200,MESES-B77+1,-T76),Q76),0)</f>
        <v/>
      </c>
      <c r="R77" s="58">
        <f>T76*P77/1200</f>
        <v/>
      </c>
      <c r="S77" s="58">
        <f>IF(AND(BANCO_OK_3,B77&lt;=MESES),IF(OR(B77=MESES,Q77-R77&gt;T76),T76,Q77-R77),0)</f>
        <v/>
      </c>
      <c r="T77" s="58">
        <f>T76-S77</f>
        <v/>
      </c>
      <c r="U77" s="58">
        <f>IF(AND(BANCO_OK_3,B77&lt;=MESES),R77+S77+VINC_MES_3,0)</f>
        <v/>
      </c>
      <c r="V77" s="52">
        <f>IF(AND(BANCO_OK_4,B77&lt;=MESES),IF(OR(OF_TIPO_4="Fija",C77&lt;=OF_ANIOS_INI_4),OF_TIN_4,MAX(0,EURIBOR+OF_DIF_4)),0)</f>
        <v/>
      </c>
      <c r="W77" s="58">
        <f>IF(AND(BANCO_OK_4,B77&lt;=MESES),IF(OR(B77=1,V77&lt;&gt;V76),PMT(V77/1200,MESES-B77+1,-Z76),W76),0)</f>
        <v/>
      </c>
      <c r="X77" s="58">
        <f>Z76*V77/1200</f>
        <v/>
      </c>
      <c r="Y77" s="58">
        <f>IF(AND(BANCO_OK_4,B77&lt;=MESES),IF(OR(B77=MESES,W77-X77&gt;Z76),Z76,W77-X77),0)</f>
        <v/>
      </c>
      <c r="Z77" s="58">
        <f>Z76-Y77</f>
        <v/>
      </c>
      <c r="AA77" s="58">
        <f>IF(AND(BANCO_OK_4,B77&lt;=MESES),X77+Y77+VINC_MES_4,0)</f>
        <v/>
      </c>
    </row>
    <row r="78">
      <c r="B78" s="56" t="n">
        <v>70</v>
      </c>
      <c r="C78" s="56">
        <f>ROUNDUP(B78/12,0)</f>
        <v/>
      </c>
      <c r="D78" s="52">
        <f>IF(AND(BANCO_OK_1,B78&lt;=MESES),IF(OR(OF_TIPO_1="Fija",C78&lt;=OF_ANIOS_INI_1),OF_TIN_1,MAX(0,EURIBOR+OF_DIF_1)),0)</f>
        <v/>
      </c>
      <c r="E78" s="58">
        <f>IF(AND(BANCO_OK_1,B78&lt;=MESES),IF(OR(B78=1,D78&lt;&gt;D77),PMT(D78/1200,MESES-B78+1,-H77),E77),0)</f>
        <v/>
      </c>
      <c r="F78" s="58">
        <f>H77*D78/1200</f>
        <v/>
      </c>
      <c r="G78" s="58">
        <f>IF(AND(BANCO_OK_1,B78&lt;=MESES),IF(OR(B78=MESES,E78-F78&gt;H77),H77,E78-F78),0)</f>
        <v/>
      </c>
      <c r="H78" s="58">
        <f>H77-G78</f>
        <v/>
      </c>
      <c r="I78" s="58">
        <f>IF(AND(BANCO_OK_1,B78&lt;=MESES),F78+G78+VINC_MES_1,0)</f>
        <v/>
      </c>
      <c r="J78" s="52">
        <f>IF(AND(BANCO_OK_2,B78&lt;=MESES),IF(OR(OF_TIPO_2="Fija",C78&lt;=OF_ANIOS_INI_2),OF_TIN_2,MAX(0,EURIBOR+OF_DIF_2)),0)</f>
        <v/>
      </c>
      <c r="K78" s="58">
        <f>IF(AND(BANCO_OK_2,B78&lt;=MESES),IF(OR(B78=1,J78&lt;&gt;J77),PMT(J78/1200,MESES-B78+1,-N77),K77),0)</f>
        <v/>
      </c>
      <c r="L78" s="58">
        <f>N77*J78/1200</f>
        <v/>
      </c>
      <c r="M78" s="58">
        <f>IF(AND(BANCO_OK_2,B78&lt;=MESES),IF(OR(B78=MESES,K78-L78&gt;N77),N77,K78-L78),0)</f>
        <v/>
      </c>
      <c r="N78" s="58">
        <f>N77-M78</f>
        <v/>
      </c>
      <c r="O78" s="58">
        <f>IF(AND(BANCO_OK_2,B78&lt;=MESES),L78+M78+VINC_MES_2,0)</f>
        <v/>
      </c>
      <c r="P78" s="52">
        <f>IF(AND(BANCO_OK_3,B78&lt;=MESES),IF(OR(OF_TIPO_3="Fija",C78&lt;=OF_ANIOS_INI_3),OF_TIN_3,MAX(0,EURIBOR+OF_DIF_3)),0)</f>
        <v/>
      </c>
      <c r="Q78" s="58">
        <f>IF(AND(BANCO_OK_3,B78&lt;=MESES),IF(OR(B78=1,P78&lt;&gt;P77),PMT(P78/1200,MESES-B78+1,-T77),Q77),0)</f>
        <v/>
      </c>
      <c r="R78" s="58">
        <f>T77*P78/1200</f>
        <v/>
      </c>
      <c r="S78" s="58">
        <f>IF(AND(BANCO_OK_3,B78&lt;=MESES),IF(OR(B78=MESES,Q78-R78&gt;T77),T77,Q78-R78),0)</f>
        <v/>
      </c>
      <c r="T78" s="58">
        <f>T77-S78</f>
        <v/>
      </c>
      <c r="U78" s="58">
        <f>IF(AND(BANCO_OK_3,B78&lt;=MESES),R78+S78+VINC_MES_3,0)</f>
        <v/>
      </c>
      <c r="V78" s="52">
        <f>IF(AND(BANCO_OK_4,B78&lt;=MESES),IF(OR(OF_TIPO_4="Fija",C78&lt;=OF_ANIOS_INI_4),OF_TIN_4,MAX(0,EURIBOR+OF_DIF_4)),0)</f>
        <v/>
      </c>
      <c r="W78" s="58">
        <f>IF(AND(BANCO_OK_4,B78&lt;=MESES),IF(OR(B78=1,V78&lt;&gt;V77),PMT(V78/1200,MESES-B78+1,-Z77),W77),0)</f>
        <v/>
      </c>
      <c r="X78" s="58">
        <f>Z77*V78/1200</f>
        <v/>
      </c>
      <c r="Y78" s="58">
        <f>IF(AND(BANCO_OK_4,B78&lt;=MESES),IF(OR(B78=MESES,W78-X78&gt;Z77),Z77,W78-X78),0)</f>
        <v/>
      </c>
      <c r="Z78" s="58">
        <f>Z77-Y78</f>
        <v/>
      </c>
      <c r="AA78" s="58">
        <f>IF(AND(BANCO_OK_4,B78&lt;=MESES),X78+Y78+VINC_MES_4,0)</f>
        <v/>
      </c>
    </row>
    <row r="79">
      <c r="B79" s="56" t="n">
        <v>71</v>
      </c>
      <c r="C79" s="56">
        <f>ROUNDUP(B79/12,0)</f>
        <v/>
      </c>
      <c r="D79" s="52">
        <f>IF(AND(BANCO_OK_1,B79&lt;=MESES),IF(OR(OF_TIPO_1="Fija",C79&lt;=OF_ANIOS_INI_1),OF_TIN_1,MAX(0,EURIBOR+OF_DIF_1)),0)</f>
        <v/>
      </c>
      <c r="E79" s="58">
        <f>IF(AND(BANCO_OK_1,B79&lt;=MESES),IF(OR(B79=1,D79&lt;&gt;D78),PMT(D79/1200,MESES-B79+1,-H78),E78),0)</f>
        <v/>
      </c>
      <c r="F79" s="58">
        <f>H78*D79/1200</f>
        <v/>
      </c>
      <c r="G79" s="58">
        <f>IF(AND(BANCO_OK_1,B79&lt;=MESES),IF(OR(B79=MESES,E79-F79&gt;H78),H78,E79-F79),0)</f>
        <v/>
      </c>
      <c r="H79" s="58">
        <f>H78-G79</f>
        <v/>
      </c>
      <c r="I79" s="58">
        <f>IF(AND(BANCO_OK_1,B79&lt;=MESES),F79+G79+VINC_MES_1,0)</f>
        <v/>
      </c>
      <c r="J79" s="52">
        <f>IF(AND(BANCO_OK_2,B79&lt;=MESES),IF(OR(OF_TIPO_2="Fija",C79&lt;=OF_ANIOS_INI_2),OF_TIN_2,MAX(0,EURIBOR+OF_DIF_2)),0)</f>
        <v/>
      </c>
      <c r="K79" s="58">
        <f>IF(AND(BANCO_OK_2,B79&lt;=MESES),IF(OR(B79=1,J79&lt;&gt;J78),PMT(J79/1200,MESES-B79+1,-N78),K78),0)</f>
        <v/>
      </c>
      <c r="L79" s="58">
        <f>N78*J79/1200</f>
        <v/>
      </c>
      <c r="M79" s="58">
        <f>IF(AND(BANCO_OK_2,B79&lt;=MESES),IF(OR(B79=MESES,K79-L79&gt;N78),N78,K79-L79),0)</f>
        <v/>
      </c>
      <c r="N79" s="58">
        <f>N78-M79</f>
        <v/>
      </c>
      <c r="O79" s="58">
        <f>IF(AND(BANCO_OK_2,B79&lt;=MESES),L79+M79+VINC_MES_2,0)</f>
        <v/>
      </c>
      <c r="P79" s="52">
        <f>IF(AND(BANCO_OK_3,B79&lt;=MESES),IF(OR(OF_TIPO_3="Fija",C79&lt;=OF_ANIOS_INI_3),OF_TIN_3,MAX(0,EURIBOR+OF_DIF_3)),0)</f>
        <v/>
      </c>
      <c r="Q79" s="58">
        <f>IF(AND(BANCO_OK_3,B79&lt;=MESES),IF(OR(B79=1,P79&lt;&gt;P78),PMT(P79/1200,MESES-B79+1,-T78),Q78),0)</f>
        <v/>
      </c>
      <c r="R79" s="58">
        <f>T78*P79/1200</f>
        <v/>
      </c>
      <c r="S79" s="58">
        <f>IF(AND(BANCO_OK_3,B79&lt;=MESES),IF(OR(B79=MESES,Q79-R79&gt;T78),T78,Q79-R79),0)</f>
        <v/>
      </c>
      <c r="T79" s="58">
        <f>T78-S79</f>
        <v/>
      </c>
      <c r="U79" s="58">
        <f>IF(AND(BANCO_OK_3,B79&lt;=MESES),R79+S79+VINC_MES_3,0)</f>
        <v/>
      </c>
      <c r="V79" s="52">
        <f>IF(AND(BANCO_OK_4,B79&lt;=MESES),IF(OR(OF_TIPO_4="Fija",C79&lt;=OF_ANIOS_INI_4),OF_TIN_4,MAX(0,EURIBOR+OF_DIF_4)),0)</f>
        <v/>
      </c>
      <c r="W79" s="58">
        <f>IF(AND(BANCO_OK_4,B79&lt;=MESES),IF(OR(B79=1,V79&lt;&gt;V78),PMT(V79/1200,MESES-B79+1,-Z78),W78),0)</f>
        <v/>
      </c>
      <c r="X79" s="58">
        <f>Z78*V79/1200</f>
        <v/>
      </c>
      <c r="Y79" s="58">
        <f>IF(AND(BANCO_OK_4,B79&lt;=MESES),IF(OR(B79=MESES,W79-X79&gt;Z78),Z78,W79-X79),0)</f>
        <v/>
      </c>
      <c r="Z79" s="58">
        <f>Z78-Y79</f>
        <v/>
      </c>
      <c r="AA79" s="58">
        <f>IF(AND(BANCO_OK_4,B79&lt;=MESES),X79+Y79+VINC_MES_4,0)</f>
        <v/>
      </c>
    </row>
    <row r="80">
      <c r="B80" s="56" t="n">
        <v>72</v>
      </c>
      <c r="C80" s="56">
        <f>ROUNDUP(B80/12,0)</f>
        <v/>
      </c>
      <c r="D80" s="52">
        <f>IF(AND(BANCO_OK_1,B80&lt;=MESES),IF(OR(OF_TIPO_1="Fija",C80&lt;=OF_ANIOS_INI_1),OF_TIN_1,MAX(0,EURIBOR+OF_DIF_1)),0)</f>
        <v/>
      </c>
      <c r="E80" s="58">
        <f>IF(AND(BANCO_OK_1,B80&lt;=MESES),IF(OR(B80=1,D80&lt;&gt;D79),PMT(D80/1200,MESES-B80+1,-H79),E79),0)</f>
        <v/>
      </c>
      <c r="F80" s="58">
        <f>H79*D80/1200</f>
        <v/>
      </c>
      <c r="G80" s="58">
        <f>IF(AND(BANCO_OK_1,B80&lt;=MESES),IF(OR(B80=MESES,E80-F80&gt;H79),H79,E80-F80),0)</f>
        <v/>
      </c>
      <c r="H80" s="58">
        <f>H79-G80</f>
        <v/>
      </c>
      <c r="I80" s="58">
        <f>IF(AND(BANCO_OK_1,B80&lt;=MESES),F80+G80+VINC_MES_1,0)</f>
        <v/>
      </c>
      <c r="J80" s="52">
        <f>IF(AND(BANCO_OK_2,B80&lt;=MESES),IF(OR(OF_TIPO_2="Fija",C80&lt;=OF_ANIOS_INI_2),OF_TIN_2,MAX(0,EURIBOR+OF_DIF_2)),0)</f>
        <v/>
      </c>
      <c r="K80" s="58">
        <f>IF(AND(BANCO_OK_2,B80&lt;=MESES),IF(OR(B80=1,J80&lt;&gt;J79),PMT(J80/1200,MESES-B80+1,-N79),K79),0)</f>
        <v/>
      </c>
      <c r="L80" s="58">
        <f>N79*J80/1200</f>
        <v/>
      </c>
      <c r="M80" s="58">
        <f>IF(AND(BANCO_OK_2,B80&lt;=MESES),IF(OR(B80=MESES,K80-L80&gt;N79),N79,K80-L80),0)</f>
        <v/>
      </c>
      <c r="N80" s="58">
        <f>N79-M80</f>
        <v/>
      </c>
      <c r="O80" s="58">
        <f>IF(AND(BANCO_OK_2,B80&lt;=MESES),L80+M80+VINC_MES_2,0)</f>
        <v/>
      </c>
      <c r="P80" s="52">
        <f>IF(AND(BANCO_OK_3,B80&lt;=MESES),IF(OR(OF_TIPO_3="Fija",C80&lt;=OF_ANIOS_INI_3),OF_TIN_3,MAX(0,EURIBOR+OF_DIF_3)),0)</f>
        <v/>
      </c>
      <c r="Q80" s="58">
        <f>IF(AND(BANCO_OK_3,B80&lt;=MESES),IF(OR(B80=1,P80&lt;&gt;P79),PMT(P80/1200,MESES-B80+1,-T79),Q79),0)</f>
        <v/>
      </c>
      <c r="R80" s="58">
        <f>T79*P80/1200</f>
        <v/>
      </c>
      <c r="S80" s="58">
        <f>IF(AND(BANCO_OK_3,B80&lt;=MESES),IF(OR(B80=MESES,Q80-R80&gt;T79),T79,Q80-R80),0)</f>
        <v/>
      </c>
      <c r="T80" s="58">
        <f>T79-S80</f>
        <v/>
      </c>
      <c r="U80" s="58">
        <f>IF(AND(BANCO_OK_3,B80&lt;=MESES),R80+S80+VINC_MES_3,0)</f>
        <v/>
      </c>
      <c r="V80" s="52">
        <f>IF(AND(BANCO_OK_4,B80&lt;=MESES),IF(OR(OF_TIPO_4="Fija",C80&lt;=OF_ANIOS_INI_4),OF_TIN_4,MAX(0,EURIBOR+OF_DIF_4)),0)</f>
        <v/>
      </c>
      <c r="W80" s="58">
        <f>IF(AND(BANCO_OK_4,B80&lt;=MESES),IF(OR(B80=1,V80&lt;&gt;V79),PMT(V80/1200,MESES-B80+1,-Z79),W79),0)</f>
        <v/>
      </c>
      <c r="X80" s="58">
        <f>Z79*V80/1200</f>
        <v/>
      </c>
      <c r="Y80" s="58">
        <f>IF(AND(BANCO_OK_4,B80&lt;=MESES),IF(OR(B80=MESES,W80-X80&gt;Z79),Z79,W80-X80),0)</f>
        <v/>
      </c>
      <c r="Z80" s="58">
        <f>Z79-Y80</f>
        <v/>
      </c>
      <c r="AA80" s="58">
        <f>IF(AND(BANCO_OK_4,B80&lt;=MESES),X80+Y80+VINC_MES_4,0)</f>
        <v/>
      </c>
    </row>
    <row r="81">
      <c r="B81" s="56" t="n">
        <v>73</v>
      </c>
      <c r="C81" s="56">
        <f>ROUNDUP(B81/12,0)</f>
        <v/>
      </c>
      <c r="D81" s="52">
        <f>IF(AND(BANCO_OK_1,B81&lt;=MESES),IF(OR(OF_TIPO_1="Fija",C81&lt;=OF_ANIOS_INI_1),OF_TIN_1,MAX(0,EURIBOR+OF_DIF_1)),0)</f>
        <v/>
      </c>
      <c r="E81" s="58">
        <f>IF(AND(BANCO_OK_1,B81&lt;=MESES),IF(OR(B81=1,D81&lt;&gt;D80),PMT(D81/1200,MESES-B81+1,-H80),E80),0)</f>
        <v/>
      </c>
      <c r="F81" s="58">
        <f>H80*D81/1200</f>
        <v/>
      </c>
      <c r="G81" s="58">
        <f>IF(AND(BANCO_OK_1,B81&lt;=MESES),IF(OR(B81=MESES,E81-F81&gt;H80),H80,E81-F81),0)</f>
        <v/>
      </c>
      <c r="H81" s="58">
        <f>H80-G81</f>
        <v/>
      </c>
      <c r="I81" s="58">
        <f>IF(AND(BANCO_OK_1,B81&lt;=MESES),F81+G81+VINC_MES_1,0)</f>
        <v/>
      </c>
      <c r="J81" s="52">
        <f>IF(AND(BANCO_OK_2,B81&lt;=MESES),IF(OR(OF_TIPO_2="Fija",C81&lt;=OF_ANIOS_INI_2),OF_TIN_2,MAX(0,EURIBOR+OF_DIF_2)),0)</f>
        <v/>
      </c>
      <c r="K81" s="58">
        <f>IF(AND(BANCO_OK_2,B81&lt;=MESES),IF(OR(B81=1,J81&lt;&gt;J80),PMT(J81/1200,MESES-B81+1,-N80),K80),0)</f>
        <v/>
      </c>
      <c r="L81" s="58">
        <f>N80*J81/1200</f>
        <v/>
      </c>
      <c r="M81" s="58">
        <f>IF(AND(BANCO_OK_2,B81&lt;=MESES),IF(OR(B81=MESES,K81-L81&gt;N80),N80,K81-L81),0)</f>
        <v/>
      </c>
      <c r="N81" s="58">
        <f>N80-M81</f>
        <v/>
      </c>
      <c r="O81" s="58">
        <f>IF(AND(BANCO_OK_2,B81&lt;=MESES),L81+M81+VINC_MES_2,0)</f>
        <v/>
      </c>
      <c r="P81" s="52">
        <f>IF(AND(BANCO_OK_3,B81&lt;=MESES),IF(OR(OF_TIPO_3="Fija",C81&lt;=OF_ANIOS_INI_3),OF_TIN_3,MAX(0,EURIBOR+OF_DIF_3)),0)</f>
        <v/>
      </c>
      <c r="Q81" s="58">
        <f>IF(AND(BANCO_OK_3,B81&lt;=MESES),IF(OR(B81=1,P81&lt;&gt;P80),PMT(P81/1200,MESES-B81+1,-T80),Q80),0)</f>
        <v/>
      </c>
      <c r="R81" s="58">
        <f>T80*P81/1200</f>
        <v/>
      </c>
      <c r="S81" s="58">
        <f>IF(AND(BANCO_OK_3,B81&lt;=MESES),IF(OR(B81=MESES,Q81-R81&gt;T80),T80,Q81-R81),0)</f>
        <v/>
      </c>
      <c r="T81" s="58">
        <f>T80-S81</f>
        <v/>
      </c>
      <c r="U81" s="58">
        <f>IF(AND(BANCO_OK_3,B81&lt;=MESES),R81+S81+VINC_MES_3,0)</f>
        <v/>
      </c>
      <c r="V81" s="52">
        <f>IF(AND(BANCO_OK_4,B81&lt;=MESES),IF(OR(OF_TIPO_4="Fija",C81&lt;=OF_ANIOS_INI_4),OF_TIN_4,MAX(0,EURIBOR+OF_DIF_4)),0)</f>
        <v/>
      </c>
      <c r="W81" s="58">
        <f>IF(AND(BANCO_OK_4,B81&lt;=MESES),IF(OR(B81=1,V81&lt;&gt;V80),PMT(V81/1200,MESES-B81+1,-Z80),W80),0)</f>
        <v/>
      </c>
      <c r="X81" s="58">
        <f>Z80*V81/1200</f>
        <v/>
      </c>
      <c r="Y81" s="58">
        <f>IF(AND(BANCO_OK_4,B81&lt;=MESES),IF(OR(B81=MESES,W81-X81&gt;Z80),Z80,W81-X81),0)</f>
        <v/>
      </c>
      <c r="Z81" s="58">
        <f>Z80-Y81</f>
        <v/>
      </c>
      <c r="AA81" s="58">
        <f>IF(AND(BANCO_OK_4,B81&lt;=MESES),X81+Y81+VINC_MES_4,0)</f>
        <v/>
      </c>
    </row>
    <row r="82">
      <c r="B82" s="56" t="n">
        <v>74</v>
      </c>
      <c r="C82" s="56">
        <f>ROUNDUP(B82/12,0)</f>
        <v/>
      </c>
      <c r="D82" s="52">
        <f>IF(AND(BANCO_OK_1,B82&lt;=MESES),IF(OR(OF_TIPO_1="Fija",C82&lt;=OF_ANIOS_INI_1),OF_TIN_1,MAX(0,EURIBOR+OF_DIF_1)),0)</f>
        <v/>
      </c>
      <c r="E82" s="58">
        <f>IF(AND(BANCO_OK_1,B82&lt;=MESES),IF(OR(B82=1,D82&lt;&gt;D81),PMT(D82/1200,MESES-B82+1,-H81),E81),0)</f>
        <v/>
      </c>
      <c r="F82" s="58">
        <f>H81*D82/1200</f>
        <v/>
      </c>
      <c r="G82" s="58">
        <f>IF(AND(BANCO_OK_1,B82&lt;=MESES),IF(OR(B82=MESES,E82-F82&gt;H81),H81,E82-F82),0)</f>
        <v/>
      </c>
      <c r="H82" s="58">
        <f>H81-G82</f>
        <v/>
      </c>
      <c r="I82" s="58">
        <f>IF(AND(BANCO_OK_1,B82&lt;=MESES),F82+G82+VINC_MES_1,0)</f>
        <v/>
      </c>
      <c r="J82" s="52">
        <f>IF(AND(BANCO_OK_2,B82&lt;=MESES),IF(OR(OF_TIPO_2="Fija",C82&lt;=OF_ANIOS_INI_2),OF_TIN_2,MAX(0,EURIBOR+OF_DIF_2)),0)</f>
        <v/>
      </c>
      <c r="K82" s="58">
        <f>IF(AND(BANCO_OK_2,B82&lt;=MESES),IF(OR(B82=1,J82&lt;&gt;J81),PMT(J82/1200,MESES-B82+1,-N81),K81),0)</f>
        <v/>
      </c>
      <c r="L82" s="58">
        <f>N81*J82/1200</f>
        <v/>
      </c>
      <c r="M82" s="58">
        <f>IF(AND(BANCO_OK_2,B82&lt;=MESES),IF(OR(B82=MESES,K82-L82&gt;N81),N81,K82-L82),0)</f>
        <v/>
      </c>
      <c r="N82" s="58">
        <f>N81-M82</f>
        <v/>
      </c>
      <c r="O82" s="58">
        <f>IF(AND(BANCO_OK_2,B82&lt;=MESES),L82+M82+VINC_MES_2,0)</f>
        <v/>
      </c>
      <c r="P82" s="52">
        <f>IF(AND(BANCO_OK_3,B82&lt;=MESES),IF(OR(OF_TIPO_3="Fija",C82&lt;=OF_ANIOS_INI_3),OF_TIN_3,MAX(0,EURIBOR+OF_DIF_3)),0)</f>
        <v/>
      </c>
      <c r="Q82" s="58">
        <f>IF(AND(BANCO_OK_3,B82&lt;=MESES),IF(OR(B82=1,P82&lt;&gt;P81),PMT(P82/1200,MESES-B82+1,-T81),Q81),0)</f>
        <v/>
      </c>
      <c r="R82" s="58">
        <f>T81*P82/1200</f>
        <v/>
      </c>
      <c r="S82" s="58">
        <f>IF(AND(BANCO_OK_3,B82&lt;=MESES),IF(OR(B82=MESES,Q82-R82&gt;T81),T81,Q82-R82),0)</f>
        <v/>
      </c>
      <c r="T82" s="58">
        <f>T81-S82</f>
        <v/>
      </c>
      <c r="U82" s="58">
        <f>IF(AND(BANCO_OK_3,B82&lt;=MESES),R82+S82+VINC_MES_3,0)</f>
        <v/>
      </c>
      <c r="V82" s="52">
        <f>IF(AND(BANCO_OK_4,B82&lt;=MESES),IF(OR(OF_TIPO_4="Fija",C82&lt;=OF_ANIOS_INI_4),OF_TIN_4,MAX(0,EURIBOR+OF_DIF_4)),0)</f>
        <v/>
      </c>
      <c r="W82" s="58">
        <f>IF(AND(BANCO_OK_4,B82&lt;=MESES),IF(OR(B82=1,V82&lt;&gt;V81),PMT(V82/1200,MESES-B82+1,-Z81),W81),0)</f>
        <v/>
      </c>
      <c r="X82" s="58">
        <f>Z81*V82/1200</f>
        <v/>
      </c>
      <c r="Y82" s="58">
        <f>IF(AND(BANCO_OK_4,B82&lt;=MESES),IF(OR(B82=MESES,W82-X82&gt;Z81),Z81,W82-X82),0)</f>
        <v/>
      </c>
      <c r="Z82" s="58">
        <f>Z81-Y82</f>
        <v/>
      </c>
      <c r="AA82" s="58">
        <f>IF(AND(BANCO_OK_4,B82&lt;=MESES),X82+Y82+VINC_MES_4,0)</f>
        <v/>
      </c>
    </row>
    <row r="83">
      <c r="B83" s="56" t="n">
        <v>75</v>
      </c>
      <c r="C83" s="56">
        <f>ROUNDUP(B83/12,0)</f>
        <v/>
      </c>
      <c r="D83" s="52">
        <f>IF(AND(BANCO_OK_1,B83&lt;=MESES),IF(OR(OF_TIPO_1="Fija",C83&lt;=OF_ANIOS_INI_1),OF_TIN_1,MAX(0,EURIBOR+OF_DIF_1)),0)</f>
        <v/>
      </c>
      <c r="E83" s="58">
        <f>IF(AND(BANCO_OK_1,B83&lt;=MESES),IF(OR(B83=1,D83&lt;&gt;D82),PMT(D83/1200,MESES-B83+1,-H82),E82),0)</f>
        <v/>
      </c>
      <c r="F83" s="58">
        <f>H82*D83/1200</f>
        <v/>
      </c>
      <c r="G83" s="58">
        <f>IF(AND(BANCO_OK_1,B83&lt;=MESES),IF(OR(B83=MESES,E83-F83&gt;H82),H82,E83-F83),0)</f>
        <v/>
      </c>
      <c r="H83" s="58">
        <f>H82-G83</f>
        <v/>
      </c>
      <c r="I83" s="58">
        <f>IF(AND(BANCO_OK_1,B83&lt;=MESES),F83+G83+VINC_MES_1,0)</f>
        <v/>
      </c>
      <c r="J83" s="52">
        <f>IF(AND(BANCO_OK_2,B83&lt;=MESES),IF(OR(OF_TIPO_2="Fija",C83&lt;=OF_ANIOS_INI_2),OF_TIN_2,MAX(0,EURIBOR+OF_DIF_2)),0)</f>
        <v/>
      </c>
      <c r="K83" s="58">
        <f>IF(AND(BANCO_OK_2,B83&lt;=MESES),IF(OR(B83=1,J83&lt;&gt;J82),PMT(J83/1200,MESES-B83+1,-N82),K82),0)</f>
        <v/>
      </c>
      <c r="L83" s="58">
        <f>N82*J83/1200</f>
        <v/>
      </c>
      <c r="M83" s="58">
        <f>IF(AND(BANCO_OK_2,B83&lt;=MESES),IF(OR(B83=MESES,K83-L83&gt;N82),N82,K83-L83),0)</f>
        <v/>
      </c>
      <c r="N83" s="58">
        <f>N82-M83</f>
        <v/>
      </c>
      <c r="O83" s="58">
        <f>IF(AND(BANCO_OK_2,B83&lt;=MESES),L83+M83+VINC_MES_2,0)</f>
        <v/>
      </c>
      <c r="P83" s="52">
        <f>IF(AND(BANCO_OK_3,B83&lt;=MESES),IF(OR(OF_TIPO_3="Fija",C83&lt;=OF_ANIOS_INI_3),OF_TIN_3,MAX(0,EURIBOR+OF_DIF_3)),0)</f>
        <v/>
      </c>
      <c r="Q83" s="58">
        <f>IF(AND(BANCO_OK_3,B83&lt;=MESES),IF(OR(B83=1,P83&lt;&gt;P82),PMT(P83/1200,MESES-B83+1,-T82),Q82),0)</f>
        <v/>
      </c>
      <c r="R83" s="58">
        <f>T82*P83/1200</f>
        <v/>
      </c>
      <c r="S83" s="58">
        <f>IF(AND(BANCO_OK_3,B83&lt;=MESES),IF(OR(B83=MESES,Q83-R83&gt;T82),T82,Q83-R83),0)</f>
        <v/>
      </c>
      <c r="T83" s="58">
        <f>T82-S83</f>
        <v/>
      </c>
      <c r="U83" s="58">
        <f>IF(AND(BANCO_OK_3,B83&lt;=MESES),R83+S83+VINC_MES_3,0)</f>
        <v/>
      </c>
      <c r="V83" s="52">
        <f>IF(AND(BANCO_OK_4,B83&lt;=MESES),IF(OR(OF_TIPO_4="Fija",C83&lt;=OF_ANIOS_INI_4),OF_TIN_4,MAX(0,EURIBOR+OF_DIF_4)),0)</f>
        <v/>
      </c>
      <c r="W83" s="58">
        <f>IF(AND(BANCO_OK_4,B83&lt;=MESES),IF(OR(B83=1,V83&lt;&gt;V82),PMT(V83/1200,MESES-B83+1,-Z82),W82),0)</f>
        <v/>
      </c>
      <c r="X83" s="58">
        <f>Z82*V83/1200</f>
        <v/>
      </c>
      <c r="Y83" s="58">
        <f>IF(AND(BANCO_OK_4,B83&lt;=MESES),IF(OR(B83=MESES,W83-X83&gt;Z82),Z82,W83-X83),0)</f>
        <v/>
      </c>
      <c r="Z83" s="58">
        <f>Z82-Y83</f>
        <v/>
      </c>
      <c r="AA83" s="58">
        <f>IF(AND(BANCO_OK_4,B83&lt;=MESES),X83+Y83+VINC_MES_4,0)</f>
        <v/>
      </c>
    </row>
    <row r="84">
      <c r="B84" s="56" t="n">
        <v>76</v>
      </c>
      <c r="C84" s="56">
        <f>ROUNDUP(B84/12,0)</f>
        <v/>
      </c>
      <c r="D84" s="52">
        <f>IF(AND(BANCO_OK_1,B84&lt;=MESES),IF(OR(OF_TIPO_1="Fija",C84&lt;=OF_ANIOS_INI_1),OF_TIN_1,MAX(0,EURIBOR+OF_DIF_1)),0)</f>
        <v/>
      </c>
      <c r="E84" s="58">
        <f>IF(AND(BANCO_OK_1,B84&lt;=MESES),IF(OR(B84=1,D84&lt;&gt;D83),PMT(D84/1200,MESES-B84+1,-H83),E83),0)</f>
        <v/>
      </c>
      <c r="F84" s="58">
        <f>H83*D84/1200</f>
        <v/>
      </c>
      <c r="G84" s="58">
        <f>IF(AND(BANCO_OK_1,B84&lt;=MESES),IF(OR(B84=MESES,E84-F84&gt;H83),H83,E84-F84),0)</f>
        <v/>
      </c>
      <c r="H84" s="58">
        <f>H83-G84</f>
        <v/>
      </c>
      <c r="I84" s="58">
        <f>IF(AND(BANCO_OK_1,B84&lt;=MESES),F84+G84+VINC_MES_1,0)</f>
        <v/>
      </c>
      <c r="J84" s="52">
        <f>IF(AND(BANCO_OK_2,B84&lt;=MESES),IF(OR(OF_TIPO_2="Fija",C84&lt;=OF_ANIOS_INI_2),OF_TIN_2,MAX(0,EURIBOR+OF_DIF_2)),0)</f>
        <v/>
      </c>
      <c r="K84" s="58">
        <f>IF(AND(BANCO_OK_2,B84&lt;=MESES),IF(OR(B84=1,J84&lt;&gt;J83),PMT(J84/1200,MESES-B84+1,-N83),K83),0)</f>
        <v/>
      </c>
      <c r="L84" s="58">
        <f>N83*J84/1200</f>
        <v/>
      </c>
      <c r="M84" s="58">
        <f>IF(AND(BANCO_OK_2,B84&lt;=MESES),IF(OR(B84=MESES,K84-L84&gt;N83),N83,K84-L84),0)</f>
        <v/>
      </c>
      <c r="N84" s="58">
        <f>N83-M84</f>
        <v/>
      </c>
      <c r="O84" s="58">
        <f>IF(AND(BANCO_OK_2,B84&lt;=MESES),L84+M84+VINC_MES_2,0)</f>
        <v/>
      </c>
      <c r="P84" s="52">
        <f>IF(AND(BANCO_OK_3,B84&lt;=MESES),IF(OR(OF_TIPO_3="Fija",C84&lt;=OF_ANIOS_INI_3),OF_TIN_3,MAX(0,EURIBOR+OF_DIF_3)),0)</f>
        <v/>
      </c>
      <c r="Q84" s="58">
        <f>IF(AND(BANCO_OK_3,B84&lt;=MESES),IF(OR(B84=1,P84&lt;&gt;P83),PMT(P84/1200,MESES-B84+1,-T83),Q83),0)</f>
        <v/>
      </c>
      <c r="R84" s="58">
        <f>T83*P84/1200</f>
        <v/>
      </c>
      <c r="S84" s="58">
        <f>IF(AND(BANCO_OK_3,B84&lt;=MESES),IF(OR(B84=MESES,Q84-R84&gt;T83),T83,Q84-R84),0)</f>
        <v/>
      </c>
      <c r="T84" s="58">
        <f>T83-S84</f>
        <v/>
      </c>
      <c r="U84" s="58">
        <f>IF(AND(BANCO_OK_3,B84&lt;=MESES),R84+S84+VINC_MES_3,0)</f>
        <v/>
      </c>
      <c r="V84" s="52">
        <f>IF(AND(BANCO_OK_4,B84&lt;=MESES),IF(OR(OF_TIPO_4="Fija",C84&lt;=OF_ANIOS_INI_4),OF_TIN_4,MAX(0,EURIBOR+OF_DIF_4)),0)</f>
        <v/>
      </c>
      <c r="W84" s="58">
        <f>IF(AND(BANCO_OK_4,B84&lt;=MESES),IF(OR(B84=1,V84&lt;&gt;V83),PMT(V84/1200,MESES-B84+1,-Z83),W83),0)</f>
        <v/>
      </c>
      <c r="X84" s="58">
        <f>Z83*V84/1200</f>
        <v/>
      </c>
      <c r="Y84" s="58">
        <f>IF(AND(BANCO_OK_4,B84&lt;=MESES),IF(OR(B84=MESES,W84-X84&gt;Z83),Z83,W84-X84),0)</f>
        <v/>
      </c>
      <c r="Z84" s="58">
        <f>Z83-Y84</f>
        <v/>
      </c>
      <c r="AA84" s="58">
        <f>IF(AND(BANCO_OK_4,B84&lt;=MESES),X84+Y84+VINC_MES_4,0)</f>
        <v/>
      </c>
    </row>
    <row r="85">
      <c r="B85" s="56" t="n">
        <v>77</v>
      </c>
      <c r="C85" s="56">
        <f>ROUNDUP(B85/12,0)</f>
        <v/>
      </c>
      <c r="D85" s="52">
        <f>IF(AND(BANCO_OK_1,B85&lt;=MESES),IF(OR(OF_TIPO_1="Fija",C85&lt;=OF_ANIOS_INI_1),OF_TIN_1,MAX(0,EURIBOR+OF_DIF_1)),0)</f>
        <v/>
      </c>
      <c r="E85" s="58">
        <f>IF(AND(BANCO_OK_1,B85&lt;=MESES),IF(OR(B85=1,D85&lt;&gt;D84),PMT(D85/1200,MESES-B85+1,-H84),E84),0)</f>
        <v/>
      </c>
      <c r="F85" s="58">
        <f>H84*D85/1200</f>
        <v/>
      </c>
      <c r="G85" s="58">
        <f>IF(AND(BANCO_OK_1,B85&lt;=MESES),IF(OR(B85=MESES,E85-F85&gt;H84),H84,E85-F85),0)</f>
        <v/>
      </c>
      <c r="H85" s="58">
        <f>H84-G85</f>
        <v/>
      </c>
      <c r="I85" s="58">
        <f>IF(AND(BANCO_OK_1,B85&lt;=MESES),F85+G85+VINC_MES_1,0)</f>
        <v/>
      </c>
      <c r="J85" s="52">
        <f>IF(AND(BANCO_OK_2,B85&lt;=MESES),IF(OR(OF_TIPO_2="Fija",C85&lt;=OF_ANIOS_INI_2),OF_TIN_2,MAX(0,EURIBOR+OF_DIF_2)),0)</f>
        <v/>
      </c>
      <c r="K85" s="58">
        <f>IF(AND(BANCO_OK_2,B85&lt;=MESES),IF(OR(B85=1,J85&lt;&gt;J84),PMT(J85/1200,MESES-B85+1,-N84),K84),0)</f>
        <v/>
      </c>
      <c r="L85" s="58">
        <f>N84*J85/1200</f>
        <v/>
      </c>
      <c r="M85" s="58">
        <f>IF(AND(BANCO_OK_2,B85&lt;=MESES),IF(OR(B85=MESES,K85-L85&gt;N84),N84,K85-L85),0)</f>
        <v/>
      </c>
      <c r="N85" s="58">
        <f>N84-M85</f>
        <v/>
      </c>
      <c r="O85" s="58">
        <f>IF(AND(BANCO_OK_2,B85&lt;=MESES),L85+M85+VINC_MES_2,0)</f>
        <v/>
      </c>
      <c r="P85" s="52">
        <f>IF(AND(BANCO_OK_3,B85&lt;=MESES),IF(OR(OF_TIPO_3="Fija",C85&lt;=OF_ANIOS_INI_3),OF_TIN_3,MAX(0,EURIBOR+OF_DIF_3)),0)</f>
        <v/>
      </c>
      <c r="Q85" s="58">
        <f>IF(AND(BANCO_OK_3,B85&lt;=MESES),IF(OR(B85=1,P85&lt;&gt;P84),PMT(P85/1200,MESES-B85+1,-T84),Q84),0)</f>
        <v/>
      </c>
      <c r="R85" s="58">
        <f>T84*P85/1200</f>
        <v/>
      </c>
      <c r="S85" s="58">
        <f>IF(AND(BANCO_OK_3,B85&lt;=MESES),IF(OR(B85=MESES,Q85-R85&gt;T84),T84,Q85-R85),0)</f>
        <v/>
      </c>
      <c r="T85" s="58">
        <f>T84-S85</f>
        <v/>
      </c>
      <c r="U85" s="58">
        <f>IF(AND(BANCO_OK_3,B85&lt;=MESES),R85+S85+VINC_MES_3,0)</f>
        <v/>
      </c>
      <c r="V85" s="52">
        <f>IF(AND(BANCO_OK_4,B85&lt;=MESES),IF(OR(OF_TIPO_4="Fija",C85&lt;=OF_ANIOS_INI_4),OF_TIN_4,MAX(0,EURIBOR+OF_DIF_4)),0)</f>
        <v/>
      </c>
      <c r="W85" s="58">
        <f>IF(AND(BANCO_OK_4,B85&lt;=MESES),IF(OR(B85=1,V85&lt;&gt;V84),PMT(V85/1200,MESES-B85+1,-Z84),W84),0)</f>
        <v/>
      </c>
      <c r="X85" s="58">
        <f>Z84*V85/1200</f>
        <v/>
      </c>
      <c r="Y85" s="58">
        <f>IF(AND(BANCO_OK_4,B85&lt;=MESES),IF(OR(B85=MESES,W85-X85&gt;Z84),Z84,W85-X85),0)</f>
        <v/>
      </c>
      <c r="Z85" s="58">
        <f>Z84-Y85</f>
        <v/>
      </c>
      <c r="AA85" s="58">
        <f>IF(AND(BANCO_OK_4,B85&lt;=MESES),X85+Y85+VINC_MES_4,0)</f>
        <v/>
      </c>
    </row>
    <row r="86">
      <c r="B86" s="56" t="n">
        <v>78</v>
      </c>
      <c r="C86" s="56">
        <f>ROUNDUP(B86/12,0)</f>
        <v/>
      </c>
      <c r="D86" s="52">
        <f>IF(AND(BANCO_OK_1,B86&lt;=MESES),IF(OR(OF_TIPO_1="Fija",C86&lt;=OF_ANIOS_INI_1),OF_TIN_1,MAX(0,EURIBOR+OF_DIF_1)),0)</f>
        <v/>
      </c>
      <c r="E86" s="58">
        <f>IF(AND(BANCO_OK_1,B86&lt;=MESES),IF(OR(B86=1,D86&lt;&gt;D85),PMT(D86/1200,MESES-B86+1,-H85),E85),0)</f>
        <v/>
      </c>
      <c r="F86" s="58">
        <f>H85*D86/1200</f>
        <v/>
      </c>
      <c r="G86" s="58">
        <f>IF(AND(BANCO_OK_1,B86&lt;=MESES),IF(OR(B86=MESES,E86-F86&gt;H85),H85,E86-F86),0)</f>
        <v/>
      </c>
      <c r="H86" s="58">
        <f>H85-G86</f>
        <v/>
      </c>
      <c r="I86" s="58">
        <f>IF(AND(BANCO_OK_1,B86&lt;=MESES),F86+G86+VINC_MES_1,0)</f>
        <v/>
      </c>
      <c r="J86" s="52">
        <f>IF(AND(BANCO_OK_2,B86&lt;=MESES),IF(OR(OF_TIPO_2="Fija",C86&lt;=OF_ANIOS_INI_2),OF_TIN_2,MAX(0,EURIBOR+OF_DIF_2)),0)</f>
        <v/>
      </c>
      <c r="K86" s="58">
        <f>IF(AND(BANCO_OK_2,B86&lt;=MESES),IF(OR(B86=1,J86&lt;&gt;J85),PMT(J86/1200,MESES-B86+1,-N85),K85),0)</f>
        <v/>
      </c>
      <c r="L86" s="58">
        <f>N85*J86/1200</f>
        <v/>
      </c>
      <c r="M86" s="58">
        <f>IF(AND(BANCO_OK_2,B86&lt;=MESES),IF(OR(B86=MESES,K86-L86&gt;N85),N85,K86-L86),0)</f>
        <v/>
      </c>
      <c r="N86" s="58">
        <f>N85-M86</f>
        <v/>
      </c>
      <c r="O86" s="58">
        <f>IF(AND(BANCO_OK_2,B86&lt;=MESES),L86+M86+VINC_MES_2,0)</f>
        <v/>
      </c>
      <c r="P86" s="52">
        <f>IF(AND(BANCO_OK_3,B86&lt;=MESES),IF(OR(OF_TIPO_3="Fija",C86&lt;=OF_ANIOS_INI_3),OF_TIN_3,MAX(0,EURIBOR+OF_DIF_3)),0)</f>
        <v/>
      </c>
      <c r="Q86" s="58">
        <f>IF(AND(BANCO_OK_3,B86&lt;=MESES),IF(OR(B86=1,P86&lt;&gt;P85),PMT(P86/1200,MESES-B86+1,-T85),Q85),0)</f>
        <v/>
      </c>
      <c r="R86" s="58">
        <f>T85*P86/1200</f>
        <v/>
      </c>
      <c r="S86" s="58">
        <f>IF(AND(BANCO_OK_3,B86&lt;=MESES),IF(OR(B86=MESES,Q86-R86&gt;T85),T85,Q86-R86),0)</f>
        <v/>
      </c>
      <c r="T86" s="58">
        <f>T85-S86</f>
        <v/>
      </c>
      <c r="U86" s="58">
        <f>IF(AND(BANCO_OK_3,B86&lt;=MESES),R86+S86+VINC_MES_3,0)</f>
        <v/>
      </c>
      <c r="V86" s="52">
        <f>IF(AND(BANCO_OK_4,B86&lt;=MESES),IF(OR(OF_TIPO_4="Fija",C86&lt;=OF_ANIOS_INI_4),OF_TIN_4,MAX(0,EURIBOR+OF_DIF_4)),0)</f>
        <v/>
      </c>
      <c r="W86" s="58">
        <f>IF(AND(BANCO_OK_4,B86&lt;=MESES),IF(OR(B86=1,V86&lt;&gt;V85),PMT(V86/1200,MESES-B86+1,-Z85),W85),0)</f>
        <v/>
      </c>
      <c r="X86" s="58">
        <f>Z85*V86/1200</f>
        <v/>
      </c>
      <c r="Y86" s="58">
        <f>IF(AND(BANCO_OK_4,B86&lt;=MESES),IF(OR(B86=MESES,W86-X86&gt;Z85),Z85,W86-X86),0)</f>
        <v/>
      </c>
      <c r="Z86" s="58">
        <f>Z85-Y86</f>
        <v/>
      </c>
      <c r="AA86" s="58">
        <f>IF(AND(BANCO_OK_4,B86&lt;=MESES),X86+Y86+VINC_MES_4,0)</f>
        <v/>
      </c>
    </row>
    <row r="87">
      <c r="B87" s="56" t="n">
        <v>79</v>
      </c>
      <c r="C87" s="56">
        <f>ROUNDUP(B87/12,0)</f>
        <v/>
      </c>
      <c r="D87" s="52">
        <f>IF(AND(BANCO_OK_1,B87&lt;=MESES),IF(OR(OF_TIPO_1="Fija",C87&lt;=OF_ANIOS_INI_1),OF_TIN_1,MAX(0,EURIBOR+OF_DIF_1)),0)</f>
        <v/>
      </c>
      <c r="E87" s="58">
        <f>IF(AND(BANCO_OK_1,B87&lt;=MESES),IF(OR(B87=1,D87&lt;&gt;D86),PMT(D87/1200,MESES-B87+1,-H86),E86),0)</f>
        <v/>
      </c>
      <c r="F87" s="58">
        <f>H86*D87/1200</f>
        <v/>
      </c>
      <c r="G87" s="58">
        <f>IF(AND(BANCO_OK_1,B87&lt;=MESES),IF(OR(B87=MESES,E87-F87&gt;H86),H86,E87-F87),0)</f>
        <v/>
      </c>
      <c r="H87" s="58">
        <f>H86-G87</f>
        <v/>
      </c>
      <c r="I87" s="58">
        <f>IF(AND(BANCO_OK_1,B87&lt;=MESES),F87+G87+VINC_MES_1,0)</f>
        <v/>
      </c>
      <c r="J87" s="52">
        <f>IF(AND(BANCO_OK_2,B87&lt;=MESES),IF(OR(OF_TIPO_2="Fija",C87&lt;=OF_ANIOS_INI_2),OF_TIN_2,MAX(0,EURIBOR+OF_DIF_2)),0)</f>
        <v/>
      </c>
      <c r="K87" s="58">
        <f>IF(AND(BANCO_OK_2,B87&lt;=MESES),IF(OR(B87=1,J87&lt;&gt;J86),PMT(J87/1200,MESES-B87+1,-N86),K86),0)</f>
        <v/>
      </c>
      <c r="L87" s="58">
        <f>N86*J87/1200</f>
        <v/>
      </c>
      <c r="M87" s="58">
        <f>IF(AND(BANCO_OK_2,B87&lt;=MESES),IF(OR(B87=MESES,K87-L87&gt;N86),N86,K87-L87),0)</f>
        <v/>
      </c>
      <c r="N87" s="58">
        <f>N86-M87</f>
        <v/>
      </c>
      <c r="O87" s="58">
        <f>IF(AND(BANCO_OK_2,B87&lt;=MESES),L87+M87+VINC_MES_2,0)</f>
        <v/>
      </c>
      <c r="P87" s="52">
        <f>IF(AND(BANCO_OK_3,B87&lt;=MESES),IF(OR(OF_TIPO_3="Fija",C87&lt;=OF_ANIOS_INI_3),OF_TIN_3,MAX(0,EURIBOR+OF_DIF_3)),0)</f>
        <v/>
      </c>
      <c r="Q87" s="58">
        <f>IF(AND(BANCO_OK_3,B87&lt;=MESES),IF(OR(B87=1,P87&lt;&gt;P86),PMT(P87/1200,MESES-B87+1,-T86),Q86),0)</f>
        <v/>
      </c>
      <c r="R87" s="58">
        <f>T86*P87/1200</f>
        <v/>
      </c>
      <c r="S87" s="58">
        <f>IF(AND(BANCO_OK_3,B87&lt;=MESES),IF(OR(B87=MESES,Q87-R87&gt;T86),T86,Q87-R87),0)</f>
        <v/>
      </c>
      <c r="T87" s="58">
        <f>T86-S87</f>
        <v/>
      </c>
      <c r="U87" s="58">
        <f>IF(AND(BANCO_OK_3,B87&lt;=MESES),R87+S87+VINC_MES_3,0)</f>
        <v/>
      </c>
      <c r="V87" s="52">
        <f>IF(AND(BANCO_OK_4,B87&lt;=MESES),IF(OR(OF_TIPO_4="Fija",C87&lt;=OF_ANIOS_INI_4),OF_TIN_4,MAX(0,EURIBOR+OF_DIF_4)),0)</f>
        <v/>
      </c>
      <c r="W87" s="58">
        <f>IF(AND(BANCO_OK_4,B87&lt;=MESES),IF(OR(B87=1,V87&lt;&gt;V86),PMT(V87/1200,MESES-B87+1,-Z86),W86),0)</f>
        <v/>
      </c>
      <c r="X87" s="58">
        <f>Z86*V87/1200</f>
        <v/>
      </c>
      <c r="Y87" s="58">
        <f>IF(AND(BANCO_OK_4,B87&lt;=MESES),IF(OR(B87=MESES,W87-X87&gt;Z86),Z86,W87-X87),0)</f>
        <v/>
      </c>
      <c r="Z87" s="58">
        <f>Z86-Y87</f>
        <v/>
      </c>
      <c r="AA87" s="58">
        <f>IF(AND(BANCO_OK_4,B87&lt;=MESES),X87+Y87+VINC_MES_4,0)</f>
        <v/>
      </c>
    </row>
    <row r="88">
      <c r="B88" s="56" t="n">
        <v>80</v>
      </c>
      <c r="C88" s="56">
        <f>ROUNDUP(B88/12,0)</f>
        <v/>
      </c>
      <c r="D88" s="52">
        <f>IF(AND(BANCO_OK_1,B88&lt;=MESES),IF(OR(OF_TIPO_1="Fija",C88&lt;=OF_ANIOS_INI_1),OF_TIN_1,MAX(0,EURIBOR+OF_DIF_1)),0)</f>
        <v/>
      </c>
      <c r="E88" s="58">
        <f>IF(AND(BANCO_OK_1,B88&lt;=MESES),IF(OR(B88=1,D88&lt;&gt;D87),PMT(D88/1200,MESES-B88+1,-H87),E87),0)</f>
        <v/>
      </c>
      <c r="F88" s="58">
        <f>H87*D88/1200</f>
        <v/>
      </c>
      <c r="G88" s="58">
        <f>IF(AND(BANCO_OK_1,B88&lt;=MESES),IF(OR(B88=MESES,E88-F88&gt;H87),H87,E88-F88),0)</f>
        <v/>
      </c>
      <c r="H88" s="58">
        <f>H87-G88</f>
        <v/>
      </c>
      <c r="I88" s="58">
        <f>IF(AND(BANCO_OK_1,B88&lt;=MESES),F88+G88+VINC_MES_1,0)</f>
        <v/>
      </c>
      <c r="J88" s="52">
        <f>IF(AND(BANCO_OK_2,B88&lt;=MESES),IF(OR(OF_TIPO_2="Fija",C88&lt;=OF_ANIOS_INI_2),OF_TIN_2,MAX(0,EURIBOR+OF_DIF_2)),0)</f>
        <v/>
      </c>
      <c r="K88" s="58">
        <f>IF(AND(BANCO_OK_2,B88&lt;=MESES),IF(OR(B88=1,J88&lt;&gt;J87),PMT(J88/1200,MESES-B88+1,-N87),K87),0)</f>
        <v/>
      </c>
      <c r="L88" s="58">
        <f>N87*J88/1200</f>
        <v/>
      </c>
      <c r="M88" s="58">
        <f>IF(AND(BANCO_OK_2,B88&lt;=MESES),IF(OR(B88=MESES,K88-L88&gt;N87),N87,K88-L88),0)</f>
        <v/>
      </c>
      <c r="N88" s="58">
        <f>N87-M88</f>
        <v/>
      </c>
      <c r="O88" s="58">
        <f>IF(AND(BANCO_OK_2,B88&lt;=MESES),L88+M88+VINC_MES_2,0)</f>
        <v/>
      </c>
      <c r="P88" s="52">
        <f>IF(AND(BANCO_OK_3,B88&lt;=MESES),IF(OR(OF_TIPO_3="Fija",C88&lt;=OF_ANIOS_INI_3),OF_TIN_3,MAX(0,EURIBOR+OF_DIF_3)),0)</f>
        <v/>
      </c>
      <c r="Q88" s="58">
        <f>IF(AND(BANCO_OK_3,B88&lt;=MESES),IF(OR(B88=1,P88&lt;&gt;P87),PMT(P88/1200,MESES-B88+1,-T87),Q87),0)</f>
        <v/>
      </c>
      <c r="R88" s="58">
        <f>T87*P88/1200</f>
        <v/>
      </c>
      <c r="S88" s="58">
        <f>IF(AND(BANCO_OK_3,B88&lt;=MESES),IF(OR(B88=MESES,Q88-R88&gt;T87),T87,Q88-R88),0)</f>
        <v/>
      </c>
      <c r="T88" s="58">
        <f>T87-S88</f>
        <v/>
      </c>
      <c r="U88" s="58">
        <f>IF(AND(BANCO_OK_3,B88&lt;=MESES),R88+S88+VINC_MES_3,0)</f>
        <v/>
      </c>
      <c r="V88" s="52">
        <f>IF(AND(BANCO_OK_4,B88&lt;=MESES),IF(OR(OF_TIPO_4="Fija",C88&lt;=OF_ANIOS_INI_4),OF_TIN_4,MAX(0,EURIBOR+OF_DIF_4)),0)</f>
        <v/>
      </c>
      <c r="W88" s="58">
        <f>IF(AND(BANCO_OK_4,B88&lt;=MESES),IF(OR(B88=1,V88&lt;&gt;V87),PMT(V88/1200,MESES-B88+1,-Z87),W87),0)</f>
        <v/>
      </c>
      <c r="X88" s="58">
        <f>Z87*V88/1200</f>
        <v/>
      </c>
      <c r="Y88" s="58">
        <f>IF(AND(BANCO_OK_4,B88&lt;=MESES),IF(OR(B88=MESES,W88-X88&gt;Z87),Z87,W88-X88),0)</f>
        <v/>
      </c>
      <c r="Z88" s="58">
        <f>Z87-Y88</f>
        <v/>
      </c>
      <c r="AA88" s="58">
        <f>IF(AND(BANCO_OK_4,B88&lt;=MESES),X88+Y88+VINC_MES_4,0)</f>
        <v/>
      </c>
    </row>
    <row r="89">
      <c r="B89" s="56" t="n">
        <v>81</v>
      </c>
      <c r="C89" s="56">
        <f>ROUNDUP(B89/12,0)</f>
        <v/>
      </c>
      <c r="D89" s="52">
        <f>IF(AND(BANCO_OK_1,B89&lt;=MESES),IF(OR(OF_TIPO_1="Fija",C89&lt;=OF_ANIOS_INI_1),OF_TIN_1,MAX(0,EURIBOR+OF_DIF_1)),0)</f>
        <v/>
      </c>
      <c r="E89" s="58">
        <f>IF(AND(BANCO_OK_1,B89&lt;=MESES),IF(OR(B89=1,D89&lt;&gt;D88),PMT(D89/1200,MESES-B89+1,-H88),E88),0)</f>
        <v/>
      </c>
      <c r="F89" s="58">
        <f>H88*D89/1200</f>
        <v/>
      </c>
      <c r="G89" s="58">
        <f>IF(AND(BANCO_OK_1,B89&lt;=MESES),IF(OR(B89=MESES,E89-F89&gt;H88),H88,E89-F89),0)</f>
        <v/>
      </c>
      <c r="H89" s="58">
        <f>H88-G89</f>
        <v/>
      </c>
      <c r="I89" s="58">
        <f>IF(AND(BANCO_OK_1,B89&lt;=MESES),F89+G89+VINC_MES_1,0)</f>
        <v/>
      </c>
      <c r="J89" s="52">
        <f>IF(AND(BANCO_OK_2,B89&lt;=MESES),IF(OR(OF_TIPO_2="Fija",C89&lt;=OF_ANIOS_INI_2),OF_TIN_2,MAX(0,EURIBOR+OF_DIF_2)),0)</f>
        <v/>
      </c>
      <c r="K89" s="58">
        <f>IF(AND(BANCO_OK_2,B89&lt;=MESES),IF(OR(B89=1,J89&lt;&gt;J88),PMT(J89/1200,MESES-B89+1,-N88),K88),0)</f>
        <v/>
      </c>
      <c r="L89" s="58">
        <f>N88*J89/1200</f>
        <v/>
      </c>
      <c r="M89" s="58">
        <f>IF(AND(BANCO_OK_2,B89&lt;=MESES),IF(OR(B89=MESES,K89-L89&gt;N88),N88,K89-L89),0)</f>
        <v/>
      </c>
      <c r="N89" s="58">
        <f>N88-M89</f>
        <v/>
      </c>
      <c r="O89" s="58">
        <f>IF(AND(BANCO_OK_2,B89&lt;=MESES),L89+M89+VINC_MES_2,0)</f>
        <v/>
      </c>
      <c r="P89" s="52">
        <f>IF(AND(BANCO_OK_3,B89&lt;=MESES),IF(OR(OF_TIPO_3="Fija",C89&lt;=OF_ANIOS_INI_3),OF_TIN_3,MAX(0,EURIBOR+OF_DIF_3)),0)</f>
        <v/>
      </c>
      <c r="Q89" s="58">
        <f>IF(AND(BANCO_OK_3,B89&lt;=MESES),IF(OR(B89=1,P89&lt;&gt;P88),PMT(P89/1200,MESES-B89+1,-T88),Q88),0)</f>
        <v/>
      </c>
      <c r="R89" s="58">
        <f>T88*P89/1200</f>
        <v/>
      </c>
      <c r="S89" s="58">
        <f>IF(AND(BANCO_OK_3,B89&lt;=MESES),IF(OR(B89=MESES,Q89-R89&gt;T88),T88,Q89-R89),0)</f>
        <v/>
      </c>
      <c r="T89" s="58">
        <f>T88-S89</f>
        <v/>
      </c>
      <c r="U89" s="58">
        <f>IF(AND(BANCO_OK_3,B89&lt;=MESES),R89+S89+VINC_MES_3,0)</f>
        <v/>
      </c>
      <c r="V89" s="52">
        <f>IF(AND(BANCO_OK_4,B89&lt;=MESES),IF(OR(OF_TIPO_4="Fija",C89&lt;=OF_ANIOS_INI_4),OF_TIN_4,MAX(0,EURIBOR+OF_DIF_4)),0)</f>
        <v/>
      </c>
      <c r="W89" s="58">
        <f>IF(AND(BANCO_OK_4,B89&lt;=MESES),IF(OR(B89=1,V89&lt;&gt;V88),PMT(V89/1200,MESES-B89+1,-Z88),W88),0)</f>
        <v/>
      </c>
      <c r="X89" s="58">
        <f>Z88*V89/1200</f>
        <v/>
      </c>
      <c r="Y89" s="58">
        <f>IF(AND(BANCO_OK_4,B89&lt;=MESES),IF(OR(B89=MESES,W89-X89&gt;Z88),Z88,W89-X89),0)</f>
        <v/>
      </c>
      <c r="Z89" s="58">
        <f>Z88-Y89</f>
        <v/>
      </c>
      <c r="AA89" s="58">
        <f>IF(AND(BANCO_OK_4,B89&lt;=MESES),X89+Y89+VINC_MES_4,0)</f>
        <v/>
      </c>
    </row>
    <row r="90">
      <c r="B90" s="56" t="n">
        <v>82</v>
      </c>
      <c r="C90" s="56">
        <f>ROUNDUP(B90/12,0)</f>
        <v/>
      </c>
      <c r="D90" s="52">
        <f>IF(AND(BANCO_OK_1,B90&lt;=MESES),IF(OR(OF_TIPO_1="Fija",C90&lt;=OF_ANIOS_INI_1),OF_TIN_1,MAX(0,EURIBOR+OF_DIF_1)),0)</f>
        <v/>
      </c>
      <c r="E90" s="58">
        <f>IF(AND(BANCO_OK_1,B90&lt;=MESES),IF(OR(B90=1,D90&lt;&gt;D89),PMT(D90/1200,MESES-B90+1,-H89),E89),0)</f>
        <v/>
      </c>
      <c r="F90" s="58">
        <f>H89*D90/1200</f>
        <v/>
      </c>
      <c r="G90" s="58">
        <f>IF(AND(BANCO_OK_1,B90&lt;=MESES),IF(OR(B90=MESES,E90-F90&gt;H89),H89,E90-F90),0)</f>
        <v/>
      </c>
      <c r="H90" s="58">
        <f>H89-G90</f>
        <v/>
      </c>
      <c r="I90" s="58">
        <f>IF(AND(BANCO_OK_1,B90&lt;=MESES),F90+G90+VINC_MES_1,0)</f>
        <v/>
      </c>
      <c r="J90" s="52">
        <f>IF(AND(BANCO_OK_2,B90&lt;=MESES),IF(OR(OF_TIPO_2="Fija",C90&lt;=OF_ANIOS_INI_2),OF_TIN_2,MAX(0,EURIBOR+OF_DIF_2)),0)</f>
        <v/>
      </c>
      <c r="K90" s="58">
        <f>IF(AND(BANCO_OK_2,B90&lt;=MESES),IF(OR(B90=1,J90&lt;&gt;J89),PMT(J90/1200,MESES-B90+1,-N89),K89),0)</f>
        <v/>
      </c>
      <c r="L90" s="58">
        <f>N89*J90/1200</f>
        <v/>
      </c>
      <c r="M90" s="58">
        <f>IF(AND(BANCO_OK_2,B90&lt;=MESES),IF(OR(B90=MESES,K90-L90&gt;N89),N89,K90-L90),0)</f>
        <v/>
      </c>
      <c r="N90" s="58">
        <f>N89-M90</f>
        <v/>
      </c>
      <c r="O90" s="58">
        <f>IF(AND(BANCO_OK_2,B90&lt;=MESES),L90+M90+VINC_MES_2,0)</f>
        <v/>
      </c>
      <c r="P90" s="52">
        <f>IF(AND(BANCO_OK_3,B90&lt;=MESES),IF(OR(OF_TIPO_3="Fija",C90&lt;=OF_ANIOS_INI_3),OF_TIN_3,MAX(0,EURIBOR+OF_DIF_3)),0)</f>
        <v/>
      </c>
      <c r="Q90" s="58">
        <f>IF(AND(BANCO_OK_3,B90&lt;=MESES),IF(OR(B90=1,P90&lt;&gt;P89),PMT(P90/1200,MESES-B90+1,-T89),Q89),0)</f>
        <v/>
      </c>
      <c r="R90" s="58">
        <f>T89*P90/1200</f>
        <v/>
      </c>
      <c r="S90" s="58">
        <f>IF(AND(BANCO_OK_3,B90&lt;=MESES),IF(OR(B90=MESES,Q90-R90&gt;T89),T89,Q90-R90),0)</f>
        <v/>
      </c>
      <c r="T90" s="58">
        <f>T89-S90</f>
        <v/>
      </c>
      <c r="U90" s="58">
        <f>IF(AND(BANCO_OK_3,B90&lt;=MESES),R90+S90+VINC_MES_3,0)</f>
        <v/>
      </c>
      <c r="V90" s="52">
        <f>IF(AND(BANCO_OK_4,B90&lt;=MESES),IF(OR(OF_TIPO_4="Fija",C90&lt;=OF_ANIOS_INI_4),OF_TIN_4,MAX(0,EURIBOR+OF_DIF_4)),0)</f>
        <v/>
      </c>
      <c r="W90" s="58">
        <f>IF(AND(BANCO_OK_4,B90&lt;=MESES),IF(OR(B90=1,V90&lt;&gt;V89),PMT(V90/1200,MESES-B90+1,-Z89),W89),0)</f>
        <v/>
      </c>
      <c r="X90" s="58">
        <f>Z89*V90/1200</f>
        <v/>
      </c>
      <c r="Y90" s="58">
        <f>IF(AND(BANCO_OK_4,B90&lt;=MESES),IF(OR(B90=MESES,W90-X90&gt;Z89),Z89,W90-X90),0)</f>
        <v/>
      </c>
      <c r="Z90" s="58">
        <f>Z89-Y90</f>
        <v/>
      </c>
      <c r="AA90" s="58">
        <f>IF(AND(BANCO_OK_4,B90&lt;=MESES),X90+Y90+VINC_MES_4,0)</f>
        <v/>
      </c>
    </row>
    <row r="91">
      <c r="B91" s="56" t="n">
        <v>83</v>
      </c>
      <c r="C91" s="56">
        <f>ROUNDUP(B91/12,0)</f>
        <v/>
      </c>
      <c r="D91" s="52">
        <f>IF(AND(BANCO_OK_1,B91&lt;=MESES),IF(OR(OF_TIPO_1="Fija",C91&lt;=OF_ANIOS_INI_1),OF_TIN_1,MAX(0,EURIBOR+OF_DIF_1)),0)</f>
        <v/>
      </c>
      <c r="E91" s="58">
        <f>IF(AND(BANCO_OK_1,B91&lt;=MESES),IF(OR(B91=1,D91&lt;&gt;D90),PMT(D91/1200,MESES-B91+1,-H90),E90),0)</f>
        <v/>
      </c>
      <c r="F91" s="58">
        <f>H90*D91/1200</f>
        <v/>
      </c>
      <c r="G91" s="58">
        <f>IF(AND(BANCO_OK_1,B91&lt;=MESES),IF(OR(B91=MESES,E91-F91&gt;H90),H90,E91-F91),0)</f>
        <v/>
      </c>
      <c r="H91" s="58">
        <f>H90-G91</f>
        <v/>
      </c>
      <c r="I91" s="58">
        <f>IF(AND(BANCO_OK_1,B91&lt;=MESES),F91+G91+VINC_MES_1,0)</f>
        <v/>
      </c>
      <c r="J91" s="52">
        <f>IF(AND(BANCO_OK_2,B91&lt;=MESES),IF(OR(OF_TIPO_2="Fija",C91&lt;=OF_ANIOS_INI_2),OF_TIN_2,MAX(0,EURIBOR+OF_DIF_2)),0)</f>
        <v/>
      </c>
      <c r="K91" s="58">
        <f>IF(AND(BANCO_OK_2,B91&lt;=MESES),IF(OR(B91=1,J91&lt;&gt;J90),PMT(J91/1200,MESES-B91+1,-N90),K90),0)</f>
        <v/>
      </c>
      <c r="L91" s="58">
        <f>N90*J91/1200</f>
        <v/>
      </c>
      <c r="M91" s="58">
        <f>IF(AND(BANCO_OK_2,B91&lt;=MESES),IF(OR(B91=MESES,K91-L91&gt;N90),N90,K91-L91),0)</f>
        <v/>
      </c>
      <c r="N91" s="58">
        <f>N90-M91</f>
        <v/>
      </c>
      <c r="O91" s="58">
        <f>IF(AND(BANCO_OK_2,B91&lt;=MESES),L91+M91+VINC_MES_2,0)</f>
        <v/>
      </c>
      <c r="P91" s="52">
        <f>IF(AND(BANCO_OK_3,B91&lt;=MESES),IF(OR(OF_TIPO_3="Fija",C91&lt;=OF_ANIOS_INI_3),OF_TIN_3,MAX(0,EURIBOR+OF_DIF_3)),0)</f>
        <v/>
      </c>
      <c r="Q91" s="58">
        <f>IF(AND(BANCO_OK_3,B91&lt;=MESES),IF(OR(B91=1,P91&lt;&gt;P90),PMT(P91/1200,MESES-B91+1,-T90),Q90),0)</f>
        <v/>
      </c>
      <c r="R91" s="58">
        <f>T90*P91/1200</f>
        <v/>
      </c>
      <c r="S91" s="58">
        <f>IF(AND(BANCO_OK_3,B91&lt;=MESES),IF(OR(B91=MESES,Q91-R91&gt;T90),T90,Q91-R91),0)</f>
        <v/>
      </c>
      <c r="T91" s="58">
        <f>T90-S91</f>
        <v/>
      </c>
      <c r="U91" s="58">
        <f>IF(AND(BANCO_OK_3,B91&lt;=MESES),R91+S91+VINC_MES_3,0)</f>
        <v/>
      </c>
      <c r="V91" s="52">
        <f>IF(AND(BANCO_OK_4,B91&lt;=MESES),IF(OR(OF_TIPO_4="Fija",C91&lt;=OF_ANIOS_INI_4),OF_TIN_4,MAX(0,EURIBOR+OF_DIF_4)),0)</f>
        <v/>
      </c>
      <c r="W91" s="58">
        <f>IF(AND(BANCO_OK_4,B91&lt;=MESES),IF(OR(B91=1,V91&lt;&gt;V90),PMT(V91/1200,MESES-B91+1,-Z90),W90),0)</f>
        <v/>
      </c>
      <c r="X91" s="58">
        <f>Z90*V91/1200</f>
        <v/>
      </c>
      <c r="Y91" s="58">
        <f>IF(AND(BANCO_OK_4,B91&lt;=MESES),IF(OR(B91=MESES,W91-X91&gt;Z90),Z90,W91-X91),0)</f>
        <v/>
      </c>
      <c r="Z91" s="58">
        <f>Z90-Y91</f>
        <v/>
      </c>
      <c r="AA91" s="58">
        <f>IF(AND(BANCO_OK_4,B91&lt;=MESES),X91+Y91+VINC_MES_4,0)</f>
        <v/>
      </c>
    </row>
    <row r="92">
      <c r="B92" s="56" t="n">
        <v>84</v>
      </c>
      <c r="C92" s="56">
        <f>ROUNDUP(B92/12,0)</f>
        <v/>
      </c>
      <c r="D92" s="52">
        <f>IF(AND(BANCO_OK_1,B92&lt;=MESES),IF(OR(OF_TIPO_1="Fija",C92&lt;=OF_ANIOS_INI_1),OF_TIN_1,MAX(0,EURIBOR+OF_DIF_1)),0)</f>
        <v/>
      </c>
      <c r="E92" s="58">
        <f>IF(AND(BANCO_OK_1,B92&lt;=MESES),IF(OR(B92=1,D92&lt;&gt;D91),PMT(D92/1200,MESES-B92+1,-H91),E91),0)</f>
        <v/>
      </c>
      <c r="F92" s="58">
        <f>H91*D92/1200</f>
        <v/>
      </c>
      <c r="G92" s="58">
        <f>IF(AND(BANCO_OK_1,B92&lt;=MESES),IF(OR(B92=MESES,E92-F92&gt;H91),H91,E92-F92),0)</f>
        <v/>
      </c>
      <c r="H92" s="58">
        <f>H91-G92</f>
        <v/>
      </c>
      <c r="I92" s="58">
        <f>IF(AND(BANCO_OK_1,B92&lt;=MESES),F92+G92+VINC_MES_1,0)</f>
        <v/>
      </c>
      <c r="J92" s="52">
        <f>IF(AND(BANCO_OK_2,B92&lt;=MESES),IF(OR(OF_TIPO_2="Fija",C92&lt;=OF_ANIOS_INI_2),OF_TIN_2,MAX(0,EURIBOR+OF_DIF_2)),0)</f>
        <v/>
      </c>
      <c r="K92" s="58">
        <f>IF(AND(BANCO_OK_2,B92&lt;=MESES),IF(OR(B92=1,J92&lt;&gt;J91),PMT(J92/1200,MESES-B92+1,-N91),K91),0)</f>
        <v/>
      </c>
      <c r="L92" s="58">
        <f>N91*J92/1200</f>
        <v/>
      </c>
      <c r="M92" s="58">
        <f>IF(AND(BANCO_OK_2,B92&lt;=MESES),IF(OR(B92=MESES,K92-L92&gt;N91),N91,K92-L92),0)</f>
        <v/>
      </c>
      <c r="N92" s="58">
        <f>N91-M92</f>
        <v/>
      </c>
      <c r="O92" s="58">
        <f>IF(AND(BANCO_OK_2,B92&lt;=MESES),L92+M92+VINC_MES_2,0)</f>
        <v/>
      </c>
      <c r="P92" s="52">
        <f>IF(AND(BANCO_OK_3,B92&lt;=MESES),IF(OR(OF_TIPO_3="Fija",C92&lt;=OF_ANIOS_INI_3),OF_TIN_3,MAX(0,EURIBOR+OF_DIF_3)),0)</f>
        <v/>
      </c>
      <c r="Q92" s="58">
        <f>IF(AND(BANCO_OK_3,B92&lt;=MESES),IF(OR(B92=1,P92&lt;&gt;P91),PMT(P92/1200,MESES-B92+1,-T91),Q91),0)</f>
        <v/>
      </c>
      <c r="R92" s="58">
        <f>T91*P92/1200</f>
        <v/>
      </c>
      <c r="S92" s="58">
        <f>IF(AND(BANCO_OK_3,B92&lt;=MESES),IF(OR(B92=MESES,Q92-R92&gt;T91),T91,Q92-R92),0)</f>
        <v/>
      </c>
      <c r="T92" s="58">
        <f>T91-S92</f>
        <v/>
      </c>
      <c r="U92" s="58">
        <f>IF(AND(BANCO_OK_3,B92&lt;=MESES),R92+S92+VINC_MES_3,0)</f>
        <v/>
      </c>
      <c r="V92" s="52">
        <f>IF(AND(BANCO_OK_4,B92&lt;=MESES),IF(OR(OF_TIPO_4="Fija",C92&lt;=OF_ANIOS_INI_4),OF_TIN_4,MAX(0,EURIBOR+OF_DIF_4)),0)</f>
        <v/>
      </c>
      <c r="W92" s="58">
        <f>IF(AND(BANCO_OK_4,B92&lt;=MESES),IF(OR(B92=1,V92&lt;&gt;V91),PMT(V92/1200,MESES-B92+1,-Z91),W91),0)</f>
        <v/>
      </c>
      <c r="X92" s="58">
        <f>Z91*V92/1200</f>
        <v/>
      </c>
      <c r="Y92" s="58">
        <f>IF(AND(BANCO_OK_4,B92&lt;=MESES),IF(OR(B92=MESES,W92-X92&gt;Z91),Z91,W92-X92),0)</f>
        <v/>
      </c>
      <c r="Z92" s="58">
        <f>Z91-Y92</f>
        <v/>
      </c>
      <c r="AA92" s="58">
        <f>IF(AND(BANCO_OK_4,B92&lt;=MESES),X92+Y92+VINC_MES_4,0)</f>
        <v/>
      </c>
    </row>
    <row r="93">
      <c r="B93" s="56" t="n">
        <v>85</v>
      </c>
      <c r="C93" s="56">
        <f>ROUNDUP(B93/12,0)</f>
        <v/>
      </c>
      <c r="D93" s="52">
        <f>IF(AND(BANCO_OK_1,B93&lt;=MESES),IF(OR(OF_TIPO_1="Fija",C93&lt;=OF_ANIOS_INI_1),OF_TIN_1,MAX(0,EURIBOR+OF_DIF_1)),0)</f>
        <v/>
      </c>
      <c r="E93" s="58">
        <f>IF(AND(BANCO_OK_1,B93&lt;=MESES),IF(OR(B93=1,D93&lt;&gt;D92),PMT(D93/1200,MESES-B93+1,-H92),E92),0)</f>
        <v/>
      </c>
      <c r="F93" s="58">
        <f>H92*D93/1200</f>
        <v/>
      </c>
      <c r="G93" s="58">
        <f>IF(AND(BANCO_OK_1,B93&lt;=MESES),IF(OR(B93=MESES,E93-F93&gt;H92),H92,E93-F93),0)</f>
        <v/>
      </c>
      <c r="H93" s="58">
        <f>H92-G93</f>
        <v/>
      </c>
      <c r="I93" s="58">
        <f>IF(AND(BANCO_OK_1,B93&lt;=MESES),F93+G93+VINC_MES_1,0)</f>
        <v/>
      </c>
      <c r="J93" s="52">
        <f>IF(AND(BANCO_OK_2,B93&lt;=MESES),IF(OR(OF_TIPO_2="Fija",C93&lt;=OF_ANIOS_INI_2),OF_TIN_2,MAX(0,EURIBOR+OF_DIF_2)),0)</f>
        <v/>
      </c>
      <c r="K93" s="58">
        <f>IF(AND(BANCO_OK_2,B93&lt;=MESES),IF(OR(B93=1,J93&lt;&gt;J92),PMT(J93/1200,MESES-B93+1,-N92),K92),0)</f>
        <v/>
      </c>
      <c r="L93" s="58">
        <f>N92*J93/1200</f>
        <v/>
      </c>
      <c r="M93" s="58">
        <f>IF(AND(BANCO_OK_2,B93&lt;=MESES),IF(OR(B93=MESES,K93-L93&gt;N92),N92,K93-L93),0)</f>
        <v/>
      </c>
      <c r="N93" s="58">
        <f>N92-M93</f>
        <v/>
      </c>
      <c r="O93" s="58">
        <f>IF(AND(BANCO_OK_2,B93&lt;=MESES),L93+M93+VINC_MES_2,0)</f>
        <v/>
      </c>
      <c r="P93" s="52">
        <f>IF(AND(BANCO_OK_3,B93&lt;=MESES),IF(OR(OF_TIPO_3="Fija",C93&lt;=OF_ANIOS_INI_3),OF_TIN_3,MAX(0,EURIBOR+OF_DIF_3)),0)</f>
        <v/>
      </c>
      <c r="Q93" s="58">
        <f>IF(AND(BANCO_OK_3,B93&lt;=MESES),IF(OR(B93=1,P93&lt;&gt;P92),PMT(P93/1200,MESES-B93+1,-T92),Q92),0)</f>
        <v/>
      </c>
      <c r="R93" s="58">
        <f>T92*P93/1200</f>
        <v/>
      </c>
      <c r="S93" s="58">
        <f>IF(AND(BANCO_OK_3,B93&lt;=MESES),IF(OR(B93=MESES,Q93-R93&gt;T92),T92,Q93-R93),0)</f>
        <v/>
      </c>
      <c r="T93" s="58">
        <f>T92-S93</f>
        <v/>
      </c>
      <c r="U93" s="58">
        <f>IF(AND(BANCO_OK_3,B93&lt;=MESES),R93+S93+VINC_MES_3,0)</f>
        <v/>
      </c>
      <c r="V93" s="52">
        <f>IF(AND(BANCO_OK_4,B93&lt;=MESES),IF(OR(OF_TIPO_4="Fija",C93&lt;=OF_ANIOS_INI_4),OF_TIN_4,MAX(0,EURIBOR+OF_DIF_4)),0)</f>
        <v/>
      </c>
      <c r="W93" s="58">
        <f>IF(AND(BANCO_OK_4,B93&lt;=MESES),IF(OR(B93=1,V93&lt;&gt;V92),PMT(V93/1200,MESES-B93+1,-Z92),W92),0)</f>
        <v/>
      </c>
      <c r="X93" s="58">
        <f>Z92*V93/1200</f>
        <v/>
      </c>
      <c r="Y93" s="58">
        <f>IF(AND(BANCO_OK_4,B93&lt;=MESES),IF(OR(B93=MESES,W93-X93&gt;Z92),Z92,W93-X93),0)</f>
        <v/>
      </c>
      <c r="Z93" s="58">
        <f>Z92-Y93</f>
        <v/>
      </c>
      <c r="AA93" s="58">
        <f>IF(AND(BANCO_OK_4,B93&lt;=MESES),X93+Y93+VINC_MES_4,0)</f>
        <v/>
      </c>
    </row>
    <row r="94">
      <c r="B94" s="56" t="n">
        <v>86</v>
      </c>
      <c r="C94" s="56">
        <f>ROUNDUP(B94/12,0)</f>
        <v/>
      </c>
      <c r="D94" s="52">
        <f>IF(AND(BANCO_OK_1,B94&lt;=MESES),IF(OR(OF_TIPO_1="Fija",C94&lt;=OF_ANIOS_INI_1),OF_TIN_1,MAX(0,EURIBOR+OF_DIF_1)),0)</f>
        <v/>
      </c>
      <c r="E94" s="58">
        <f>IF(AND(BANCO_OK_1,B94&lt;=MESES),IF(OR(B94=1,D94&lt;&gt;D93),PMT(D94/1200,MESES-B94+1,-H93),E93),0)</f>
        <v/>
      </c>
      <c r="F94" s="58">
        <f>H93*D94/1200</f>
        <v/>
      </c>
      <c r="G94" s="58">
        <f>IF(AND(BANCO_OK_1,B94&lt;=MESES),IF(OR(B94=MESES,E94-F94&gt;H93),H93,E94-F94),0)</f>
        <v/>
      </c>
      <c r="H94" s="58">
        <f>H93-G94</f>
        <v/>
      </c>
      <c r="I94" s="58">
        <f>IF(AND(BANCO_OK_1,B94&lt;=MESES),F94+G94+VINC_MES_1,0)</f>
        <v/>
      </c>
      <c r="J94" s="52">
        <f>IF(AND(BANCO_OK_2,B94&lt;=MESES),IF(OR(OF_TIPO_2="Fija",C94&lt;=OF_ANIOS_INI_2),OF_TIN_2,MAX(0,EURIBOR+OF_DIF_2)),0)</f>
        <v/>
      </c>
      <c r="K94" s="58">
        <f>IF(AND(BANCO_OK_2,B94&lt;=MESES),IF(OR(B94=1,J94&lt;&gt;J93),PMT(J94/1200,MESES-B94+1,-N93),K93),0)</f>
        <v/>
      </c>
      <c r="L94" s="58">
        <f>N93*J94/1200</f>
        <v/>
      </c>
      <c r="M94" s="58">
        <f>IF(AND(BANCO_OK_2,B94&lt;=MESES),IF(OR(B94=MESES,K94-L94&gt;N93),N93,K94-L94),0)</f>
        <v/>
      </c>
      <c r="N94" s="58">
        <f>N93-M94</f>
        <v/>
      </c>
      <c r="O94" s="58">
        <f>IF(AND(BANCO_OK_2,B94&lt;=MESES),L94+M94+VINC_MES_2,0)</f>
        <v/>
      </c>
      <c r="P94" s="52">
        <f>IF(AND(BANCO_OK_3,B94&lt;=MESES),IF(OR(OF_TIPO_3="Fija",C94&lt;=OF_ANIOS_INI_3),OF_TIN_3,MAX(0,EURIBOR+OF_DIF_3)),0)</f>
        <v/>
      </c>
      <c r="Q94" s="58">
        <f>IF(AND(BANCO_OK_3,B94&lt;=MESES),IF(OR(B94=1,P94&lt;&gt;P93),PMT(P94/1200,MESES-B94+1,-T93),Q93),0)</f>
        <v/>
      </c>
      <c r="R94" s="58">
        <f>T93*P94/1200</f>
        <v/>
      </c>
      <c r="S94" s="58">
        <f>IF(AND(BANCO_OK_3,B94&lt;=MESES),IF(OR(B94=MESES,Q94-R94&gt;T93),T93,Q94-R94),0)</f>
        <v/>
      </c>
      <c r="T94" s="58">
        <f>T93-S94</f>
        <v/>
      </c>
      <c r="U94" s="58">
        <f>IF(AND(BANCO_OK_3,B94&lt;=MESES),R94+S94+VINC_MES_3,0)</f>
        <v/>
      </c>
      <c r="V94" s="52">
        <f>IF(AND(BANCO_OK_4,B94&lt;=MESES),IF(OR(OF_TIPO_4="Fija",C94&lt;=OF_ANIOS_INI_4),OF_TIN_4,MAX(0,EURIBOR+OF_DIF_4)),0)</f>
        <v/>
      </c>
      <c r="W94" s="58">
        <f>IF(AND(BANCO_OK_4,B94&lt;=MESES),IF(OR(B94=1,V94&lt;&gt;V93),PMT(V94/1200,MESES-B94+1,-Z93),W93),0)</f>
        <v/>
      </c>
      <c r="X94" s="58">
        <f>Z93*V94/1200</f>
        <v/>
      </c>
      <c r="Y94" s="58">
        <f>IF(AND(BANCO_OK_4,B94&lt;=MESES),IF(OR(B94=MESES,W94-X94&gt;Z93),Z93,W94-X94),0)</f>
        <v/>
      </c>
      <c r="Z94" s="58">
        <f>Z93-Y94</f>
        <v/>
      </c>
      <c r="AA94" s="58">
        <f>IF(AND(BANCO_OK_4,B94&lt;=MESES),X94+Y94+VINC_MES_4,0)</f>
        <v/>
      </c>
    </row>
    <row r="95">
      <c r="B95" s="56" t="n">
        <v>87</v>
      </c>
      <c r="C95" s="56">
        <f>ROUNDUP(B95/12,0)</f>
        <v/>
      </c>
      <c r="D95" s="52">
        <f>IF(AND(BANCO_OK_1,B95&lt;=MESES),IF(OR(OF_TIPO_1="Fija",C95&lt;=OF_ANIOS_INI_1),OF_TIN_1,MAX(0,EURIBOR+OF_DIF_1)),0)</f>
        <v/>
      </c>
      <c r="E95" s="58">
        <f>IF(AND(BANCO_OK_1,B95&lt;=MESES),IF(OR(B95=1,D95&lt;&gt;D94),PMT(D95/1200,MESES-B95+1,-H94),E94),0)</f>
        <v/>
      </c>
      <c r="F95" s="58">
        <f>H94*D95/1200</f>
        <v/>
      </c>
      <c r="G95" s="58">
        <f>IF(AND(BANCO_OK_1,B95&lt;=MESES),IF(OR(B95=MESES,E95-F95&gt;H94),H94,E95-F95),0)</f>
        <v/>
      </c>
      <c r="H95" s="58">
        <f>H94-G95</f>
        <v/>
      </c>
      <c r="I95" s="58">
        <f>IF(AND(BANCO_OK_1,B95&lt;=MESES),F95+G95+VINC_MES_1,0)</f>
        <v/>
      </c>
      <c r="J95" s="52">
        <f>IF(AND(BANCO_OK_2,B95&lt;=MESES),IF(OR(OF_TIPO_2="Fija",C95&lt;=OF_ANIOS_INI_2),OF_TIN_2,MAX(0,EURIBOR+OF_DIF_2)),0)</f>
        <v/>
      </c>
      <c r="K95" s="58">
        <f>IF(AND(BANCO_OK_2,B95&lt;=MESES),IF(OR(B95=1,J95&lt;&gt;J94),PMT(J95/1200,MESES-B95+1,-N94),K94),0)</f>
        <v/>
      </c>
      <c r="L95" s="58">
        <f>N94*J95/1200</f>
        <v/>
      </c>
      <c r="M95" s="58">
        <f>IF(AND(BANCO_OK_2,B95&lt;=MESES),IF(OR(B95=MESES,K95-L95&gt;N94),N94,K95-L95),0)</f>
        <v/>
      </c>
      <c r="N95" s="58">
        <f>N94-M95</f>
        <v/>
      </c>
      <c r="O95" s="58">
        <f>IF(AND(BANCO_OK_2,B95&lt;=MESES),L95+M95+VINC_MES_2,0)</f>
        <v/>
      </c>
      <c r="P95" s="52">
        <f>IF(AND(BANCO_OK_3,B95&lt;=MESES),IF(OR(OF_TIPO_3="Fija",C95&lt;=OF_ANIOS_INI_3),OF_TIN_3,MAX(0,EURIBOR+OF_DIF_3)),0)</f>
        <v/>
      </c>
      <c r="Q95" s="58">
        <f>IF(AND(BANCO_OK_3,B95&lt;=MESES),IF(OR(B95=1,P95&lt;&gt;P94),PMT(P95/1200,MESES-B95+1,-T94),Q94),0)</f>
        <v/>
      </c>
      <c r="R95" s="58">
        <f>T94*P95/1200</f>
        <v/>
      </c>
      <c r="S95" s="58">
        <f>IF(AND(BANCO_OK_3,B95&lt;=MESES),IF(OR(B95=MESES,Q95-R95&gt;T94),T94,Q95-R95),0)</f>
        <v/>
      </c>
      <c r="T95" s="58">
        <f>T94-S95</f>
        <v/>
      </c>
      <c r="U95" s="58">
        <f>IF(AND(BANCO_OK_3,B95&lt;=MESES),R95+S95+VINC_MES_3,0)</f>
        <v/>
      </c>
      <c r="V95" s="52">
        <f>IF(AND(BANCO_OK_4,B95&lt;=MESES),IF(OR(OF_TIPO_4="Fija",C95&lt;=OF_ANIOS_INI_4),OF_TIN_4,MAX(0,EURIBOR+OF_DIF_4)),0)</f>
        <v/>
      </c>
      <c r="W95" s="58">
        <f>IF(AND(BANCO_OK_4,B95&lt;=MESES),IF(OR(B95=1,V95&lt;&gt;V94),PMT(V95/1200,MESES-B95+1,-Z94),W94),0)</f>
        <v/>
      </c>
      <c r="X95" s="58">
        <f>Z94*V95/1200</f>
        <v/>
      </c>
      <c r="Y95" s="58">
        <f>IF(AND(BANCO_OK_4,B95&lt;=MESES),IF(OR(B95=MESES,W95-X95&gt;Z94),Z94,W95-X95),0)</f>
        <v/>
      </c>
      <c r="Z95" s="58">
        <f>Z94-Y95</f>
        <v/>
      </c>
      <c r="AA95" s="58">
        <f>IF(AND(BANCO_OK_4,B95&lt;=MESES),X95+Y95+VINC_MES_4,0)</f>
        <v/>
      </c>
    </row>
    <row r="96">
      <c r="B96" s="56" t="n">
        <v>88</v>
      </c>
      <c r="C96" s="56">
        <f>ROUNDUP(B96/12,0)</f>
        <v/>
      </c>
      <c r="D96" s="52">
        <f>IF(AND(BANCO_OK_1,B96&lt;=MESES),IF(OR(OF_TIPO_1="Fija",C96&lt;=OF_ANIOS_INI_1),OF_TIN_1,MAX(0,EURIBOR+OF_DIF_1)),0)</f>
        <v/>
      </c>
      <c r="E96" s="58">
        <f>IF(AND(BANCO_OK_1,B96&lt;=MESES),IF(OR(B96=1,D96&lt;&gt;D95),PMT(D96/1200,MESES-B96+1,-H95),E95),0)</f>
        <v/>
      </c>
      <c r="F96" s="58">
        <f>H95*D96/1200</f>
        <v/>
      </c>
      <c r="G96" s="58">
        <f>IF(AND(BANCO_OK_1,B96&lt;=MESES),IF(OR(B96=MESES,E96-F96&gt;H95),H95,E96-F96),0)</f>
        <v/>
      </c>
      <c r="H96" s="58">
        <f>H95-G96</f>
        <v/>
      </c>
      <c r="I96" s="58">
        <f>IF(AND(BANCO_OK_1,B96&lt;=MESES),F96+G96+VINC_MES_1,0)</f>
        <v/>
      </c>
      <c r="J96" s="52">
        <f>IF(AND(BANCO_OK_2,B96&lt;=MESES),IF(OR(OF_TIPO_2="Fija",C96&lt;=OF_ANIOS_INI_2),OF_TIN_2,MAX(0,EURIBOR+OF_DIF_2)),0)</f>
        <v/>
      </c>
      <c r="K96" s="58">
        <f>IF(AND(BANCO_OK_2,B96&lt;=MESES),IF(OR(B96=1,J96&lt;&gt;J95),PMT(J96/1200,MESES-B96+1,-N95),K95),0)</f>
        <v/>
      </c>
      <c r="L96" s="58">
        <f>N95*J96/1200</f>
        <v/>
      </c>
      <c r="M96" s="58">
        <f>IF(AND(BANCO_OK_2,B96&lt;=MESES),IF(OR(B96=MESES,K96-L96&gt;N95),N95,K96-L96),0)</f>
        <v/>
      </c>
      <c r="N96" s="58">
        <f>N95-M96</f>
        <v/>
      </c>
      <c r="O96" s="58">
        <f>IF(AND(BANCO_OK_2,B96&lt;=MESES),L96+M96+VINC_MES_2,0)</f>
        <v/>
      </c>
      <c r="P96" s="52">
        <f>IF(AND(BANCO_OK_3,B96&lt;=MESES),IF(OR(OF_TIPO_3="Fija",C96&lt;=OF_ANIOS_INI_3),OF_TIN_3,MAX(0,EURIBOR+OF_DIF_3)),0)</f>
        <v/>
      </c>
      <c r="Q96" s="58">
        <f>IF(AND(BANCO_OK_3,B96&lt;=MESES),IF(OR(B96=1,P96&lt;&gt;P95),PMT(P96/1200,MESES-B96+1,-T95),Q95),0)</f>
        <v/>
      </c>
      <c r="R96" s="58">
        <f>T95*P96/1200</f>
        <v/>
      </c>
      <c r="S96" s="58">
        <f>IF(AND(BANCO_OK_3,B96&lt;=MESES),IF(OR(B96=MESES,Q96-R96&gt;T95),T95,Q96-R96),0)</f>
        <v/>
      </c>
      <c r="T96" s="58">
        <f>T95-S96</f>
        <v/>
      </c>
      <c r="U96" s="58">
        <f>IF(AND(BANCO_OK_3,B96&lt;=MESES),R96+S96+VINC_MES_3,0)</f>
        <v/>
      </c>
      <c r="V96" s="52">
        <f>IF(AND(BANCO_OK_4,B96&lt;=MESES),IF(OR(OF_TIPO_4="Fija",C96&lt;=OF_ANIOS_INI_4),OF_TIN_4,MAX(0,EURIBOR+OF_DIF_4)),0)</f>
        <v/>
      </c>
      <c r="W96" s="58">
        <f>IF(AND(BANCO_OK_4,B96&lt;=MESES),IF(OR(B96=1,V96&lt;&gt;V95),PMT(V96/1200,MESES-B96+1,-Z95),W95),0)</f>
        <v/>
      </c>
      <c r="X96" s="58">
        <f>Z95*V96/1200</f>
        <v/>
      </c>
      <c r="Y96" s="58">
        <f>IF(AND(BANCO_OK_4,B96&lt;=MESES),IF(OR(B96=MESES,W96-X96&gt;Z95),Z95,W96-X96),0)</f>
        <v/>
      </c>
      <c r="Z96" s="58">
        <f>Z95-Y96</f>
        <v/>
      </c>
      <c r="AA96" s="58">
        <f>IF(AND(BANCO_OK_4,B96&lt;=MESES),X96+Y96+VINC_MES_4,0)</f>
        <v/>
      </c>
    </row>
    <row r="97">
      <c r="B97" s="56" t="n">
        <v>89</v>
      </c>
      <c r="C97" s="56">
        <f>ROUNDUP(B97/12,0)</f>
        <v/>
      </c>
      <c r="D97" s="52">
        <f>IF(AND(BANCO_OK_1,B97&lt;=MESES),IF(OR(OF_TIPO_1="Fija",C97&lt;=OF_ANIOS_INI_1),OF_TIN_1,MAX(0,EURIBOR+OF_DIF_1)),0)</f>
        <v/>
      </c>
      <c r="E97" s="58">
        <f>IF(AND(BANCO_OK_1,B97&lt;=MESES),IF(OR(B97=1,D97&lt;&gt;D96),PMT(D97/1200,MESES-B97+1,-H96),E96),0)</f>
        <v/>
      </c>
      <c r="F97" s="58">
        <f>H96*D97/1200</f>
        <v/>
      </c>
      <c r="G97" s="58">
        <f>IF(AND(BANCO_OK_1,B97&lt;=MESES),IF(OR(B97=MESES,E97-F97&gt;H96),H96,E97-F97),0)</f>
        <v/>
      </c>
      <c r="H97" s="58">
        <f>H96-G97</f>
        <v/>
      </c>
      <c r="I97" s="58">
        <f>IF(AND(BANCO_OK_1,B97&lt;=MESES),F97+G97+VINC_MES_1,0)</f>
        <v/>
      </c>
      <c r="J97" s="52">
        <f>IF(AND(BANCO_OK_2,B97&lt;=MESES),IF(OR(OF_TIPO_2="Fija",C97&lt;=OF_ANIOS_INI_2),OF_TIN_2,MAX(0,EURIBOR+OF_DIF_2)),0)</f>
        <v/>
      </c>
      <c r="K97" s="58">
        <f>IF(AND(BANCO_OK_2,B97&lt;=MESES),IF(OR(B97=1,J97&lt;&gt;J96),PMT(J97/1200,MESES-B97+1,-N96),K96),0)</f>
        <v/>
      </c>
      <c r="L97" s="58">
        <f>N96*J97/1200</f>
        <v/>
      </c>
      <c r="M97" s="58">
        <f>IF(AND(BANCO_OK_2,B97&lt;=MESES),IF(OR(B97=MESES,K97-L97&gt;N96),N96,K97-L97),0)</f>
        <v/>
      </c>
      <c r="N97" s="58">
        <f>N96-M97</f>
        <v/>
      </c>
      <c r="O97" s="58">
        <f>IF(AND(BANCO_OK_2,B97&lt;=MESES),L97+M97+VINC_MES_2,0)</f>
        <v/>
      </c>
      <c r="P97" s="52">
        <f>IF(AND(BANCO_OK_3,B97&lt;=MESES),IF(OR(OF_TIPO_3="Fija",C97&lt;=OF_ANIOS_INI_3),OF_TIN_3,MAX(0,EURIBOR+OF_DIF_3)),0)</f>
        <v/>
      </c>
      <c r="Q97" s="58">
        <f>IF(AND(BANCO_OK_3,B97&lt;=MESES),IF(OR(B97=1,P97&lt;&gt;P96),PMT(P97/1200,MESES-B97+1,-T96),Q96),0)</f>
        <v/>
      </c>
      <c r="R97" s="58">
        <f>T96*P97/1200</f>
        <v/>
      </c>
      <c r="S97" s="58">
        <f>IF(AND(BANCO_OK_3,B97&lt;=MESES),IF(OR(B97=MESES,Q97-R97&gt;T96),T96,Q97-R97),0)</f>
        <v/>
      </c>
      <c r="T97" s="58">
        <f>T96-S97</f>
        <v/>
      </c>
      <c r="U97" s="58">
        <f>IF(AND(BANCO_OK_3,B97&lt;=MESES),R97+S97+VINC_MES_3,0)</f>
        <v/>
      </c>
      <c r="V97" s="52">
        <f>IF(AND(BANCO_OK_4,B97&lt;=MESES),IF(OR(OF_TIPO_4="Fija",C97&lt;=OF_ANIOS_INI_4),OF_TIN_4,MAX(0,EURIBOR+OF_DIF_4)),0)</f>
        <v/>
      </c>
      <c r="W97" s="58">
        <f>IF(AND(BANCO_OK_4,B97&lt;=MESES),IF(OR(B97=1,V97&lt;&gt;V96),PMT(V97/1200,MESES-B97+1,-Z96),W96),0)</f>
        <v/>
      </c>
      <c r="X97" s="58">
        <f>Z96*V97/1200</f>
        <v/>
      </c>
      <c r="Y97" s="58">
        <f>IF(AND(BANCO_OK_4,B97&lt;=MESES),IF(OR(B97=MESES,W97-X97&gt;Z96),Z96,W97-X97),0)</f>
        <v/>
      </c>
      <c r="Z97" s="58">
        <f>Z96-Y97</f>
        <v/>
      </c>
      <c r="AA97" s="58">
        <f>IF(AND(BANCO_OK_4,B97&lt;=MESES),X97+Y97+VINC_MES_4,0)</f>
        <v/>
      </c>
    </row>
    <row r="98">
      <c r="B98" s="56" t="n">
        <v>90</v>
      </c>
      <c r="C98" s="56">
        <f>ROUNDUP(B98/12,0)</f>
        <v/>
      </c>
      <c r="D98" s="52">
        <f>IF(AND(BANCO_OK_1,B98&lt;=MESES),IF(OR(OF_TIPO_1="Fija",C98&lt;=OF_ANIOS_INI_1),OF_TIN_1,MAX(0,EURIBOR+OF_DIF_1)),0)</f>
        <v/>
      </c>
      <c r="E98" s="58">
        <f>IF(AND(BANCO_OK_1,B98&lt;=MESES),IF(OR(B98=1,D98&lt;&gt;D97),PMT(D98/1200,MESES-B98+1,-H97),E97),0)</f>
        <v/>
      </c>
      <c r="F98" s="58">
        <f>H97*D98/1200</f>
        <v/>
      </c>
      <c r="G98" s="58">
        <f>IF(AND(BANCO_OK_1,B98&lt;=MESES),IF(OR(B98=MESES,E98-F98&gt;H97),H97,E98-F98),0)</f>
        <v/>
      </c>
      <c r="H98" s="58">
        <f>H97-G98</f>
        <v/>
      </c>
      <c r="I98" s="58">
        <f>IF(AND(BANCO_OK_1,B98&lt;=MESES),F98+G98+VINC_MES_1,0)</f>
        <v/>
      </c>
      <c r="J98" s="52">
        <f>IF(AND(BANCO_OK_2,B98&lt;=MESES),IF(OR(OF_TIPO_2="Fija",C98&lt;=OF_ANIOS_INI_2),OF_TIN_2,MAX(0,EURIBOR+OF_DIF_2)),0)</f>
        <v/>
      </c>
      <c r="K98" s="58">
        <f>IF(AND(BANCO_OK_2,B98&lt;=MESES),IF(OR(B98=1,J98&lt;&gt;J97),PMT(J98/1200,MESES-B98+1,-N97),K97),0)</f>
        <v/>
      </c>
      <c r="L98" s="58">
        <f>N97*J98/1200</f>
        <v/>
      </c>
      <c r="M98" s="58">
        <f>IF(AND(BANCO_OK_2,B98&lt;=MESES),IF(OR(B98=MESES,K98-L98&gt;N97),N97,K98-L98),0)</f>
        <v/>
      </c>
      <c r="N98" s="58">
        <f>N97-M98</f>
        <v/>
      </c>
      <c r="O98" s="58">
        <f>IF(AND(BANCO_OK_2,B98&lt;=MESES),L98+M98+VINC_MES_2,0)</f>
        <v/>
      </c>
      <c r="P98" s="52">
        <f>IF(AND(BANCO_OK_3,B98&lt;=MESES),IF(OR(OF_TIPO_3="Fija",C98&lt;=OF_ANIOS_INI_3),OF_TIN_3,MAX(0,EURIBOR+OF_DIF_3)),0)</f>
        <v/>
      </c>
      <c r="Q98" s="58">
        <f>IF(AND(BANCO_OK_3,B98&lt;=MESES),IF(OR(B98=1,P98&lt;&gt;P97),PMT(P98/1200,MESES-B98+1,-T97),Q97),0)</f>
        <v/>
      </c>
      <c r="R98" s="58">
        <f>T97*P98/1200</f>
        <v/>
      </c>
      <c r="S98" s="58">
        <f>IF(AND(BANCO_OK_3,B98&lt;=MESES),IF(OR(B98=MESES,Q98-R98&gt;T97),T97,Q98-R98),0)</f>
        <v/>
      </c>
      <c r="T98" s="58">
        <f>T97-S98</f>
        <v/>
      </c>
      <c r="U98" s="58">
        <f>IF(AND(BANCO_OK_3,B98&lt;=MESES),R98+S98+VINC_MES_3,0)</f>
        <v/>
      </c>
      <c r="V98" s="52">
        <f>IF(AND(BANCO_OK_4,B98&lt;=MESES),IF(OR(OF_TIPO_4="Fija",C98&lt;=OF_ANIOS_INI_4),OF_TIN_4,MAX(0,EURIBOR+OF_DIF_4)),0)</f>
        <v/>
      </c>
      <c r="W98" s="58">
        <f>IF(AND(BANCO_OK_4,B98&lt;=MESES),IF(OR(B98=1,V98&lt;&gt;V97),PMT(V98/1200,MESES-B98+1,-Z97),W97),0)</f>
        <v/>
      </c>
      <c r="X98" s="58">
        <f>Z97*V98/1200</f>
        <v/>
      </c>
      <c r="Y98" s="58">
        <f>IF(AND(BANCO_OK_4,B98&lt;=MESES),IF(OR(B98=MESES,W98-X98&gt;Z97),Z97,W98-X98),0)</f>
        <v/>
      </c>
      <c r="Z98" s="58">
        <f>Z97-Y98</f>
        <v/>
      </c>
      <c r="AA98" s="58">
        <f>IF(AND(BANCO_OK_4,B98&lt;=MESES),X98+Y98+VINC_MES_4,0)</f>
        <v/>
      </c>
    </row>
    <row r="99">
      <c r="B99" s="56" t="n">
        <v>91</v>
      </c>
      <c r="C99" s="56">
        <f>ROUNDUP(B99/12,0)</f>
        <v/>
      </c>
      <c r="D99" s="52">
        <f>IF(AND(BANCO_OK_1,B99&lt;=MESES),IF(OR(OF_TIPO_1="Fija",C99&lt;=OF_ANIOS_INI_1),OF_TIN_1,MAX(0,EURIBOR+OF_DIF_1)),0)</f>
        <v/>
      </c>
      <c r="E99" s="58">
        <f>IF(AND(BANCO_OK_1,B99&lt;=MESES),IF(OR(B99=1,D99&lt;&gt;D98),PMT(D99/1200,MESES-B99+1,-H98),E98),0)</f>
        <v/>
      </c>
      <c r="F99" s="58">
        <f>H98*D99/1200</f>
        <v/>
      </c>
      <c r="G99" s="58">
        <f>IF(AND(BANCO_OK_1,B99&lt;=MESES),IF(OR(B99=MESES,E99-F99&gt;H98),H98,E99-F99),0)</f>
        <v/>
      </c>
      <c r="H99" s="58">
        <f>H98-G99</f>
        <v/>
      </c>
      <c r="I99" s="58">
        <f>IF(AND(BANCO_OK_1,B99&lt;=MESES),F99+G99+VINC_MES_1,0)</f>
        <v/>
      </c>
      <c r="J99" s="52">
        <f>IF(AND(BANCO_OK_2,B99&lt;=MESES),IF(OR(OF_TIPO_2="Fija",C99&lt;=OF_ANIOS_INI_2),OF_TIN_2,MAX(0,EURIBOR+OF_DIF_2)),0)</f>
        <v/>
      </c>
      <c r="K99" s="58">
        <f>IF(AND(BANCO_OK_2,B99&lt;=MESES),IF(OR(B99=1,J99&lt;&gt;J98),PMT(J99/1200,MESES-B99+1,-N98),K98),0)</f>
        <v/>
      </c>
      <c r="L99" s="58">
        <f>N98*J99/1200</f>
        <v/>
      </c>
      <c r="M99" s="58">
        <f>IF(AND(BANCO_OK_2,B99&lt;=MESES),IF(OR(B99=MESES,K99-L99&gt;N98),N98,K99-L99),0)</f>
        <v/>
      </c>
      <c r="N99" s="58">
        <f>N98-M99</f>
        <v/>
      </c>
      <c r="O99" s="58">
        <f>IF(AND(BANCO_OK_2,B99&lt;=MESES),L99+M99+VINC_MES_2,0)</f>
        <v/>
      </c>
      <c r="P99" s="52">
        <f>IF(AND(BANCO_OK_3,B99&lt;=MESES),IF(OR(OF_TIPO_3="Fija",C99&lt;=OF_ANIOS_INI_3),OF_TIN_3,MAX(0,EURIBOR+OF_DIF_3)),0)</f>
        <v/>
      </c>
      <c r="Q99" s="58">
        <f>IF(AND(BANCO_OK_3,B99&lt;=MESES),IF(OR(B99=1,P99&lt;&gt;P98),PMT(P99/1200,MESES-B99+1,-T98),Q98),0)</f>
        <v/>
      </c>
      <c r="R99" s="58">
        <f>T98*P99/1200</f>
        <v/>
      </c>
      <c r="S99" s="58">
        <f>IF(AND(BANCO_OK_3,B99&lt;=MESES),IF(OR(B99=MESES,Q99-R99&gt;T98),T98,Q99-R99),0)</f>
        <v/>
      </c>
      <c r="T99" s="58">
        <f>T98-S99</f>
        <v/>
      </c>
      <c r="U99" s="58">
        <f>IF(AND(BANCO_OK_3,B99&lt;=MESES),R99+S99+VINC_MES_3,0)</f>
        <v/>
      </c>
      <c r="V99" s="52">
        <f>IF(AND(BANCO_OK_4,B99&lt;=MESES),IF(OR(OF_TIPO_4="Fija",C99&lt;=OF_ANIOS_INI_4),OF_TIN_4,MAX(0,EURIBOR+OF_DIF_4)),0)</f>
        <v/>
      </c>
      <c r="W99" s="58">
        <f>IF(AND(BANCO_OK_4,B99&lt;=MESES),IF(OR(B99=1,V99&lt;&gt;V98),PMT(V99/1200,MESES-B99+1,-Z98),W98),0)</f>
        <v/>
      </c>
      <c r="X99" s="58">
        <f>Z98*V99/1200</f>
        <v/>
      </c>
      <c r="Y99" s="58">
        <f>IF(AND(BANCO_OK_4,B99&lt;=MESES),IF(OR(B99=MESES,W99-X99&gt;Z98),Z98,W99-X99),0)</f>
        <v/>
      </c>
      <c r="Z99" s="58">
        <f>Z98-Y99</f>
        <v/>
      </c>
      <c r="AA99" s="58">
        <f>IF(AND(BANCO_OK_4,B99&lt;=MESES),X99+Y99+VINC_MES_4,0)</f>
        <v/>
      </c>
    </row>
    <row r="100">
      <c r="B100" s="56" t="n">
        <v>92</v>
      </c>
      <c r="C100" s="56">
        <f>ROUNDUP(B100/12,0)</f>
        <v/>
      </c>
      <c r="D100" s="52">
        <f>IF(AND(BANCO_OK_1,B100&lt;=MESES),IF(OR(OF_TIPO_1="Fija",C100&lt;=OF_ANIOS_INI_1),OF_TIN_1,MAX(0,EURIBOR+OF_DIF_1)),0)</f>
        <v/>
      </c>
      <c r="E100" s="58">
        <f>IF(AND(BANCO_OK_1,B100&lt;=MESES),IF(OR(B100=1,D100&lt;&gt;D99),PMT(D100/1200,MESES-B100+1,-H99),E99),0)</f>
        <v/>
      </c>
      <c r="F100" s="58">
        <f>H99*D100/1200</f>
        <v/>
      </c>
      <c r="G100" s="58">
        <f>IF(AND(BANCO_OK_1,B100&lt;=MESES),IF(OR(B100=MESES,E100-F100&gt;H99),H99,E100-F100),0)</f>
        <v/>
      </c>
      <c r="H100" s="58">
        <f>H99-G100</f>
        <v/>
      </c>
      <c r="I100" s="58">
        <f>IF(AND(BANCO_OK_1,B100&lt;=MESES),F100+G100+VINC_MES_1,0)</f>
        <v/>
      </c>
      <c r="J100" s="52">
        <f>IF(AND(BANCO_OK_2,B100&lt;=MESES),IF(OR(OF_TIPO_2="Fija",C100&lt;=OF_ANIOS_INI_2),OF_TIN_2,MAX(0,EURIBOR+OF_DIF_2)),0)</f>
        <v/>
      </c>
      <c r="K100" s="58">
        <f>IF(AND(BANCO_OK_2,B100&lt;=MESES),IF(OR(B100=1,J100&lt;&gt;J99),PMT(J100/1200,MESES-B100+1,-N99),K99),0)</f>
        <v/>
      </c>
      <c r="L100" s="58">
        <f>N99*J100/1200</f>
        <v/>
      </c>
      <c r="M100" s="58">
        <f>IF(AND(BANCO_OK_2,B100&lt;=MESES),IF(OR(B100=MESES,K100-L100&gt;N99),N99,K100-L100),0)</f>
        <v/>
      </c>
      <c r="N100" s="58">
        <f>N99-M100</f>
        <v/>
      </c>
      <c r="O100" s="58">
        <f>IF(AND(BANCO_OK_2,B100&lt;=MESES),L100+M100+VINC_MES_2,0)</f>
        <v/>
      </c>
      <c r="P100" s="52">
        <f>IF(AND(BANCO_OK_3,B100&lt;=MESES),IF(OR(OF_TIPO_3="Fija",C100&lt;=OF_ANIOS_INI_3),OF_TIN_3,MAX(0,EURIBOR+OF_DIF_3)),0)</f>
        <v/>
      </c>
      <c r="Q100" s="58">
        <f>IF(AND(BANCO_OK_3,B100&lt;=MESES),IF(OR(B100=1,P100&lt;&gt;P99),PMT(P100/1200,MESES-B100+1,-T99),Q99),0)</f>
        <v/>
      </c>
      <c r="R100" s="58">
        <f>T99*P100/1200</f>
        <v/>
      </c>
      <c r="S100" s="58">
        <f>IF(AND(BANCO_OK_3,B100&lt;=MESES),IF(OR(B100=MESES,Q100-R100&gt;T99),T99,Q100-R100),0)</f>
        <v/>
      </c>
      <c r="T100" s="58">
        <f>T99-S100</f>
        <v/>
      </c>
      <c r="U100" s="58">
        <f>IF(AND(BANCO_OK_3,B100&lt;=MESES),R100+S100+VINC_MES_3,0)</f>
        <v/>
      </c>
      <c r="V100" s="52">
        <f>IF(AND(BANCO_OK_4,B100&lt;=MESES),IF(OR(OF_TIPO_4="Fija",C100&lt;=OF_ANIOS_INI_4),OF_TIN_4,MAX(0,EURIBOR+OF_DIF_4)),0)</f>
        <v/>
      </c>
      <c r="W100" s="58">
        <f>IF(AND(BANCO_OK_4,B100&lt;=MESES),IF(OR(B100=1,V100&lt;&gt;V99),PMT(V100/1200,MESES-B100+1,-Z99),W99),0)</f>
        <v/>
      </c>
      <c r="X100" s="58">
        <f>Z99*V100/1200</f>
        <v/>
      </c>
      <c r="Y100" s="58">
        <f>IF(AND(BANCO_OK_4,B100&lt;=MESES),IF(OR(B100=MESES,W100-X100&gt;Z99),Z99,W100-X100),0)</f>
        <v/>
      </c>
      <c r="Z100" s="58">
        <f>Z99-Y100</f>
        <v/>
      </c>
      <c r="AA100" s="58">
        <f>IF(AND(BANCO_OK_4,B100&lt;=MESES),X100+Y100+VINC_MES_4,0)</f>
        <v/>
      </c>
    </row>
    <row r="101">
      <c r="B101" s="56" t="n">
        <v>93</v>
      </c>
      <c r="C101" s="56">
        <f>ROUNDUP(B101/12,0)</f>
        <v/>
      </c>
      <c r="D101" s="52">
        <f>IF(AND(BANCO_OK_1,B101&lt;=MESES),IF(OR(OF_TIPO_1="Fija",C101&lt;=OF_ANIOS_INI_1),OF_TIN_1,MAX(0,EURIBOR+OF_DIF_1)),0)</f>
        <v/>
      </c>
      <c r="E101" s="58">
        <f>IF(AND(BANCO_OK_1,B101&lt;=MESES),IF(OR(B101=1,D101&lt;&gt;D100),PMT(D101/1200,MESES-B101+1,-H100),E100),0)</f>
        <v/>
      </c>
      <c r="F101" s="58">
        <f>H100*D101/1200</f>
        <v/>
      </c>
      <c r="G101" s="58">
        <f>IF(AND(BANCO_OK_1,B101&lt;=MESES),IF(OR(B101=MESES,E101-F101&gt;H100),H100,E101-F101),0)</f>
        <v/>
      </c>
      <c r="H101" s="58">
        <f>H100-G101</f>
        <v/>
      </c>
      <c r="I101" s="58">
        <f>IF(AND(BANCO_OK_1,B101&lt;=MESES),F101+G101+VINC_MES_1,0)</f>
        <v/>
      </c>
      <c r="J101" s="52">
        <f>IF(AND(BANCO_OK_2,B101&lt;=MESES),IF(OR(OF_TIPO_2="Fija",C101&lt;=OF_ANIOS_INI_2),OF_TIN_2,MAX(0,EURIBOR+OF_DIF_2)),0)</f>
        <v/>
      </c>
      <c r="K101" s="58">
        <f>IF(AND(BANCO_OK_2,B101&lt;=MESES),IF(OR(B101=1,J101&lt;&gt;J100),PMT(J101/1200,MESES-B101+1,-N100),K100),0)</f>
        <v/>
      </c>
      <c r="L101" s="58">
        <f>N100*J101/1200</f>
        <v/>
      </c>
      <c r="M101" s="58">
        <f>IF(AND(BANCO_OK_2,B101&lt;=MESES),IF(OR(B101=MESES,K101-L101&gt;N100),N100,K101-L101),0)</f>
        <v/>
      </c>
      <c r="N101" s="58">
        <f>N100-M101</f>
        <v/>
      </c>
      <c r="O101" s="58">
        <f>IF(AND(BANCO_OK_2,B101&lt;=MESES),L101+M101+VINC_MES_2,0)</f>
        <v/>
      </c>
      <c r="P101" s="52">
        <f>IF(AND(BANCO_OK_3,B101&lt;=MESES),IF(OR(OF_TIPO_3="Fija",C101&lt;=OF_ANIOS_INI_3),OF_TIN_3,MAX(0,EURIBOR+OF_DIF_3)),0)</f>
        <v/>
      </c>
      <c r="Q101" s="58">
        <f>IF(AND(BANCO_OK_3,B101&lt;=MESES),IF(OR(B101=1,P101&lt;&gt;P100),PMT(P101/1200,MESES-B101+1,-T100),Q100),0)</f>
        <v/>
      </c>
      <c r="R101" s="58">
        <f>T100*P101/1200</f>
        <v/>
      </c>
      <c r="S101" s="58">
        <f>IF(AND(BANCO_OK_3,B101&lt;=MESES),IF(OR(B101=MESES,Q101-R101&gt;T100),T100,Q101-R101),0)</f>
        <v/>
      </c>
      <c r="T101" s="58">
        <f>T100-S101</f>
        <v/>
      </c>
      <c r="U101" s="58">
        <f>IF(AND(BANCO_OK_3,B101&lt;=MESES),R101+S101+VINC_MES_3,0)</f>
        <v/>
      </c>
      <c r="V101" s="52">
        <f>IF(AND(BANCO_OK_4,B101&lt;=MESES),IF(OR(OF_TIPO_4="Fija",C101&lt;=OF_ANIOS_INI_4),OF_TIN_4,MAX(0,EURIBOR+OF_DIF_4)),0)</f>
        <v/>
      </c>
      <c r="W101" s="58">
        <f>IF(AND(BANCO_OK_4,B101&lt;=MESES),IF(OR(B101=1,V101&lt;&gt;V100),PMT(V101/1200,MESES-B101+1,-Z100),W100),0)</f>
        <v/>
      </c>
      <c r="X101" s="58">
        <f>Z100*V101/1200</f>
        <v/>
      </c>
      <c r="Y101" s="58">
        <f>IF(AND(BANCO_OK_4,B101&lt;=MESES),IF(OR(B101=MESES,W101-X101&gt;Z100),Z100,W101-X101),0)</f>
        <v/>
      </c>
      <c r="Z101" s="58">
        <f>Z100-Y101</f>
        <v/>
      </c>
      <c r="AA101" s="58">
        <f>IF(AND(BANCO_OK_4,B101&lt;=MESES),X101+Y101+VINC_MES_4,0)</f>
        <v/>
      </c>
    </row>
    <row r="102">
      <c r="B102" s="56" t="n">
        <v>94</v>
      </c>
      <c r="C102" s="56">
        <f>ROUNDUP(B102/12,0)</f>
        <v/>
      </c>
      <c r="D102" s="52">
        <f>IF(AND(BANCO_OK_1,B102&lt;=MESES),IF(OR(OF_TIPO_1="Fija",C102&lt;=OF_ANIOS_INI_1),OF_TIN_1,MAX(0,EURIBOR+OF_DIF_1)),0)</f>
        <v/>
      </c>
      <c r="E102" s="58">
        <f>IF(AND(BANCO_OK_1,B102&lt;=MESES),IF(OR(B102=1,D102&lt;&gt;D101),PMT(D102/1200,MESES-B102+1,-H101),E101),0)</f>
        <v/>
      </c>
      <c r="F102" s="58">
        <f>H101*D102/1200</f>
        <v/>
      </c>
      <c r="G102" s="58">
        <f>IF(AND(BANCO_OK_1,B102&lt;=MESES),IF(OR(B102=MESES,E102-F102&gt;H101),H101,E102-F102),0)</f>
        <v/>
      </c>
      <c r="H102" s="58">
        <f>H101-G102</f>
        <v/>
      </c>
      <c r="I102" s="58">
        <f>IF(AND(BANCO_OK_1,B102&lt;=MESES),F102+G102+VINC_MES_1,0)</f>
        <v/>
      </c>
      <c r="J102" s="52">
        <f>IF(AND(BANCO_OK_2,B102&lt;=MESES),IF(OR(OF_TIPO_2="Fija",C102&lt;=OF_ANIOS_INI_2),OF_TIN_2,MAX(0,EURIBOR+OF_DIF_2)),0)</f>
        <v/>
      </c>
      <c r="K102" s="58">
        <f>IF(AND(BANCO_OK_2,B102&lt;=MESES),IF(OR(B102=1,J102&lt;&gt;J101),PMT(J102/1200,MESES-B102+1,-N101),K101),0)</f>
        <v/>
      </c>
      <c r="L102" s="58">
        <f>N101*J102/1200</f>
        <v/>
      </c>
      <c r="M102" s="58">
        <f>IF(AND(BANCO_OK_2,B102&lt;=MESES),IF(OR(B102=MESES,K102-L102&gt;N101),N101,K102-L102),0)</f>
        <v/>
      </c>
      <c r="N102" s="58">
        <f>N101-M102</f>
        <v/>
      </c>
      <c r="O102" s="58">
        <f>IF(AND(BANCO_OK_2,B102&lt;=MESES),L102+M102+VINC_MES_2,0)</f>
        <v/>
      </c>
      <c r="P102" s="52">
        <f>IF(AND(BANCO_OK_3,B102&lt;=MESES),IF(OR(OF_TIPO_3="Fija",C102&lt;=OF_ANIOS_INI_3),OF_TIN_3,MAX(0,EURIBOR+OF_DIF_3)),0)</f>
        <v/>
      </c>
      <c r="Q102" s="58">
        <f>IF(AND(BANCO_OK_3,B102&lt;=MESES),IF(OR(B102=1,P102&lt;&gt;P101),PMT(P102/1200,MESES-B102+1,-T101),Q101),0)</f>
        <v/>
      </c>
      <c r="R102" s="58">
        <f>T101*P102/1200</f>
        <v/>
      </c>
      <c r="S102" s="58">
        <f>IF(AND(BANCO_OK_3,B102&lt;=MESES),IF(OR(B102=MESES,Q102-R102&gt;T101),T101,Q102-R102),0)</f>
        <v/>
      </c>
      <c r="T102" s="58">
        <f>T101-S102</f>
        <v/>
      </c>
      <c r="U102" s="58">
        <f>IF(AND(BANCO_OK_3,B102&lt;=MESES),R102+S102+VINC_MES_3,0)</f>
        <v/>
      </c>
      <c r="V102" s="52">
        <f>IF(AND(BANCO_OK_4,B102&lt;=MESES),IF(OR(OF_TIPO_4="Fija",C102&lt;=OF_ANIOS_INI_4),OF_TIN_4,MAX(0,EURIBOR+OF_DIF_4)),0)</f>
        <v/>
      </c>
      <c r="W102" s="58">
        <f>IF(AND(BANCO_OK_4,B102&lt;=MESES),IF(OR(B102=1,V102&lt;&gt;V101),PMT(V102/1200,MESES-B102+1,-Z101),W101),0)</f>
        <v/>
      </c>
      <c r="X102" s="58">
        <f>Z101*V102/1200</f>
        <v/>
      </c>
      <c r="Y102" s="58">
        <f>IF(AND(BANCO_OK_4,B102&lt;=MESES),IF(OR(B102=MESES,W102-X102&gt;Z101),Z101,W102-X102),0)</f>
        <v/>
      </c>
      <c r="Z102" s="58">
        <f>Z101-Y102</f>
        <v/>
      </c>
      <c r="AA102" s="58">
        <f>IF(AND(BANCO_OK_4,B102&lt;=MESES),X102+Y102+VINC_MES_4,0)</f>
        <v/>
      </c>
    </row>
    <row r="103">
      <c r="B103" s="56" t="n">
        <v>95</v>
      </c>
      <c r="C103" s="56">
        <f>ROUNDUP(B103/12,0)</f>
        <v/>
      </c>
      <c r="D103" s="52">
        <f>IF(AND(BANCO_OK_1,B103&lt;=MESES),IF(OR(OF_TIPO_1="Fija",C103&lt;=OF_ANIOS_INI_1),OF_TIN_1,MAX(0,EURIBOR+OF_DIF_1)),0)</f>
        <v/>
      </c>
      <c r="E103" s="58">
        <f>IF(AND(BANCO_OK_1,B103&lt;=MESES),IF(OR(B103=1,D103&lt;&gt;D102),PMT(D103/1200,MESES-B103+1,-H102),E102),0)</f>
        <v/>
      </c>
      <c r="F103" s="58">
        <f>H102*D103/1200</f>
        <v/>
      </c>
      <c r="G103" s="58">
        <f>IF(AND(BANCO_OK_1,B103&lt;=MESES),IF(OR(B103=MESES,E103-F103&gt;H102),H102,E103-F103),0)</f>
        <v/>
      </c>
      <c r="H103" s="58">
        <f>H102-G103</f>
        <v/>
      </c>
      <c r="I103" s="58">
        <f>IF(AND(BANCO_OK_1,B103&lt;=MESES),F103+G103+VINC_MES_1,0)</f>
        <v/>
      </c>
      <c r="J103" s="52">
        <f>IF(AND(BANCO_OK_2,B103&lt;=MESES),IF(OR(OF_TIPO_2="Fija",C103&lt;=OF_ANIOS_INI_2),OF_TIN_2,MAX(0,EURIBOR+OF_DIF_2)),0)</f>
        <v/>
      </c>
      <c r="K103" s="58">
        <f>IF(AND(BANCO_OK_2,B103&lt;=MESES),IF(OR(B103=1,J103&lt;&gt;J102),PMT(J103/1200,MESES-B103+1,-N102),K102),0)</f>
        <v/>
      </c>
      <c r="L103" s="58">
        <f>N102*J103/1200</f>
        <v/>
      </c>
      <c r="M103" s="58">
        <f>IF(AND(BANCO_OK_2,B103&lt;=MESES),IF(OR(B103=MESES,K103-L103&gt;N102),N102,K103-L103),0)</f>
        <v/>
      </c>
      <c r="N103" s="58">
        <f>N102-M103</f>
        <v/>
      </c>
      <c r="O103" s="58">
        <f>IF(AND(BANCO_OK_2,B103&lt;=MESES),L103+M103+VINC_MES_2,0)</f>
        <v/>
      </c>
      <c r="P103" s="52">
        <f>IF(AND(BANCO_OK_3,B103&lt;=MESES),IF(OR(OF_TIPO_3="Fija",C103&lt;=OF_ANIOS_INI_3),OF_TIN_3,MAX(0,EURIBOR+OF_DIF_3)),0)</f>
        <v/>
      </c>
      <c r="Q103" s="58">
        <f>IF(AND(BANCO_OK_3,B103&lt;=MESES),IF(OR(B103=1,P103&lt;&gt;P102),PMT(P103/1200,MESES-B103+1,-T102),Q102),0)</f>
        <v/>
      </c>
      <c r="R103" s="58">
        <f>T102*P103/1200</f>
        <v/>
      </c>
      <c r="S103" s="58">
        <f>IF(AND(BANCO_OK_3,B103&lt;=MESES),IF(OR(B103=MESES,Q103-R103&gt;T102),T102,Q103-R103),0)</f>
        <v/>
      </c>
      <c r="T103" s="58">
        <f>T102-S103</f>
        <v/>
      </c>
      <c r="U103" s="58">
        <f>IF(AND(BANCO_OK_3,B103&lt;=MESES),R103+S103+VINC_MES_3,0)</f>
        <v/>
      </c>
      <c r="V103" s="52">
        <f>IF(AND(BANCO_OK_4,B103&lt;=MESES),IF(OR(OF_TIPO_4="Fija",C103&lt;=OF_ANIOS_INI_4),OF_TIN_4,MAX(0,EURIBOR+OF_DIF_4)),0)</f>
        <v/>
      </c>
      <c r="W103" s="58">
        <f>IF(AND(BANCO_OK_4,B103&lt;=MESES),IF(OR(B103=1,V103&lt;&gt;V102),PMT(V103/1200,MESES-B103+1,-Z102),W102),0)</f>
        <v/>
      </c>
      <c r="X103" s="58">
        <f>Z102*V103/1200</f>
        <v/>
      </c>
      <c r="Y103" s="58">
        <f>IF(AND(BANCO_OK_4,B103&lt;=MESES),IF(OR(B103=MESES,W103-X103&gt;Z102),Z102,W103-X103),0)</f>
        <v/>
      </c>
      <c r="Z103" s="58">
        <f>Z102-Y103</f>
        <v/>
      </c>
      <c r="AA103" s="58">
        <f>IF(AND(BANCO_OK_4,B103&lt;=MESES),X103+Y103+VINC_MES_4,0)</f>
        <v/>
      </c>
    </row>
    <row r="104">
      <c r="B104" s="56" t="n">
        <v>96</v>
      </c>
      <c r="C104" s="56">
        <f>ROUNDUP(B104/12,0)</f>
        <v/>
      </c>
      <c r="D104" s="52">
        <f>IF(AND(BANCO_OK_1,B104&lt;=MESES),IF(OR(OF_TIPO_1="Fija",C104&lt;=OF_ANIOS_INI_1),OF_TIN_1,MAX(0,EURIBOR+OF_DIF_1)),0)</f>
        <v/>
      </c>
      <c r="E104" s="58">
        <f>IF(AND(BANCO_OK_1,B104&lt;=MESES),IF(OR(B104=1,D104&lt;&gt;D103),PMT(D104/1200,MESES-B104+1,-H103),E103),0)</f>
        <v/>
      </c>
      <c r="F104" s="58">
        <f>H103*D104/1200</f>
        <v/>
      </c>
      <c r="G104" s="58">
        <f>IF(AND(BANCO_OK_1,B104&lt;=MESES),IF(OR(B104=MESES,E104-F104&gt;H103),H103,E104-F104),0)</f>
        <v/>
      </c>
      <c r="H104" s="58">
        <f>H103-G104</f>
        <v/>
      </c>
      <c r="I104" s="58">
        <f>IF(AND(BANCO_OK_1,B104&lt;=MESES),F104+G104+VINC_MES_1,0)</f>
        <v/>
      </c>
      <c r="J104" s="52">
        <f>IF(AND(BANCO_OK_2,B104&lt;=MESES),IF(OR(OF_TIPO_2="Fija",C104&lt;=OF_ANIOS_INI_2),OF_TIN_2,MAX(0,EURIBOR+OF_DIF_2)),0)</f>
        <v/>
      </c>
      <c r="K104" s="58">
        <f>IF(AND(BANCO_OK_2,B104&lt;=MESES),IF(OR(B104=1,J104&lt;&gt;J103),PMT(J104/1200,MESES-B104+1,-N103),K103),0)</f>
        <v/>
      </c>
      <c r="L104" s="58">
        <f>N103*J104/1200</f>
        <v/>
      </c>
      <c r="M104" s="58">
        <f>IF(AND(BANCO_OK_2,B104&lt;=MESES),IF(OR(B104=MESES,K104-L104&gt;N103),N103,K104-L104),0)</f>
        <v/>
      </c>
      <c r="N104" s="58">
        <f>N103-M104</f>
        <v/>
      </c>
      <c r="O104" s="58">
        <f>IF(AND(BANCO_OK_2,B104&lt;=MESES),L104+M104+VINC_MES_2,0)</f>
        <v/>
      </c>
      <c r="P104" s="52">
        <f>IF(AND(BANCO_OK_3,B104&lt;=MESES),IF(OR(OF_TIPO_3="Fija",C104&lt;=OF_ANIOS_INI_3),OF_TIN_3,MAX(0,EURIBOR+OF_DIF_3)),0)</f>
        <v/>
      </c>
      <c r="Q104" s="58">
        <f>IF(AND(BANCO_OK_3,B104&lt;=MESES),IF(OR(B104=1,P104&lt;&gt;P103),PMT(P104/1200,MESES-B104+1,-T103),Q103),0)</f>
        <v/>
      </c>
      <c r="R104" s="58">
        <f>T103*P104/1200</f>
        <v/>
      </c>
      <c r="S104" s="58">
        <f>IF(AND(BANCO_OK_3,B104&lt;=MESES),IF(OR(B104=MESES,Q104-R104&gt;T103),T103,Q104-R104),0)</f>
        <v/>
      </c>
      <c r="T104" s="58">
        <f>T103-S104</f>
        <v/>
      </c>
      <c r="U104" s="58">
        <f>IF(AND(BANCO_OK_3,B104&lt;=MESES),R104+S104+VINC_MES_3,0)</f>
        <v/>
      </c>
      <c r="V104" s="52">
        <f>IF(AND(BANCO_OK_4,B104&lt;=MESES),IF(OR(OF_TIPO_4="Fija",C104&lt;=OF_ANIOS_INI_4),OF_TIN_4,MAX(0,EURIBOR+OF_DIF_4)),0)</f>
        <v/>
      </c>
      <c r="W104" s="58">
        <f>IF(AND(BANCO_OK_4,B104&lt;=MESES),IF(OR(B104=1,V104&lt;&gt;V103),PMT(V104/1200,MESES-B104+1,-Z103),W103),0)</f>
        <v/>
      </c>
      <c r="X104" s="58">
        <f>Z103*V104/1200</f>
        <v/>
      </c>
      <c r="Y104" s="58">
        <f>IF(AND(BANCO_OK_4,B104&lt;=MESES),IF(OR(B104=MESES,W104-X104&gt;Z103),Z103,W104-X104),0)</f>
        <v/>
      </c>
      <c r="Z104" s="58">
        <f>Z103-Y104</f>
        <v/>
      </c>
      <c r="AA104" s="58">
        <f>IF(AND(BANCO_OK_4,B104&lt;=MESES),X104+Y104+VINC_MES_4,0)</f>
        <v/>
      </c>
    </row>
    <row r="105">
      <c r="B105" s="56" t="n">
        <v>97</v>
      </c>
      <c r="C105" s="56">
        <f>ROUNDUP(B105/12,0)</f>
        <v/>
      </c>
      <c r="D105" s="52">
        <f>IF(AND(BANCO_OK_1,B105&lt;=MESES),IF(OR(OF_TIPO_1="Fija",C105&lt;=OF_ANIOS_INI_1),OF_TIN_1,MAX(0,EURIBOR+OF_DIF_1)),0)</f>
        <v/>
      </c>
      <c r="E105" s="58">
        <f>IF(AND(BANCO_OK_1,B105&lt;=MESES),IF(OR(B105=1,D105&lt;&gt;D104),PMT(D105/1200,MESES-B105+1,-H104),E104),0)</f>
        <v/>
      </c>
      <c r="F105" s="58">
        <f>H104*D105/1200</f>
        <v/>
      </c>
      <c r="G105" s="58">
        <f>IF(AND(BANCO_OK_1,B105&lt;=MESES),IF(OR(B105=MESES,E105-F105&gt;H104),H104,E105-F105),0)</f>
        <v/>
      </c>
      <c r="H105" s="58">
        <f>H104-G105</f>
        <v/>
      </c>
      <c r="I105" s="58">
        <f>IF(AND(BANCO_OK_1,B105&lt;=MESES),F105+G105+VINC_MES_1,0)</f>
        <v/>
      </c>
      <c r="J105" s="52">
        <f>IF(AND(BANCO_OK_2,B105&lt;=MESES),IF(OR(OF_TIPO_2="Fija",C105&lt;=OF_ANIOS_INI_2),OF_TIN_2,MAX(0,EURIBOR+OF_DIF_2)),0)</f>
        <v/>
      </c>
      <c r="K105" s="58">
        <f>IF(AND(BANCO_OK_2,B105&lt;=MESES),IF(OR(B105=1,J105&lt;&gt;J104),PMT(J105/1200,MESES-B105+1,-N104),K104),0)</f>
        <v/>
      </c>
      <c r="L105" s="58">
        <f>N104*J105/1200</f>
        <v/>
      </c>
      <c r="M105" s="58">
        <f>IF(AND(BANCO_OK_2,B105&lt;=MESES),IF(OR(B105=MESES,K105-L105&gt;N104),N104,K105-L105),0)</f>
        <v/>
      </c>
      <c r="N105" s="58">
        <f>N104-M105</f>
        <v/>
      </c>
      <c r="O105" s="58">
        <f>IF(AND(BANCO_OK_2,B105&lt;=MESES),L105+M105+VINC_MES_2,0)</f>
        <v/>
      </c>
      <c r="P105" s="52">
        <f>IF(AND(BANCO_OK_3,B105&lt;=MESES),IF(OR(OF_TIPO_3="Fija",C105&lt;=OF_ANIOS_INI_3),OF_TIN_3,MAX(0,EURIBOR+OF_DIF_3)),0)</f>
        <v/>
      </c>
      <c r="Q105" s="58">
        <f>IF(AND(BANCO_OK_3,B105&lt;=MESES),IF(OR(B105=1,P105&lt;&gt;P104),PMT(P105/1200,MESES-B105+1,-T104),Q104),0)</f>
        <v/>
      </c>
      <c r="R105" s="58">
        <f>T104*P105/1200</f>
        <v/>
      </c>
      <c r="S105" s="58">
        <f>IF(AND(BANCO_OK_3,B105&lt;=MESES),IF(OR(B105=MESES,Q105-R105&gt;T104),T104,Q105-R105),0)</f>
        <v/>
      </c>
      <c r="T105" s="58">
        <f>T104-S105</f>
        <v/>
      </c>
      <c r="U105" s="58">
        <f>IF(AND(BANCO_OK_3,B105&lt;=MESES),R105+S105+VINC_MES_3,0)</f>
        <v/>
      </c>
      <c r="V105" s="52">
        <f>IF(AND(BANCO_OK_4,B105&lt;=MESES),IF(OR(OF_TIPO_4="Fija",C105&lt;=OF_ANIOS_INI_4),OF_TIN_4,MAX(0,EURIBOR+OF_DIF_4)),0)</f>
        <v/>
      </c>
      <c r="W105" s="58">
        <f>IF(AND(BANCO_OK_4,B105&lt;=MESES),IF(OR(B105=1,V105&lt;&gt;V104),PMT(V105/1200,MESES-B105+1,-Z104),W104),0)</f>
        <v/>
      </c>
      <c r="X105" s="58">
        <f>Z104*V105/1200</f>
        <v/>
      </c>
      <c r="Y105" s="58">
        <f>IF(AND(BANCO_OK_4,B105&lt;=MESES),IF(OR(B105=MESES,W105-X105&gt;Z104),Z104,W105-X105),0)</f>
        <v/>
      </c>
      <c r="Z105" s="58">
        <f>Z104-Y105</f>
        <v/>
      </c>
      <c r="AA105" s="58">
        <f>IF(AND(BANCO_OK_4,B105&lt;=MESES),X105+Y105+VINC_MES_4,0)</f>
        <v/>
      </c>
    </row>
    <row r="106">
      <c r="B106" s="56" t="n">
        <v>98</v>
      </c>
      <c r="C106" s="56">
        <f>ROUNDUP(B106/12,0)</f>
        <v/>
      </c>
      <c r="D106" s="52">
        <f>IF(AND(BANCO_OK_1,B106&lt;=MESES),IF(OR(OF_TIPO_1="Fija",C106&lt;=OF_ANIOS_INI_1),OF_TIN_1,MAX(0,EURIBOR+OF_DIF_1)),0)</f>
        <v/>
      </c>
      <c r="E106" s="58">
        <f>IF(AND(BANCO_OK_1,B106&lt;=MESES),IF(OR(B106=1,D106&lt;&gt;D105),PMT(D106/1200,MESES-B106+1,-H105),E105),0)</f>
        <v/>
      </c>
      <c r="F106" s="58">
        <f>H105*D106/1200</f>
        <v/>
      </c>
      <c r="G106" s="58">
        <f>IF(AND(BANCO_OK_1,B106&lt;=MESES),IF(OR(B106=MESES,E106-F106&gt;H105),H105,E106-F106),0)</f>
        <v/>
      </c>
      <c r="H106" s="58">
        <f>H105-G106</f>
        <v/>
      </c>
      <c r="I106" s="58">
        <f>IF(AND(BANCO_OK_1,B106&lt;=MESES),F106+G106+VINC_MES_1,0)</f>
        <v/>
      </c>
      <c r="J106" s="52">
        <f>IF(AND(BANCO_OK_2,B106&lt;=MESES),IF(OR(OF_TIPO_2="Fija",C106&lt;=OF_ANIOS_INI_2),OF_TIN_2,MAX(0,EURIBOR+OF_DIF_2)),0)</f>
        <v/>
      </c>
      <c r="K106" s="58">
        <f>IF(AND(BANCO_OK_2,B106&lt;=MESES),IF(OR(B106=1,J106&lt;&gt;J105),PMT(J106/1200,MESES-B106+1,-N105),K105),0)</f>
        <v/>
      </c>
      <c r="L106" s="58">
        <f>N105*J106/1200</f>
        <v/>
      </c>
      <c r="M106" s="58">
        <f>IF(AND(BANCO_OK_2,B106&lt;=MESES),IF(OR(B106=MESES,K106-L106&gt;N105),N105,K106-L106),0)</f>
        <v/>
      </c>
      <c r="N106" s="58">
        <f>N105-M106</f>
        <v/>
      </c>
      <c r="O106" s="58">
        <f>IF(AND(BANCO_OK_2,B106&lt;=MESES),L106+M106+VINC_MES_2,0)</f>
        <v/>
      </c>
      <c r="P106" s="52">
        <f>IF(AND(BANCO_OK_3,B106&lt;=MESES),IF(OR(OF_TIPO_3="Fija",C106&lt;=OF_ANIOS_INI_3),OF_TIN_3,MAX(0,EURIBOR+OF_DIF_3)),0)</f>
        <v/>
      </c>
      <c r="Q106" s="58">
        <f>IF(AND(BANCO_OK_3,B106&lt;=MESES),IF(OR(B106=1,P106&lt;&gt;P105),PMT(P106/1200,MESES-B106+1,-T105),Q105),0)</f>
        <v/>
      </c>
      <c r="R106" s="58">
        <f>T105*P106/1200</f>
        <v/>
      </c>
      <c r="S106" s="58">
        <f>IF(AND(BANCO_OK_3,B106&lt;=MESES),IF(OR(B106=MESES,Q106-R106&gt;T105),T105,Q106-R106),0)</f>
        <v/>
      </c>
      <c r="T106" s="58">
        <f>T105-S106</f>
        <v/>
      </c>
      <c r="U106" s="58">
        <f>IF(AND(BANCO_OK_3,B106&lt;=MESES),R106+S106+VINC_MES_3,0)</f>
        <v/>
      </c>
      <c r="V106" s="52">
        <f>IF(AND(BANCO_OK_4,B106&lt;=MESES),IF(OR(OF_TIPO_4="Fija",C106&lt;=OF_ANIOS_INI_4),OF_TIN_4,MAX(0,EURIBOR+OF_DIF_4)),0)</f>
        <v/>
      </c>
      <c r="W106" s="58">
        <f>IF(AND(BANCO_OK_4,B106&lt;=MESES),IF(OR(B106=1,V106&lt;&gt;V105),PMT(V106/1200,MESES-B106+1,-Z105),W105),0)</f>
        <v/>
      </c>
      <c r="X106" s="58">
        <f>Z105*V106/1200</f>
        <v/>
      </c>
      <c r="Y106" s="58">
        <f>IF(AND(BANCO_OK_4,B106&lt;=MESES),IF(OR(B106=MESES,W106-X106&gt;Z105),Z105,W106-X106),0)</f>
        <v/>
      </c>
      <c r="Z106" s="58">
        <f>Z105-Y106</f>
        <v/>
      </c>
      <c r="AA106" s="58">
        <f>IF(AND(BANCO_OK_4,B106&lt;=MESES),X106+Y106+VINC_MES_4,0)</f>
        <v/>
      </c>
    </row>
    <row r="107">
      <c r="B107" s="56" t="n">
        <v>99</v>
      </c>
      <c r="C107" s="56">
        <f>ROUNDUP(B107/12,0)</f>
        <v/>
      </c>
      <c r="D107" s="52">
        <f>IF(AND(BANCO_OK_1,B107&lt;=MESES),IF(OR(OF_TIPO_1="Fija",C107&lt;=OF_ANIOS_INI_1),OF_TIN_1,MAX(0,EURIBOR+OF_DIF_1)),0)</f>
        <v/>
      </c>
      <c r="E107" s="58">
        <f>IF(AND(BANCO_OK_1,B107&lt;=MESES),IF(OR(B107=1,D107&lt;&gt;D106),PMT(D107/1200,MESES-B107+1,-H106),E106),0)</f>
        <v/>
      </c>
      <c r="F107" s="58">
        <f>H106*D107/1200</f>
        <v/>
      </c>
      <c r="G107" s="58">
        <f>IF(AND(BANCO_OK_1,B107&lt;=MESES),IF(OR(B107=MESES,E107-F107&gt;H106),H106,E107-F107),0)</f>
        <v/>
      </c>
      <c r="H107" s="58">
        <f>H106-G107</f>
        <v/>
      </c>
      <c r="I107" s="58">
        <f>IF(AND(BANCO_OK_1,B107&lt;=MESES),F107+G107+VINC_MES_1,0)</f>
        <v/>
      </c>
      <c r="J107" s="52">
        <f>IF(AND(BANCO_OK_2,B107&lt;=MESES),IF(OR(OF_TIPO_2="Fija",C107&lt;=OF_ANIOS_INI_2),OF_TIN_2,MAX(0,EURIBOR+OF_DIF_2)),0)</f>
        <v/>
      </c>
      <c r="K107" s="58">
        <f>IF(AND(BANCO_OK_2,B107&lt;=MESES),IF(OR(B107=1,J107&lt;&gt;J106),PMT(J107/1200,MESES-B107+1,-N106),K106),0)</f>
        <v/>
      </c>
      <c r="L107" s="58">
        <f>N106*J107/1200</f>
        <v/>
      </c>
      <c r="M107" s="58">
        <f>IF(AND(BANCO_OK_2,B107&lt;=MESES),IF(OR(B107=MESES,K107-L107&gt;N106),N106,K107-L107),0)</f>
        <v/>
      </c>
      <c r="N107" s="58">
        <f>N106-M107</f>
        <v/>
      </c>
      <c r="O107" s="58">
        <f>IF(AND(BANCO_OK_2,B107&lt;=MESES),L107+M107+VINC_MES_2,0)</f>
        <v/>
      </c>
      <c r="P107" s="52">
        <f>IF(AND(BANCO_OK_3,B107&lt;=MESES),IF(OR(OF_TIPO_3="Fija",C107&lt;=OF_ANIOS_INI_3),OF_TIN_3,MAX(0,EURIBOR+OF_DIF_3)),0)</f>
        <v/>
      </c>
      <c r="Q107" s="58">
        <f>IF(AND(BANCO_OK_3,B107&lt;=MESES),IF(OR(B107=1,P107&lt;&gt;P106),PMT(P107/1200,MESES-B107+1,-T106),Q106),0)</f>
        <v/>
      </c>
      <c r="R107" s="58">
        <f>T106*P107/1200</f>
        <v/>
      </c>
      <c r="S107" s="58">
        <f>IF(AND(BANCO_OK_3,B107&lt;=MESES),IF(OR(B107=MESES,Q107-R107&gt;T106),T106,Q107-R107),0)</f>
        <v/>
      </c>
      <c r="T107" s="58">
        <f>T106-S107</f>
        <v/>
      </c>
      <c r="U107" s="58">
        <f>IF(AND(BANCO_OK_3,B107&lt;=MESES),R107+S107+VINC_MES_3,0)</f>
        <v/>
      </c>
      <c r="V107" s="52">
        <f>IF(AND(BANCO_OK_4,B107&lt;=MESES),IF(OR(OF_TIPO_4="Fija",C107&lt;=OF_ANIOS_INI_4),OF_TIN_4,MAX(0,EURIBOR+OF_DIF_4)),0)</f>
        <v/>
      </c>
      <c r="W107" s="58">
        <f>IF(AND(BANCO_OK_4,B107&lt;=MESES),IF(OR(B107=1,V107&lt;&gt;V106),PMT(V107/1200,MESES-B107+1,-Z106),W106),0)</f>
        <v/>
      </c>
      <c r="X107" s="58">
        <f>Z106*V107/1200</f>
        <v/>
      </c>
      <c r="Y107" s="58">
        <f>IF(AND(BANCO_OK_4,B107&lt;=MESES),IF(OR(B107=MESES,W107-X107&gt;Z106),Z106,W107-X107),0)</f>
        <v/>
      </c>
      <c r="Z107" s="58">
        <f>Z106-Y107</f>
        <v/>
      </c>
      <c r="AA107" s="58">
        <f>IF(AND(BANCO_OK_4,B107&lt;=MESES),X107+Y107+VINC_MES_4,0)</f>
        <v/>
      </c>
    </row>
    <row r="108">
      <c r="B108" s="56" t="n">
        <v>100</v>
      </c>
      <c r="C108" s="56">
        <f>ROUNDUP(B108/12,0)</f>
        <v/>
      </c>
      <c r="D108" s="52">
        <f>IF(AND(BANCO_OK_1,B108&lt;=MESES),IF(OR(OF_TIPO_1="Fija",C108&lt;=OF_ANIOS_INI_1),OF_TIN_1,MAX(0,EURIBOR+OF_DIF_1)),0)</f>
        <v/>
      </c>
      <c r="E108" s="58">
        <f>IF(AND(BANCO_OK_1,B108&lt;=MESES),IF(OR(B108=1,D108&lt;&gt;D107),PMT(D108/1200,MESES-B108+1,-H107),E107),0)</f>
        <v/>
      </c>
      <c r="F108" s="58">
        <f>H107*D108/1200</f>
        <v/>
      </c>
      <c r="G108" s="58">
        <f>IF(AND(BANCO_OK_1,B108&lt;=MESES),IF(OR(B108=MESES,E108-F108&gt;H107),H107,E108-F108),0)</f>
        <v/>
      </c>
      <c r="H108" s="58">
        <f>H107-G108</f>
        <v/>
      </c>
      <c r="I108" s="58">
        <f>IF(AND(BANCO_OK_1,B108&lt;=MESES),F108+G108+VINC_MES_1,0)</f>
        <v/>
      </c>
      <c r="J108" s="52">
        <f>IF(AND(BANCO_OK_2,B108&lt;=MESES),IF(OR(OF_TIPO_2="Fija",C108&lt;=OF_ANIOS_INI_2),OF_TIN_2,MAX(0,EURIBOR+OF_DIF_2)),0)</f>
        <v/>
      </c>
      <c r="K108" s="58">
        <f>IF(AND(BANCO_OK_2,B108&lt;=MESES),IF(OR(B108=1,J108&lt;&gt;J107),PMT(J108/1200,MESES-B108+1,-N107),K107),0)</f>
        <v/>
      </c>
      <c r="L108" s="58">
        <f>N107*J108/1200</f>
        <v/>
      </c>
      <c r="M108" s="58">
        <f>IF(AND(BANCO_OK_2,B108&lt;=MESES),IF(OR(B108=MESES,K108-L108&gt;N107),N107,K108-L108),0)</f>
        <v/>
      </c>
      <c r="N108" s="58">
        <f>N107-M108</f>
        <v/>
      </c>
      <c r="O108" s="58">
        <f>IF(AND(BANCO_OK_2,B108&lt;=MESES),L108+M108+VINC_MES_2,0)</f>
        <v/>
      </c>
      <c r="P108" s="52">
        <f>IF(AND(BANCO_OK_3,B108&lt;=MESES),IF(OR(OF_TIPO_3="Fija",C108&lt;=OF_ANIOS_INI_3),OF_TIN_3,MAX(0,EURIBOR+OF_DIF_3)),0)</f>
        <v/>
      </c>
      <c r="Q108" s="58">
        <f>IF(AND(BANCO_OK_3,B108&lt;=MESES),IF(OR(B108=1,P108&lt;&gt;P107),PMT(P108/1200,MESES-B108+1,-T107),Q107),0)</f>
        <v/>
      </c>
      <c r="R108" s="58">
        <f>T107*P108/1200</f>
        <v/>
      </c>
      <c r="S108" s="58">
        <f>IF(AND(BANCO_OK_3,B108&lt;=MESES),IF(OR(B108=MESES,Q108-R108&gt;T107),T107,Q108-R108),0)</f>
        <v/>
      </c>
      <c r="T108" s="58">
        <f>T107-S108</f>
        <v/>
      </c>
      <c r="U108" s="58">
        <f>IF(AND(BANCO_OK_3,B108&lt;=MESES),R108+S108+VINC_MES_3,0)</f>
        <v/>
      </c>
      <c r="V108" s="52">
        <f>IF(AND(BANCO_OK_4,B108&lt;=MESES),IF(OR(OF_TIPO_4="Fija",C108&lt;=OF_ANIOS_INI_4),OF_TIN_4,MAX(0,EURIBOR+OF_DIF_4)),0)</f>
        <v/>
      </c>
      <c r="W108" s="58">
        <f>IF(AND(BANCO_OK_4,B108&lt;=MESES),IF(OR(B108=1,V108&lt;&gt;V107),PMT(V108/1200,MESES-B108+1,-Z107),W107),0)</f>
        <v/>
      </c>
      <c r="X108" s="58">
        <f>Z107*V108/1200</f>
        <v/>
      </c>
      <c r="Y108" s="58">
        <f>IF(AND(BANCO_OK_4,B108&lt;=MESES),IF(OR(B108=MESES,W108-X108&gt;Z107),Z107,W108-X108),0)</f>
        <v/>
      </c>
      <c r="Z108" s="58">
        <f>Z107-Y108</f>
        <v/>
      </c>
      <c r="AA108" s="58">
        <f>IF(AND(BANCO_OK_4,B108&lt;=MESES),X108+Y108+VINC_MES_4,0)</f>
        <v/>
      </c>
    </row>
    <row r="109">
      <c r="B109" s="56" t="n">
        <v>101</v>
      </c>
      <c r="C109" s="56">
        <f>ROUNDUP(B109/12,0)</f>
        <v/>
      </c>
      <c r="D109" s="52">
        <f>IF(AND(BANCO_OK_1,B109&lt;=MESES),IF(OR(OF_TIPO_1="Fija",C109&lt;=OF_ANIOS_INI_1),OF_TIN_1,MAX(0,EURIBOR+OF_DIF_1)),0)</f>
        <v/>
      </c>
      <c r="E109" s="58">
        <f>IF(AND(BANCO_OK_1,B109&lt;=MESES),IF(OR(B109=1,D109&lt;&gt;D108),PMT(D109/1200,MESES-B109+1,-H108),E108),0)</f>
        <v/>
      </c>
      <c r="F109" s="58">
        <f>H108*D109/1200</f>
        <v/>
      </c>
      <c r="G109" s="58">
        <f>IF(AND(BANCO_OK_1,B109&lt;=MESES),IF(OR(B109=MESES,E109-F109&gt;H108),H108,E109-F109),0)</f>
        <v/>
      </c>
      <c r="H109" s="58">
        <f>H108-G109</f>
        <v/>
      </c>
      <c r="I109" s="58">
        <f>IF(AND(BANCO_OK_1,B109&lt;=MESES),F109+G109+VINC_MES_1,0)</f>
        <v/>
      </c>
      <c r="J109" s="52">
        <f>IF(AND(BANCO_OK_2,B109&lt;=MESES),IF(OR(OF_TIPO_2="Fija",C109&lt;=OF_ANIOS_INI_2),OF_TIN_2,MAX(0,EURIBOR+OF_DIF_2)),0)</f>
        <v/>
      </c>
      <c r="K109" s="58">
        <f>IF(AND(BANCO_OK_2,B109&lt;=MESES),IF(OR(B109=1,J109&lt;&gt;J108),PMT(J109/1200,MESES-B109+1,-N108),K108),0)</f>
        <v/>
      </c>
      <c r="L109" s="58">
        <f>N108*J109/1200</f>
        <v/>
      </c>
      <c r="M109" s="58">
        <f>IF(AND(BANCO_OK_2,B109&lt;=MESES),IF(OR(B109=MESES,K109-L109&gt;N108),N108,K109-L109),0)</f>
        <v/>
      </c>
      <c r="N109" s="58">
        <f>N108-M109</f>
        <v/>
      </c>
      <c r="O109" s="58">
        <f>IF(AND(BANCO_OK_2,B109&lt;=MESES),L109+M109+VINC_MES_2,0)</f>
        <v/>
      </c>
      <c r="P109" s="52">
        <f>IF(AND(BANCO_OK_3,B109&lt;=MESES),IF(OR(OF_TIPO_3="Fija",C109&lt;=OF_ANIOS_INI_3),OF_TIN_3,MAX(0,EURIBOR+OF_DIF_3)),0)</f>
        <v/>
      </c>
      <c r="Q109" s="58">
        <f>IF(AND(BANCO_OK_3,B109&lt;=MESES),IF(OR(B109=1,P109&lt;&gt;P108),PMT(P109/1200,MESES-B109+1,-T108),Q108),0)</f>
        <v/>
      </c>
      <c r="R109" s="58">
        <f>T108*P109/1200</f>
        <v/>
      </c>
      <c r="S109" s="58">
        <f>IF(AND(BANCO_OK_3,B109&lt;=MESES),IF(OR(B109=MESES,Q109-R109&gt;T108),T108,Q109-R109),0)</f>
        <v/>
      </c>
      <c r="T109" s="58">
        <f>T108-S109</f>
        <v/>
      </c>
      <c r="U109" s="58">
        <f>IF(AND(BANCO_OK_3,B109&lt;=MESES),R109+S109+VINC_MES_3,0)</f>
        <v/>
      </c>
      <c r="V109" s="52">
        <f>IF(AND(BANCO_OK_4,B109&lt;=MESES),IF(OR(OF_TIPO_4="Fija",C109&lt;=OF_ANIOS_INI_4),OF_TIN_4,MAX(0,EURIBOR+OF_DIF_4)),0)</f>
        <v/>
      </c>
      <c r="W109" s="58">
        <f>IF(AND(BANCO_OK_4,B109&lt;=MESES),IF(OR(B109=1,V109&lt;&gt;V108),PMT(V109/1200,MESES-B109+1,-Z108),W108),0)</f>
        <v/>
      </c>
      <c r="X109" s="58">
        <f>Z108*V109/1200</f>
        <v/>
      </c>
      <c r="Y109" s="58">
        <f>IF(AND(BANCO_OK_4,B109&lt;=MESES),IF(OR(B109=MESES,W109-X109&gt;Z108),Z108,W109-X109),0)</f>
        <v/>
      </c>
      <c r="Z109" s="58">
        <f>Z108-Y109</f>
        <v/>
      </c>
      <c r="AA109" s="58">
        <f>IF(AND(BANCO_OK_4,B109&lt;=MESES),X109+Y109+VINC_MES_4,0)</f>
        <v/>
      </c>
    </row>
    <row r="110">
      <c r="B110" s="56" t="n">
        <v>102</v>
      </c>
      <c r="C110" s="56">
        <f>ROUNDUP(B110/12,0)</f>
        <v/>
      </c>
      <c r="D110" s="52">
        <f>IF(AND(BANCO_OK_1,B110&lt;=MESES),IF(OR(OF_TIPO_1="Fija",C110&lt;=OF_ANIOS_INI_1),OF_TIN_1,MAX(0,EURIBOR+OF_DIF_1)),0)</f>
        <v/>
      </c>
      <c r="E110" s="58">
        <f>IF(AND(BANCO_OK_1,B110&lt;=MESES),IF(OR(B110=1,D110&lt;&gt;D109),PMT(D110/1200,MESES-B110+1,-H109),E109),0)</f>
        <v/>
      </c>
      <c r="F110" s="58">
        <f>H109*D110/1200</f>
        <v/>
      </c>
      <c r="G110" s="58">
        <f>IF(AND(BANCO_OK_1,B110&lt;=MESES),IF(OR(B110=MESES,E110-F110&gt;H109),H109,E110-F110),0)</f>
        <v/>
      </c>
      <c r="H110" s="58">
        <f>H109-G110</f>
        <v/>
      </c>
      <c r="I110" s="58">
        <f>IF(AND(BANCO_OK_1,B110&lt;=MESES),F110+G110+VINC_MES_1,0)</f>
        <v/>
      </c>
      <c r="J110" s="52">
        <f>IF(AND(BANCO_OK_2,B110&lt;=MESES),IF(OR(OF_TIPO_2="Fija",C110&lt;=OF_ANIOS_INI_2),OF_TIN_2,MAX(0,EURIBOR+OF_DIF_2)),0)</f>
        <v/>
      </c>
      <c r="K110" s="58">
        <f>IF(AND(BANCO_OK_2,B110&lt;=MESES),IF(OR(B110=1,J110&lt;&gt;J109),PMT(J110/1200,MESES-B110+1,-N109),K109),0)</f>
        <v/>
      </c>
      <c r="L110" s="58">
        <f>N109*J110/1200</f>
        <v/>
      </c>
      <c r="M110" s="58">
        <f>IF(AND(BANCO_OK_2,B110&lt;=MESES),IF(OR(B110=MESES,K110-L110&gt;N109),N109,K110-L110),0)</f>
        <v/>
      </c>
      <c r="N110" s="58">
        <f>N109-M110</f>
        <v/>
      </c>
      <c r="O110" s="58">
        <f>IF(AND(BANCO_OK_2,B110&lt;=MESES),L110+M110+VINC_MES_2,0)</f>
        <v/>
      </c>
      <c r="P110" s="52">
        <f>IF(AND(BANCO_OK_3,B110&lt;=MESES),IF(OR(OF_TIPO_3="Fija",C110&lt;=OF_ANIOS_INI_3),OF_TIN_3,MAX(0,EURIBOR+OF_DIF_3)),0)</f>
        <v/>
      </c>
      <c r="Q110" s="58">
        <f>IF(AND(BANCO_OK_3,B110&lt;=MESES),IF(OR(B110=1,P110&lt;&gt;P109),PMT(P110/1200,MESES-B110+1,-T109),Q109),0)</f>
        <v/>
      </c>
      <c r="R110" s="58">
        <f>T109*P110/1200</f>
        <v/>
      </c>
      <c r="S110" s="58">
        <f>IF(AND(BANCO_OK_3,B110&lt;=MESES),IF(OR(B110=MESES,Q110-R110&gt;T109),T109,Q110-R110),0)</f>
        <v/>
      </c>
      <c r="T110" s="58">
        <f>T109-S110</f>
        <v/>
      </c>
      <c r="U110" s="58">
        <f>IF(AND(BANCO_OK_3,B110&lt;=MESES),R110+S110+VINC_MES_3,0)</f>
        <v/>
      </c>
      <c r="V110" s="52">
        <f>IF(AND(BANCO_OK_4,B110&lt;=MESES),IF(OR(OF_TIPO_4="Fija",C110&lt;=OF_ANIOS_INI_4),OF_TIN_4,MAX(0,EURIBOR+OF_DIF_4)),0)</f>
        <v/>
      </c>
      <c r="W110" s="58">
        <f>IF(AND(BANCO_OK_4,B110&lt;=MESES),IF(OR(B110=1,V110&lt;&gt;V109),PMT(V110/1200,MESES-B110+1,-Z109),W109),0)</f>
        <v/>
      </c>
      <c r="X110" s="58">
        <f>Z109*V110/1200</f>
        <v/>
      </c>
      <c r="Y110" s="58">
        <f>IF(AND(BANCO_OK_4,B110&lt;=MESES),IF(OR(B110=MESES,W110-X110&gt;Z109),Z109,W110-X110),0)</f>
        <v/>
      </c>
      <c r="Z110" s="58">
        <f>Z109-Y110</f>
        <v/>
      </c>
      <c r="AA110" s="58">
        <f>IF(AND(BANCO_OK_4,B110&lt;=MESES),X110+Y110+VINC_MES_4,0)</f>
        <v/>
      </c>
    </row>
    <row r="111">
      <c r="B111" s="56" t="n">
        <v>103</v>
      </c>
      <c r="C111" s="56">
        <f>ROUNDUP(B111/12,0)</f>
        <v/>
      </c>
      <c r="D111" s="52">
        <f>IF(AND(BANCO_OK_1,B111&lt;=MESES),IF(OR(OF_TIPO_1="Fija",C111&lt;=OF_ANIOS_INI_1),OF_TIN_1,MAX(0,EURIBOR+OF_DIF_1)),0)</f>
        <v/>
      </c>
      <c r="E111" s="58">
        <f>IF(AND(BANCO_OK_1,B111&lt;=MESES),IF(OR(B111=1,D111&lt;&gt;D110),PMT(D111/1200,MESES-B111+1,-H110),E110),0)</f>
        <v/>
      </c>
      <c r="F111" s="58">
        <f>H110*D111/1200</f>
        <v/>
      </c>
      <c r="G111" s="58">
        <f>IF(AND(BANCO_OK_1,B111&lt;=MESES),IF(OR(B111=MESES,E111-F111&gt;H110),H110,E111-F111),0)</f>
        <v/>
      </c>
      <c r="H111" s="58">
        <f>H110-G111</f>
        <v/>
      </c>
      <c r="I111" s="58">
        <f>IF(AND(BANCO_OK_1,B111&lt;=MESES),F111+G111+VINC_MES_1,0)</f>
        <v/>
      </c>
      <c r="J111" s="52">
        <f>IF(AND(BANCO_OK_2,B111&lt;=MESES),IF(OR(OF_TIPO_2="Fija",C111&lt;=OF_ANIOS_INI_2),OF_TIN_2,MAX(0,EURIBOR+OF_DIF_2)),0)</f>
        <v/>
      </c>
      <c r="K111" s="58">
        <f>IF(AND(BANCO_OK_2,B111&lt;=MESES),IF(OR(B111=1,J111&lt;&gt;J110),PMT(J111/1200,MESES-B111+1,-N110),K110),0)</f>
        <v/>
      </c>
      <c r="L111" s="58">
        <f>N110*J111/1200</f>
        <v/>
      </c>
      <c r="M111" s="58">
        <f>IF(AND(BANCO_OK_2,B111&lt;=MESES),IF(OR(B111=MESES,K111-L111&gt;N110),N110,K111-L111),0)</f>
        <v/>
      </c>
      <c r="N111" s="58">
        <f>N110-M111</f>
        <v/>
      </c>
      <c r="O111" s="58">
        <f>IF(AND(BANCO_OK_2,B111&lt;=MESES),L111+M111+VINC_MES_2,0)</f>
        <v/>
      </c>
      <c r="P111" s="52">
        <f>IF(AND(BANCO_OK_3,B111&lt;=MESES),IF(OR(OF_TIPO_3="Fija",C111&lt;=OF_ANIOS_INI_3),OF_TIN_3,MAX(0,EURIBOR+OF_DIF_3)),0)</f>
        <v/>
      </c>
      <c r="Q111" s="58">
        <f>IF(AND(BANCO_OK_3,B111&lt;=MESES),IF(OR(B111=1,P111&lt;&gt;P110),PMT(P111/1200,MESES-B111+1,-T110),Q110),0)</f>
        <v/>
      </c>
      <c r="R111" s="58">
        <f>T110*P111/1200</f>
        <v/>
      </c>
      <c r="S111" s="58">
        <f>IF(AND(BANCO_OK_3,B111&lt;=MESES),IF(OR(B111=MESES,Q111-R111&gt;T110),T110,Q111-R111),0)</f>
        <v/>
      </c>
      <c r="T111" s="58">
        <f>T110-S111</f>
        <v/>
      </c>
      <c r="U111" s="58">
        <f>IF(AND(BANCO_OK_3,B111&lt;=MESES),R111+S111+VINC_MES_3,0)</f>
        <v/>
      </c>
      <c r="V111" s="52">
        <f>IF(AND(BANCO_OK_4,B111&lt;=MESES),IF(OR(OF_TIPO_4="Fija",C111&lt;=OF_ANIOS_INI_4),OF_TIN_4,MAX(0,EURIBOR+OF_DIF_4)),0)</f>
        <v/>
      </c>
      <c r="W111" s="58">
        <f>IF(AND(BANCO_OK_4,B111&lt;=MESES),IF(OR(B111=1,V111&lt;&gt;V110),PMT(V111/1200,MESES-B111+1,-Z110),W110),0)</f>
        <v/>
      </c>
      <c r="X111" s="58">
        <f>Z110*V111/1200</f>
        <v/>
      </c>
      <c r="Y111" s="58">
        <f>IF(AND(BANCO_OK_4,B111&lt;=MESES),IF(OR(B111=MESES,W111-X111&gt;Z110),Z110,W111-X111),0)</f>
        <v/>
      </c>
      <c r="Z111" s="58">
        <f>Z110-Y111</f>
        <v/>
      </c>
      <c r="AA111" s="58">
        <f>IF(AND(BANCO_OK_4,B111&lt;=MESES),X111+Y111+VINC_MES_4,0)</f>
        <v/>
      </c>
    </row>
    <row r="112">
      <c r="B112" s="56" t="n">
        <v>104</v>
      </c>
      <c r="C112" s="56">
        <f>ROUNDUP(B112/12,0)</f>
        <v/>
      </c>
      <c r="D112" s="52">
        <f>IF(AND(BANCO_OK_1,B112&lt;=MESES),IF(OR(OF_TIPO_1="Fija",C112&lt;=OF_ANIOS_INI_1),OF_TIN_1,MAX(0,EURIBOR+OF_DIF_1)),0)</f>
        <v/>
      </c>
      <c r="E112" s="58">
        <f>IF(AND(BANCO_OK_1,B112&lt;=MESES),IF(OR(B112=1,D112&lt;&gt;D111),PMT(D112/1200,MESES-B112+1,-H111),E111),0)</f>
        <v/>
      </c>
      <c r="F112" s="58">
        <f>H111*D112/1200</f>
        <v/>
      </c>
      <c r="G112" s="58">
        <f>IF(AND(BANCO_OK_1,B112&lt;=MESES),IF(OR(B112=MESES,E112-F112&gt;H111),H111,E112-F112),0)</f>
        <v/>
      </c>
      <c r="H112" s="58">
        <f>H111-G112</f>
        <v/>
      </c>
      <c r="I112" s="58">
        <f>IF(AND(BANCO_OK_1,B112&lt;=MESES),F112+G112+VINC_MES_1,0)</f>
        <v/>
      </c>
      <c r="J112" s="52">
        <f>IF(AND(BANCO_OK_2,B112&lt;=MESES),IF(OR(OF_TIPO_2="Fija",C112&lt;=OF_ANIOS_INI_2),OF_TIN_2,MAX(0,EURIBOR+OF_DIF_2)),0)</f>
        <v/>
      </c>
      <c r="K112" s="58">
        <f>IF(AND(BANCO_OK_2,B112&lt;=MESES),IF(OR(B112=1,J112&lt;&gt;J111),PMT(J112/1200,MESES-B112+1,-N111),K111),0)</f>
        <v/>
      </c>
      <c r="L112" s="58">
        <f>N111*J112/1200</f>
        <v/>
      </c>
      <c r="M112" s="58">
        <f>IF(AND(BANCO_OK_2,B112&lt;=MESES),IF(OR(B112=MESES,K112-L112&gt;N111),N111,K112-L112),0)</f>
        <v/>
      </c>
      <c r="N112" s="58">
        <f>N111-M112</f>
        <v/>
      </c>
      <c r="O112" s="58">
        <f>IF(AND(BANCO_OK_2,B112&lt;=MESES),L112+M112+VINC_MES_2,0)</f>
        <v/>
      </c>
      <c r="P112" s="52">
        <f>IF(AND(BANCO_OK_3,B112&lt;=MESES),IF(OR(OF_TIPO_3="Fija",C112&lt;=OF_ANIOS_INI_3),OF_TIN_3,MAX(0,EURIBOR+OF_DIF_3)),0)</f>
        <v/>
      </c>
      <c r="Q112" s="58">
        <f>IF(AND(BANCO_OK_3,B112&lt;=MESES),IF(OR(B112=1,P112&lt;&gt;P111),PMT(P112/1200,MESES-B112+1,-T111),Q111),0)</f>
        <v/>
      </c>
      <c r="R112" s="58">
        <f>T111*P112/1200</f>
        <v/>
      </c>
      <c r="S112" s="58">
        <f>IF(AND(BANCO_OK_3,B112&lt;=MESES),IF(OR(B112=MESES,Q112-R112&gt;T111),T111,Q112-R112),0)</f>
        <v/>
      </c>
      <c r="T112" s="58">
        <f>T111-S112</f>
        <v/>
      </c>
      <c r="U112" s="58">
        <f>IF(AND(BANCO_OK_3,B112&lt;=MESES),R112+S112+VINC_MES_3,0)</f>
        <v/>
      </c>
      <c r="V112" s="52">
        <f>IF(AND(BANCO_OK_4,B112&lt;=MESES),IF(OR(OF_TIPO_4="Fija",C112&lt;=OF_ANIOS_INI_4),OF_TIN_4,MAX(0,EURIBOR+OF_DIF_4)),0)</f>
        <v/>
      </c>
      <c r="W112" s="58">
        <f>IF(AND(BANCO_OK_4,B112&lt;=MESES),IF(OR(B112=1,V112&lt;&gt;V111),PMT(V112/1200,MESES-B112+1,-Z111),W111),0)</f>
        <v/>
      </c>
      <c r="X112" s="58">
        <f>Z111*V112/1200</f>
        <v/>
      </c>
      <c r="Y112" s="58">
        <f>IF(AND(BANCO_OK_4,B112&lt;=MESES),IF(OR(B112=MESES,W112-X112&gt;Z111),Z111,W112-X112),0)</f>
        <v/>
      </c>
      <c r="Z112" s="58">
        <f>Z111-Y112</f>
        <v/>
      </c>
      <c r="AA112" s="58">
        <f>IF(AND(BANCO_OK_4,B112&lt;=MESES),X112+Y112+VINC_MES_4,0)</f>
        <v/>
      </c>
    </row>
    <row r="113">
      <c r="B113" s="56" t="n">
        <v>105</v>
      </c>
      <c r="C113" s="56">
        <f>ROUNDUP(B113/12,0)</f>
        <v/>
      </c>
      <c r="D113" s="52">
        <f>IF(AND(BANCO_OK_1,B113&lt;=MESES),IF(OR(OF_TIPO_1="Fija",C113&lt;=OF_ANIOS_INI_1),OF_TIN_1,MAX(0,EURIBOR+OF_DIF_1)),0)</f>
        <v/>
      </c>
      <c r="E113" s="58">
        <f>IF(AND(BANCO_OK_1,B113&lt;=MESES),IF(OR(B113=1,D113&lt;&gt;D112),PMT(D113/1200,MESES-B113+1,-H112),E112),0)</f>
        <v/>
      </c>
      <c r="F113" s="58">
        <f>H112*D113/1200</f>
        <v/>
      </c>
      <c r="G113" s="58">
        <f>IF(AND(BANCO_OK_1,B113&lt;=MESES),IF(OR(B113=MESES,E113-F113&gt;H112),H112,E113-F113),0)</f>
        <v/>
      </c>
      <c r="H113" s="58">
        <f>H112-G113</f>
        <v/>
      </c>
      <c r="I113" s="58">
        <f>IF(AND(BANCO_OK_1,B113&lt;=MESES),F113+G113+VINC_MES_1,0)</f>
        <v/>
      </c>
      <c r="J113" s="52">
        <f>IF(AND(BANCO_OK_2,B113&lt;=MESES),IF(OR(OF_TIPO_2="Fija",C113&lt;=OF_ANIOS_INI_2),OF_TIN_2,MAX(0,EURIBOR+OF_DIF_2)),0)</f>
        <v/>
      </c>
      <c r="K113" s="58">
        <f>IF(AND(BANCO_OK_2,B113&lt;=MESES),IF(OR(B113=1,J113&lt;&gt;J112),PMT(J113/1200,MESES-B113+1,-N112),K112),0)</f>
        <v/>
      </c>
      <c r="L113" s="58">
        <f>N112*J113/1200</f>
        <v/>
      </c>
      <c r="M113" s="58">
        <f>IF(AND(BANCO_OK_2,B113&lt;=MESES),IF(OR(B113=MESES,K113-L113&gt;N112),N112,K113-L113),0)</f>
        <v/>
      </c>
      <c r="N113" s="58">
        <f>N112-M113</f>
        <v/>
      </c>
      <c r="O113" s="58">
        <f>IF(AND(BANCO_OK_2,B113&lt;=MESES),L113+M113+VINC_MES_2,0)</f>
        <v/>
      </c>
      <c r="P113" s="52">
        <f>IF(AND(BANCO_OK_3,B113&lt;=MESES),IF(OR(OF_TIPO_3="Fija",C113&lt;=OF_ANIOS_INI_3),OF_TIN_3,MAX(0,EURIBOR+OF_DIF_3)),0)</f>
        <v/>
      </c>
      <c r="Q113" s="58">
        <f>IF(AND(BANCO_OK_3,B113&lt;=MESES),IF(OR(B113=1,P113&lt;&gt;P112),PMT(P113/1200,MESES-B113+1,-T112),Q112),0)</f>
        <v/>
      </c>
      <c r="R113" s="58">
        <f>T112*P113/1200</f>
        <v/>
      </c>
      <c r="S113" s="58">
        <f>IF(AND(BANCO_OK_3,B113&lt;=MESES),IF(OR(B113=MESES,Q113-R113&gt;T112),T112,Q113-R113),0)</f>
        <v/>
      </c>
      <c r="T113" s="58">
        <f>T112-S113</f>
        <v/>
      </c>
      <c r="U113" s="58">
        <f>IF(AND(BANCO_OK_3,B113&lt;=MESES),R113+S113+VINC_MES_3,0)</f>
        <v/>
      </c>
      <c r="V113" s="52">
        <f>IF(AND(BANCO_OK_4,B113&lt;=MESES),IF(OR(OF_TIPO_4="Fija",C113&lt;=OF_ANIOS_INI_4),OF_TIN_4,MAX(0,EURIBOR+OF_DIF_4)),0)</f>
        <v/>
      </c>
      <c r="W113" s="58">
        <f>IF(AND(BANCO_OK_4,B113&lt;=MESES),IF(OR(B113=1,V113&lt;&gt;V112),PMT(V113/1200,MESES-B113+1,-Z112),W112),0)</f>
        <v/>
      </c>
      <c r="X113" s="58">
        <f>Z112*V113/1200</f>
        <v/>
      </c>
      <c r="Y113" s="58">
        <f>IF(AND(BANCO_OK_4,B113&lt;=MESES),IF(OR(B113=MESES,W113-X113&gt;Z112),Z112,W113-X113),0)</f>
        <v/>
      </c>
      <c r="Z113" s="58">
        <f>Z112-Y113</f>
        <v/>
      </c>
      <c r="AA113" s="58">
        <f>IF(AND(BANCO_OK_4,B113&lt;=MESES),X113+Y113+VINC_MES_4,0)</f>
        <v/>
      </c>
    </row>
    <row r="114">
      <c r="B114" s="56" t="n">
        <v>106</v>
      </c>
      <c r="C114" s="56">
        <f>ROUNDUP(B114/12,0)</f>
        <v/>
      </c>
      <c r="D114" s="52">
        <f>IF(AND(BANCO_OK_1,B114&lt;=MESES),IF(OR(OF_TIPO_1="Fija",C114&lt;=OF_ANIOS_INI_1),OF_TIN_1,MAX(0,EURIBOR+OF_DIF_1)),0)</f>
        <v/>
      </c>
      <c r="E114" s="58">
        <f>IF(AND(BANCO_OK_1,B114&lt;=MESES),IF(OR(B114=1,D114&lt;&gt;D113),PMT(D114/1200,MESES-B114+1,-H113),E113),0)</f>
        <v/>
      </c>
      <c r="F114" s="58">
        <f>H113*D114/1200</f>
        <v/>
      </c>
      <c r="G114" s="58">
        <f>IF(AND(BANCO_OK_1,B114&lt;=MESES),IF(OR(B114=MESES,E114-F114&gt;H113),H113,E114-F114),0)</f>
        <v/>
      </c>
      <c r="H114" s="58">
        <f>H113-G114</f>
        <v/>
      </c>
      <c r="I114" s="58">
        <f>IF(AND(BANCO_OK_1,B114&lt;=MESES),F114+G114+VINC_MES_1,0)</f>
        <v/>
      </c>
      <c r="J114" s="52">
        <f>IF(AND(BANCO_OK_2,B114&lt;=MESES),IF(OR(OF_TIPO_2="Fija",C114&lt;=OF_ANIOS_INI_2),OF_TIN_2,MAX(0,EURIBOR+OF_DIF_2)),0)</f>
        <v/>
      </c>
      <c r="K114" s="58">
        <f>IF(AND(BANCO_OK_2,B114&lt;=MESES),IF(OR(B114=1,J114&lt;&gt;J113),PMT(J114/1200,MESES-B114+1,-N113),K113),0)</f>
        <v/>
      </c>
      <c r="L114" s="58">
        <f>N113*J114/1200</f>
        <v/>
      </c>
      <c r="M114" s="58">
        <f>IF(AND(BANCO_OK_2,B114&lt;=MESES),IF(OR(B114=MESES,K114-L114&gt;N113),N113,K114-L114),0)</f>
        <v/>
      </c>
      <c r="N114" s="58">
        <f>N113-M114</f>
        <v/>
      </c>
      <c r="O114" s="58">
        <f>IF(AND(BANCO_OK_2,B114&lt;=MESES),L114+M114+VINC_MES_2,0)</f>
        <v/>
      </c>
      <c r="P114" s="52">
        <f>IF(AND(BANCO_OK_3,B114&lt;=MESES),IF(OR(OF_TIPO_3="Fija",C114&lt;=OF_ANIOS_INI_3),OF_TIN_3,MAX(0,EURIBOR+OF_DIF_3)),0)</f>
        <v/>
      </c>
      <c r="Q114" s="58">
        <f>IF(AND(BANCO_OK_3,B114&lt;=MESES),IF(OR(B114=1,P114&lt;&gt;P113),PMT(P114/1200,MESES-B114+1,-T113),Q113),0)</f>
        <v/>
      </c>
      <c r="R114" s="58">
        <f>T113*P114/1200</f>
        <v/>
      </c>
      <c r="S114" s="58">
        <f>IF(AND(BANCO_OK_3,B114&lt;=MESES),IF(OR(B114=MESES,Q114-R114&gt;T113),T113,Q114-R114),0)</f>
        <v/>
      </c>
      <c r="T114" s="58">
        <f>T113-S114</f>
        <v/>
      </c>
      <c r="U114" s="58">
        <f>IF(AND(BANCO_OK_3,B114&lt;=MESES),R114+S114+VINC_MES_3,0)</f>
        <v/>
      </c>
      <c r="V114" s="52">
        <f>IF(AND(BANCO_OK_4,B114&lt;=MESES),IF(OR(OF_TIPO_4="Fija",C114&lt;=OF_ANIOS_INI_4),OF_TIN_4,MAX(0,EURIBOR+OF_DIF_4)),0)</f>
        <v/>
      </c>
      <c r="W114" s="58">
        <f>IF(AND(BANCO_OK_4,B114&lt;=MESES),IF(OR(B114=1,V114&lt;&gt;V113),PMT(V114/1200,MESES-B114+1,-Z113),W113),0)</f>
        <v/>
      </c>
      <c r="X114" s="58">
        <f>Z113*V114/1200</f>
        <v/>
      </c>
      <c r="Y114" s="58">
        <f>IF(AND(BANCO_OK_4,B114&lt;=MESES),IF(OR(B114=MESES,W114-X114&gt;Z113),Z113,W114-X114),0)</f>
        <v/>
      </c>
      <c r="Z114" s="58">
        <f>Z113-Y114</f>
        <v/>
      </c>
      <c r="AA114" s="58">
        <f>IF(AND(BANCO_OK_4,B114&lt;=MESES),X114+Y114+VINC_MES_4,0)</f>
        <v/>
      </c>
    </row>
    <row r="115">
      <c r="B115" s="56" t="n">
        <v>107</v>
      </c>
      <c r="C115" s="56">
        <f>ROUNDUP(B115/12,0)</f>
        <v/>
      </c>
      <c r="D115" s="52">
        <f>IF(AND(BANCO_OK_1,B115&lt;=MESES),IF(OR(OF_TIPO_1="Fija",C115&lt;=OF_ANIOS_INI_1),OF_TIN_1,MAX(0,EURIBOR+OF_DIF_1)),0)</f>
        <v/>
      </c>
      <c r="E115" s="58">
        <f>IF(AND(BANCO_OK_1,B115&lt;=MESES),IF(OR(B115=1,D115&lt;&gt;D114),PMT(D115/1200,MESES-B115+1,-H114),E114),0)</f>
        <v/>
      </c>
      <c r="F115" s="58">
        <f>H114*D115/1200</f>
        <v/>
      </c>
      <c r="G115" s="58">
        <f>IF(AND(BANCO_OK_1,B115&lt;=MESES),IF(OR(B115=MESES,E115-F115&gt;H114),H114,E115-F115),0)</f>
        <v/>
      </c>
      <c r="H115" s="58">
        <f>H114-G115</f>
        <v/>
      </c>
      <c r="I115" s="58">
        <f>IF(AND(BANCO_OK_1,B115&lt;=MESES),F115+G115+VINC_MES_1,0)</f>
        <v/>
      </c>
      <c r="J115" s="52">
        <f>IF(AND(BANCO_OK_2,B115&lt;=MESES),IF(OR(OF_TIPO_2="Fija",C115&lt;=OF_ANIOS_INI_2),OF_TIN_2,MAX(0,EURIBOR+OF_DIF_2)),0)</f>
        <v/>
      </c>
      <c r="K115" s="58">
        <f>IF(AND(BANCO_OK_2,B115&lt;=MESES),IF(OR(B115=1,J115&lt;&gt;J114),PMT(J115/1200,MESES-B115+1,-N114),K114),0)</f>
        <v/>
      </c>
      <c r="L115" s="58">
        <f>N114*J115/1200</f>
        <v/>
      </c>
      <c r="M115" s="58">
        <f>IF(AND(BANCO_OK_2,B115&lt;=MESES),IF(OR(B115=MESES,K115-L115&gt;N114),N114,K115-L115),0)</f>
        <v/>
      </c>
      <c r="N115" s="58">
        <f>N114-M115</f>
        <v/>
      </c>
      <c r="O115" s="58">
        <f>IF(AND(BANCO_OK_2,B115&lt;=MESES),L115+M115+VINC_MES_2,0)</f>
        <v/>
      </c>
      <c r="P115" s="52">
        <f>IF(AND(BANCO_OK_3,B115&lt;=MESES),IF(OR(OF_TIPO_3="Fija",C115&lt;=OF_ANIOS_INI_3),OF_TIN_3,MAX(0,EURIBOR+OF_DIF_3)),0)</f>
        <v/>
      </c>
      <c r="Q115" s="58">
        <f>IF(AND(BANCO_OK_3,B115&lt;=MESES),IF(OR(B115=1,P115&lt;&gt;P114),PMT(P115/1200,MESES-B115+1,-T114),Q114),0)</f>
        <v/>
      </c>
      <c r="R115" s="58">
        <f>T114*P115/1200</f>
        <v/>
      </c>
      <c r="S115" s="58">
        <f>IF(AND(BANCO_OK_3,B115&lt;=MESES),IF(OR(B115=MESES,Q115-R115&gt;T114),T114,Q115-R115),0)</f>
        <v/>
      </c>
      <c r="T115" s="58">
        <f>T114-S115</f>
        <v/>
      </c>
      <c r="U115" s="58">
        <f>IF(AND(BANCO_OK_3,B115&lt;=MESES),R115+S115+VINC_MES_3,0)</f>
        <v/>
      </c>
      <c r="V115" s="52">
        <f>IF(AND(BANCO_OK_4,B115&lt;=MESES),IF(OR(OF_TIPO_4="Fija",C115&lt;=OF_ANIOS_INI_4),OF_TIN_4,MAX(0,EURIBOR+OF_DIF_4)),0)</f>
        <v/>
      </c>
      <c r="W115" s="58">
        <f>IF(AND(BANCO_OK_4,B115&lt;=MESES),IF(OR(B115=1,V115&lt;&gt;V114),PMT(V115/1200,MESES-B115+1,-Z114),W114),0)</f>
        <v/>
      </c>
      <c r="X115" s="58">
        <f>Z114*V115/1200</f>
        <v/>
      </c>
      <c r="Y115" s="58">
        <f>IF(AND(BANCO_OK_4,B115&lt;=MESES),IF(OR(B115=MESES,W115-X115&gt;Z114),Z114,W115-X115),0)</f>
        <v/>
      </c>
      <c r="Z115" s="58">
        <f>Z114-Y115</f>
        <v/>
      </c>
      <c r="AA115" s="58">
        <f>IF(AND(BANCO_OK_4,B115&lt;=MESES),X115+Y115+VINC_MES_4,0)</f>
        <v/>
      </c>
    </row>
    <row r="116">
      <c r="B116" s="56" t="n">
        <v>108</v>
      </c>
      <c r="C116" s="56">
        <f>ROUNDUP(B116/12,0)</f>
        <v/>
      </c>
      <c r="D116" s="52">
        <f>IF(AND(BANCO_OK_1,B116&lt;=MESES),IF(OR(OF_TIPO_1="Fija",C116&lt;=OF_ANIOS_INI_1),OF_TIN_1,MAX(0,EURIBOR+OF_DIF_1)),0)</f>
        <v/>
      </c>
      <c r="E116" s="58">
        <f>IF(AND(BANCO_OK_1,B116&lt;=MESES),IF(OR(B116=1,D116&lt;&gt;D115),PMT(D116/1200,MESES-B116+1,-H115),E115),0)</f>
        <v/>
      </c>
      <c r="F116" s="58">
        <f>H115*D116/1200</f>
        <v/>
      </c>
      <c r="G116" s="58">
        <f>IF(AND(BANCO_OK_1,B116&lt;=MESES),IF(OR(B116=MESES,E116-F116&gt;H115),H115,E116-F116),0)</f>
        <v/>
      </c>
      <c r="H116" s="58">
        <f>H115-G116</f>
        <v/>
      </c>
      <c r="I116" s="58">
        <f>IF(AND(BANCO_OK_1,B116&lt;=MESES),F116+G116+VINC_MES_1,0)</f>
        <v/>
      </c>
      <c r="J116" s="52">
        <f>IF(AND(BANCO_OK_2,B116&lt;=MESES),IF(OR(OF_TIPO_2="Fija",C116&lt;=OF_ANIOS_INI_2),OF_TIN_2,MAX(0,EURIBOR+OF_DIF_2)),0)</f>
        <v/>
      </c>
      <c r="K116" s="58">
        <f>IF(AND(BANCO_OK_2,B116&lt;=MESES),IF(OR(B116=1,J116&lt;&gt;J115),PMT(J116/1200,MESES-B116+1,-N115),K115),0)</f>
        <v/>
      </c>
      <c r="L116" s="58">
        <f>N115*J116/1200</f>
        <v/>
      </c>
      <c r="M116" s="58">
        <f>IF(AND(BANCO_OK_2,B116&lt;=MESES),IF(OR(B116=MESES,K116-L116&gt;N115),N115,K116-L116),0)</f>
        <v/>
      </c>
      <c r="N116" s="58">
        <f>N115-M116</f>
        <v/>
      </c>
      <c r="O116" s="58">
        <f>IF(AND(BANCO_OK_2,B116&lt;=MESES),L116+M116+VINC_MES_2,0)</f>
        <v/>
      </c>
      <c r="P116" s="52">
        <f>IF(AND(BANCO_OK_3,B116&lt;=MESES),IF(OR(OF_TIPO_3="Fija",C116&lt;=OF_ANIOS_INI_3),OF_TIN_3,MAX(0,EURIBOR+OF_DIF_3)),0)</f>
        <v/>
      </c>
      <c r="Q116" s="58">
        <f>IF(AND(BANCO_OK_3,B116&lt;=MESES),IF(OR(B116=1,P116&lt;&gt;P115),PMT(P116/1200,MESES-B116+1,-T115),Q115),0)</f>
        <v/>
      </c>
      <c r="R116" s="58">
        <f>T115*P116/1200</f>
        <v/>
      </c>
      <c r="S116" s="58">
        <f>IF(AND(BANCO_OK_3,B116&lt;=MESES),IF(OR(B116=MESES,Q116-R116&gt;T115),T115,Q116-R116),0)</f>
        <v/>
      </c>
      <c r="T116" s="58">
        <f>T115-S116</f>
        <v/>
      </c>
      <c r="U116" s="58">
        <f>IF(AND(BANCO_OK_3,B116&lt;=MESES),R116+S116+VINC_MES_3,0)</f>
        <v/>
      </c>
      <c r="V116" s="52">
        <f>IF(AND(BANCO_OK_4,B116&lt;=MESES),IF(OR(OF_TIPO_4="Fija",C116&lt;=OF_ANIOS_INI_4),OF_TIN_4,MAX(0,EURIBOR+OF_DIF_4)),0)</f>
        <v/>
      </c>
      <c r="W116" s="58">
        <f>IF(AND(BANCO_OK_4,B116&lt;=MESES),IF(OR(B116=1,V116&lt;&gt;V115),PMT(V116/1200,MESES-B116+1,-Z115),W115),0)</f>
        <v/>
      </c>
      <c r="X116" s="58">
        <f>Z115*V116/1200</f>
        <v/>
      </c>
      <c r="Y116" s="58">
        <f>IF(AND(BANCO_OK_4,B116&lt;=MESES),IF(OR(B116=MESES,W116-X116&gt;Z115),Z115,W116-X116),0)</f>
        <v/>
      </c>
      <c r="Z116" s="58">
        <f>Z115-Y116</f>
        <v/>
      </c>
      <c r="AA116" s="58">
        <f>IF(AND(BANCO_OK_4,B116&lt;=MESES),X116+Y116+VINC_MES_4,0)</f>
        <v/>
      </c>
    </row>
    <row r="117">
      <c r="B117" s="56" t="n">
        <v>109</v>
      </c>
      <c r="C117" s="56">
        <f>ROUNDUP(B117/12,0)</f>
        <v/>
      </c>
      <c r="D117" s="52">
        <f>IF(AND(BANCO_OK_1,B117&lt;=MESES),IF(OR(OF_TIPO_1="Fija",C117&lt;=OF_ANIOS_INI_1),OF_TIN_1,MAX(0,EURIBOR+OF_DIF_1)),0)</f>
        <v/>
      </c>
      <c r="E117" s="58">
        <f>IF(AND(BANCO_OK_1,B117&lt;=MESES),IF(OR(B117=1,D117&lt;&gt;D116),PMT(D117/1200,MESES-B117+1,-H116),E116),0)</f>
        <v/>
      </c>
      <c r="F117" s="58">
        <f>H116*D117/1200</f>
        <v/>
      </c>
      <c r="G117" s="58">
        <f>IF(AND(BANCO_OK_1,B117&lt;=MESES),IF(OR(B117=MESES,E117-F117&gt;H116),H116,E117-F117),0)</f>
        <v/>
      </c>
      <c r="H117" s="58">
        <f>H116-G117</f>
        <v/>
      </c>
      <c r="I117" s="58">
        <f>IF(AND(BANCO_OK_1,B117&lt;=MESES),F117+G117+VINC_MES_1,0)</f>
        <v/>
      </c>
      <c r="J117" s="52">
        <f>IF(AND(BANCO_OK_2,B117&lt;=MESES),IF(OR(OF_TIPO_2="Fija",C117&lt;=OF_ANIOS_INI_2),OF_TIN_2,MAX(0,EURIBOR+OF_DIF_2)),0)</f>
        <v/>
      </c>
      <c r="K117" s="58">
        <f>IF(AND(BANCO_OK_2,B117&lt;=MESES),IF(OR(B117=1,J117&lt;&gt;J116),PMT(J117/1200,MESES-B117+1,-N116),K116),0)</f>
        <v/>
      </c>
      <c r="L117" s="58">
        <f>N116*J117/1200</f>
        <v/>
      </c>
      <c r="M117" s="58">
        <f>IF(AND(BANCO_OK_2,B117&lt;=MESES),IF(OR(B117=MESES,K117-L117&gt;N116),N116,K117-L117),0)</f>
        <v/>
      </c>
      <c r="N117" s="58">
        <f>N116-M117</f>
        <v/>
      </c>
      <c r="O117" s="58">
        <f>IF(AND(BANCO_OK_2,B117&lt;=MESES),L117+M117+VINC_MES_2,0)</f>
        <v/>
      </c>
      <c r="P117" s="52">
        <f>IF(AND(BANCO_OK_3,B117&lt;=MESES),IF(OR(OF_TIPO_3="Fija",C117&lt;=OF_ANIOS_INI_3),OF_TIN_3,MAX(0,EURIBOR+OF_DIF_3)),0)</f>
        <v/>
      </c>
      <c r="Q117" s="58">
        <f>IF(AND(BANCO_OK_3,B117&lt;=MESES),IF(OR(B117=1,P117&lt;&gt;P116),PMT(P117/1200,MESES-B117+1,-T116),Q116),0)</f>
        <v/>
      </c>
      <c r="R117" s="58">
        <f>T116*P117/1200</f>
        <v/>
      </c>
      <c r="S117" s="58">
        <f>IF(AND(BANCO_OK_3,B117&lt;=MESES),IF(OR(B117=MESES,Q117-R117&gt;T116),T116,Q117-R117),0)</f>
        <v/>
      </c>
      <c r="T117" s="58">
        <f>T116-S117</f>
        <v/>
      </c>
      <c r="U117" s="58">
        <f>IF(AND(BANCO_OK_3,B117&lt;=MESES),R117+S117+VINC_MES_3,0)</f>
        <v/>
      </c>
      <c r="V117" s="52">
        <f>IF(AND(BANCO_OK_4,B117&lt;=MESES),IF(OR(OF_TIPO_4="Fija",C117&lt;=OF_ANIOS_INI_4),OF_TIN_4,MAX(0,EURIBOR+OF_DIF_4)),0)</f>
        <v/>
      </c>
      <c r="W117" s="58">
        <f>IF(AND(BANCO_OK_4,B117&lt;=MESES),IF(OR(B117=1,V117&lt;&gt;V116),PMT(V117/1200,MESES-B117+1,-Z116),W116),0)</f>
        <v/>
      </c>
      <c r="X117" s="58">
        <f>Z116*V117/1200</f>
        <v/>
      </c>
      <c r="Y117" s="58">
        <f>IF(AND(BANCO_OK_4,B117&lt;=MESES),IF(OR(B117=MESES,W117-X117&gt;Z116),Z116,W117-X117),0)</f>
        <v/>
      </c>
      <c r="Z117" s="58">
        <f>Z116-Y117</f>
        <v/>
      </c>
      <c r="AA117" s="58">
        <f>IF(AND(BANCO_OK_4,B117&lt;=MESES),X117+Y117+VINC_MES_4,0)</f>
        <v/>
      </c>
    </row>
    <row r="118">
      <c r="B118" s="56" t="n">
        <v>110</v>
      </c>
      <c r="C118" s="56">
        <f>ROUNDUP(B118/12,0)</f>
        <v/>
      </c>
      <c r="D118" s="52">
        <f>IF(AND(BANCO_OK_1,B118&lt;=MESES),IF(OR(OF_TIPO_1="Fija",C118&lt;=OF_ANIOS_INI_1),OF_TIN_1,MAX(0,EURIBOR+OF_DIF_1)),0)</f>
        <v/>
      </c>
      <c r="E118" s="58">
        <f>IF(AND(BANCO_OK_1,B118&lt;=MESES),IF(OR(B118=1,D118&lt;&gt;D117),PMT(D118/1200,MESES-B118+1,-H117),E117),0)</f>
        <v/>
      </c>
      <c r="F118" s="58">
        <f>H117*D118/1200</f>
        <v/>
      </c>
      <c r="G118" s="58">
        <f>IF(AND(BANCO_OK_1,B118&lt;=MESES),IF(OR(B118=MESES,E118-F118&gt;H117),H117,E118-F118),0)</f>
        <v/>
      </c>
      <c r="H118" s="58">
        <f>H117-G118</f>
        <v/>
      </c>
      <c r="I118" s="58">
        <f>IF(AND(BANCO_OK_1,B118&lt;=MESES),F118+G118+VINC_MES_1,0)</f>
        <v/>
      </c>
      <c r="J118" s="52">
        <f>IF(AND(BANCO_OK_2,B118&lt;=MESES),IF(OR(OF_TIPO_2="Fija",C118&lt;=OF_ANIOS_INI_2),OF_TIN_2,MAX(0,EURIBOR+OF_DIF_2)),0)</f>
        <v/>
      </c>
      <c r="K118" s="58">
        <f>IF(AND(BANCO_OK_2,B118&lt;=MESES),IF(OR(B118=1,J118&lt;&gt;J117),PMT(J118/1200,MESES-B118+1,-N117),K117),0)</f>
        <v/>
      </c>
      <c r="L118" s="58">
        <f>N117*J118/1200</f>
        <v/>
      </c>
      <c r="M118" s="58">
        <f>IF(AND(BANCO_OK_2,B118&lt;=MESES),IF(OR(B118=MESES,K118-L118&gt;N117),N117,K118-L118),0)</f>
        <v/>
      </c>
      <c r="N118" s="58">
        <f>N117-M118</f>
        <v/>
      </c>
      <c r="O118" s="58">
        <f>IF(AND(BANCO_OK_2,B118&lt;=MESES),L118+M118+VINC_MES_2,0)</f>
        <v/>
      </c>
      <c r="P118" s="52">
        <f>IF(AND(BANCO_OK_3,B118&lt;=MESES),IF(OR(OF_TIPO_3="Fija",C118&lt;=OF_ANIOS_INI_3),OF_TIN_3,MAX(0,EURIBOR+OF_DIF_3)),0)</f>
        <v/>
      </c>
      <c r="Q118" s="58">
        <f>IF(AND(BANCO_OK_3,B118&lt;=MESES),IF(OR(B118=1,P118&lt;&gt;P117),PMT(P118/1200,MESES-B118+1,-T117),Q117),0)</f>
        <v/>
      </c>
      <c r="R118" s="58">
        <f>T117*P118/1200</f>
        <v/>
      </c>
      <c r="S118" s="58">
        <f>IF(AND(BANCO_OK_3,B118&lt;=MESES),IF(OR(B118=MESES,Q118-R118&gt;T117),T117,Q118-R118),0)</f>
        <v/>
      </c>
      <c r="T118" s="58">
        <f>T117-S118</f>
        <v/>
      </c>
      <c r="U118" s="58">
        <f>IF(AND(BANCO_OK_3,B118&lt;=MESES),R118+S118+VINC_MES_3,0)</f>
        <v/>
      </c>
      <c r="V118" s="52">
        <f>IF(AND(BANCO_OK_4,B118&lt;=MESES),IF(OR(OF_TIPO_4="Fija",C118&lt;=OF_ANIOS_INI_4),OF_TIN_4,MAX(0,EURIBOR+OF_DIF_4)),0)</f>
        <v/>
      </c>
      <c r="W118" s="58">
        <f>IF(AND(BANCO_OK_4,B118&lt;=MESES),IF(OR(B118=1,V118&lt;&gt;V117),PMT(V118/1200,MESES-B118+1,-Z117),W117),0)</f>
        <v/>
      </c>
      <c r="X118" s="58">
        <f>Z117*V118/1200</f>
        <v/>
      </c>
      <c r="Y118" s="58">
        <f>IF(AND(BANCO_OK_4,B118&lt;=MESES),IF(OR(B118=MESES,W118-X118&gt;Z117),Z117,W118-X118),0)</f>
        <v/>
      </c>
      <c r="Z118" s="58">
        <f>Z117-Y118</f>
        <v/>
      </c>
      <c r="AA118" s="58">
        <f>IF(AND(BANCO_OK_4,B118&lt;=MESES),X118+Y118+VINC_MES_4,0)</f>
        <v/>
      </c>
    </row>
    <row r="119">
      <c r="B119" s="56" t="n">
        <v>111</v>
      </c>
      <c r="C119" s="56">
        <f>ROUNDUP(B119/12,0)</f>
        <v/>
      </c>
      <c r="D119" s="52">
        <f>IF(AND(BANCO_OK_1,B119&lt;=MESES),IF(OR(OF_TIPO_1="Fija",C119&lt;=OF_ANIOS_INI_1),OF_TIN_1,MAX(0,EURIBOR+OF_DIF_1)),0)</f>
        <v/>
      </c>
      <c r="E119" s="58">
        <f>IF(AND(BANCO_OK_1,B119&lt;=MESES),IF(OR(B119=1,D119&lt;&gt;D118),PMT(D119/1200,MESES-B119+1,-H118),E118),0)</f>
        <v/>
      </c>
      <c r="F119" s="58">
        <f>H118*D119/1200</f>
        <v/>
      </c>
      <c r="G119" s="58">
        <f>IF(AND(BANCO_OK_1,B119&lt;=MESES),IF(OR(B119=MESES,E119-F119&gt;H118),H118,E119-F119),0)</f>
        <v/>
      </c>
      <c r="H119" s="58">
        <f>H118-G119</f>
        <v/>
      </c>
      <c r="I119" s="58">
        <f>IF(AND(BANCO_OK_1,B119&lt;=MESES),F119+G119+VINC_MES_1,0)</f>
        <v/>
      </c>
      <c r="J119" s="52">
        <f>IF(AND(BANCO_OK_2,B119&lt;=MESES),IF(OR(OF_TIPO_2="Fija",C119&lt;=OF_ANIOS_INI_2),OF_TIN_2,MAX(0,EURIBOR+OF_DIF_2)),0)</f>
        <v/>
      </c>
      <c r="K119" s="58">
        <f>IF(AND(BANCO_OK_2,B119&lt;=MESES),IF(OR(B119=1,J119&lt;&gt;J118),PMT(J119/1200,MESES-B119+1,-N118),K118),0)</f>
        <v/>
      </c>
      <c r="L119" s="58">
        <f>N118*J119/1200</f>
        <v/>
      </c>
      <c r="M119" s="58">
        <f>IF(AND(BANCO_OK_2,B119&lt;=MESES),IF(OR(B119=MESES,K119-L119&gt;N118),N118,K119-L119),0)</f>
        <v/>
      </c>
      <c r="N119" s="58">
        <f>N118-M119</f>
        <v/>
      </c>
      <c r="O119" s="58">
        <f>IF(AND(BANCO_OK_2,B119&lt;=MESES),L119+M119+VINC_MES_2,0)</f>
        <v/>
      </c>
      <c r="P119" s="52">
        <f>IF(AND(BANCO_OK_3,B119&lt;=MESES),IF(OR(OF_TIPO_3="Fija",C119&lt;=OF_ANIOS_INI_3),OF_TIN_3,MAX(0,EURIBOR+OF_DIF_3)),0)</f>
        <v/>
      </c>
      <c r="Q119" s="58">
        <f>IF(AND(BANCO_OK_3,B119&lt;=MESES),IF(OR(B119=1,P119&lt;&gt;P118),PMT(P119/1200,MESES-B119+1,-T118),Q118),0)</f>
        <v/>
      </c>
      <c r="R119" s="58">
        <f>T118*P119/1200</f>
        <v/>
      </c>
      <c r="S119" s="58">
        <f>IF(AND(BANCO_OK_3,B119&lt;=MESES),IF(OR(B119=MESES,Q119-R119&gt;T118),T118,Q119-R119),0)</f>
        <v/>
      </c>
      <c r="T119" s="58">
        <f>T118-S119</f>
        <v/>
      </c>
      <c r="U119" s="58">
        <f>IF(AND(BANCO_OK_3,B119&lt;=MESES),R119+S119+VINC_MES_3,0)</f>
        <v/>
      </c>
      <c r="V119" s="52">
        <f>IF(AND(BANCO_OK_4,B119&lt;=MESES),IF(OR(OF_TIPO_4="Fija",C119&lt;=OF_ANIOS_INI_4),OF_TIN_4,MAX(0,EURIBOR+OF_DIF_4)),0)</f>
        <v/>
      </c>
      <c r="W119" s="58">
        <f>IF(AND(BANCO_OK_4,B119&lt;=MESES),IF(OR(B119=1,V119&lt;&gt;V118),PMT(V119/1200,MESES-B119+1,-Z118),W118),0)</f>
        <v/>
      </c>
      <c r="X119" s="58">
        <f>Z118*V119/1200</f>
        <v/>
      </c>
      <c r="Y119" s="58">
        <f>IF(AND(BANCO_OK_4,B119&lt;=MESES),IF(OR(B119=MESES,W119-X119&gt;Z118),Z118,W119-X119),0)</f>
        <v/>
      </c>
      <c r="Z119" s="58">
        <f>Z118-Y119</f>
        <v/>
      </c>
      <c r="AA119" s="58">
        <f>IF(AND(BANCO_OK_4,B119&lt;=MESES),X119+Y119+VINC_MES_4,0)</f>
        <v/>
      </c>
    </row>
    <row r="120">
      <c r="B120" s="56" t="n">
        <v>112</v>
      </c>
      <c r="C120" s="56">
        <f>ROUNDUP(B120/12,0)</f>
        <v/>
      </c>
      <c r="D120" s="52">
        <f>IF(AND(BANCO_OK_1,B120&lt;=MESES),IF(OR(OF_TIPO_1="Fija",C120&lt;=OF_ANIOS_INI_1),OF_TIN_1,MAX(0,EURIBOR+OF_DIF_1)),0)</f>
        <v/>
      </c>
      <c r="E120" s="58">
        <f>IF(AND(BANCO_OK_1,B120&lt;=MESES),IF(OR(B120=1,D120&lt;&gt;D119),PMT(D120/1200,MESES-B120+1,-H119),E119),0)</f>
        <v/>
      </c>
      <c r="F120" s="58">
        <f>H119*D120/1200</f>
        <v/>
      </c>
      <c r="G120" s="58">
        <f>IF(AND(BANCO_OK_1,B120&lt;=MESES),IF(OR(B120=MESES,E120-F120&gt;H119),H119,E120-F120),0)</f>
        <v/>
      </c>
      <c r="H120" s="58">
        <f>H119-G120</f>
        <v/>
      </c>
      <c r="I120" s="58">
        <f>IF(AND(BANCO_OK_1,B120&lt;=MESES),F120+G120+VINC_MES_1,0)</f>
        <v/>
      </c>
      <c r="J120" s="52">
        <f>IF(AND(BANCO_OK_2,B120&lt;=MESES),IF(OR(OF_TIPO_2="Fija",C120&lt;=OF_ANIOS_INI_2),OF_TIN_2,MAX(0,EURIBOR+OF_DIF_2)),0)</f>
        <v/>
      </c>
      <c r="K120" s="58">
        <f>IF(AND(BANCO_OK_2,B120&lt;=MESES),IF(OR(B120=1,J120&lt;&gt;J119),PMT(J120/1200,MESES-B120+1,-N119),K119),0)</f>
        <v/>
      </c>
      <c r="L120" s="58">
        <f>N119*J120/1200</f>
        <v/>
      </c>
      <c r="M120" s="58">
        <f>IF(AND(BANCO_OK_2,B120&lt;=MESES),IF(OR(B120=MESES,K120-L120&gt;N119),N119,K120-L120),0)</f>
        <v/>
      </c>
      <c r="N120" s="58">
        <f>N119-M120</f>
        <v/>
      </c>
      <c r="O120" s="58">
        <f>IF(AND(BANCO_OK_2,B120&lt;=MESES),L120+M120+VINC_MES_2,0)</f>
        <v/>
      </c>
      <c r="P120" s="52">
        <f>IF(AND(BANCO_OK_3,B120&lt;=MESES),IF(OR(OF_TIPO_3="Fija",C120&lt;=OF_ANIOS_INI_3),OF_TIN_3,MAX(0,EURIBOR+OF_DIF_3)),0)</f>
        <v/>
      </c>
      <c r="Q120" s="58">
        <f>IF(AND(BANCO_OK_3,B120&lt;=MESES),IF(OR(B120=1,P120&lt;&gt;P119),PMT(P120/1200,MESES-B120+1,-T119),Q119),0)</f>
        <v/>
      </c>
      <c r="R120" s="58">
        <f>T119*P120/1200</f>
        <v/>
      </c>
      <c r="S120" s="58">
        <f>IF(AND(BANCO_OK_3,B120&lt;=MESES),IF(OR(B120=MESES,Q120-R120&gt;T119),T119,Q120-R120),0)</f>
        <v/>
      </c>
      <c r="T120" s="58">
        <f>T119-S120</f>
        <v/>
      </c>
      <c r="U120" s="58">
        <f>IF(AND(BANCO_OK_3,B120&lt;=MESES),R120+S120+VINC_MES_3,0)</f>
        <v/>
      </c>
      <c r="V120" s="52">
        <f>IF(AND(BANCO_OK_4,B120&lt;=MESES),IF(OR(OF_TIPO_4="Fija",C120&lt;=OF_ANIOS_INI_4),OF_TIN_4,MAX(0,EURIBOR+OF_DIF_4)),0)</f>
        <v/>
      </c>
      <c r="W120" s="58">
        <f>IF(AND(BANCO_OK_4,B120&lt;=MESES),IF(OR(B120=1,V120&lt;&gt;V119),PMT(V120/1200,MESES-B120+1,-Z119),W119),0)</f>
        <v/>
      </c>
      <c r="X120" s="58">
        <f>Z119*V120/1200</f>
        <v/>
      </c>
      <c r="Y120" s="58">
        <f>IF(AND(BANCO_OK_4,B120&lt;=MESES),IF(OR(B120=MESES,W120-X120&gt;Z119),Z119,W120-X120),0)</f>
        <v/>
      </c>
      <c r="Z120" s="58">
        <f>Z119-Y120</f>
        <v/>
      </c>
      <c r="AA120" s="58">
        <f>IF(AND(BANCO_OK_4,B120&lt;=MESES),X120+Y120+VINC_MES_4,0)</f>
        <v/>
      </c>
    </row>
    <row r="121">
      <c r="B121" s="56" t="n">
        <v>113</v>
      </c>
      <c r="C121" s="56">
        <f>ROUNDUP(B121/12,0)</f>
        <v/>
      </c>
      <c r="D121" s="52">
        <f>IF(AND(BANCO_OK_1,B121&lt;=MESES),IF(OR(OF_TIPO_1="Fija",C121&lt;=OF_ANIOS_INI_1),OF_TIN_1,MAX(0,EURIBOR+OF_DIF_1)),0)</f>
        <v/>
      </c>
      <c r="E121" s="58">
        <f>IF(AND(BANCO_OK_1,B121&lt;=MESES),IF(OR(B121=1,D121&lt;&gt;D120),PMT(D121/1200,MESES-B121+1,-H120),E120),0)</f>
        <v/>
      </c>
      <c r="F121" s="58">
        <f>H120*D121/1200</f>
        <v/>
      </c>
      <c r="G121" s="58">
        <f>IF(AND(BANCO_OK_1,B121&lt;=MESES),IF(OR(B121=MESES,E121-F121&gt;H120),H120,E121-F121),0)</f>
        <v/>
      </c>
      <c r="H121" s="58">
        <f>H120-G121</f>
        <v/>
      </c>
      <c r="I121" s="58">
        <f>IF(AND(BANCO_OK_1,B121&lt;=MESES),F121+G121+VINC_MES_1,0)</f>
        <v/>
      </c>
      <c r="J121" s="52">
        <f>IF(AND(BANCO_OK_2,B121&lt;=MESES),IF(OR(OF_TIPO_2="Fija",C121&lt;=OF_ANIOS_INI_2),OF_TIN_2,MAX(0,EURIBOR+OF_DIF_2)),0)</f>
        <v/>
      </c>
      <c r="K121" s="58">
        <f>IF(AND(BANCO_OK_2,B121&lt;=MESES),IF(OR(B121=1,J121&lt;&gt;J120),PMT(J121/1200,MESES-B121+1,-N120),K120),0)</f>
        <v/>
      </c>
      <c r="L121" s="58">
        <f>N120*J121/1200</f>
        <v/>
      </c>
      <c r="M121" s="58">
        <f>IF(AND(BANCO_OK_2,B121&lt;=MESES),IF(OR(B121=MESES,K121-L121&gt;N120),N120,K121-L121),0)</f>
        <v/>
      </c>
      <c r="N121" s="58">
        <f>N120-M121</f>
        <v/>
      </c>
      <c r="O121" s="58">
        <f>IF(AND(BANCO_OK_2,B121&lt;=MESES),L121+M121+VINC_MES_2,0)</f>
        <v/>
      </c>
      <c r="P121" s="52">
        <f>IF(AND(BANCO_OK_3,B121&lt;=MESES),IF(OR(OF_TIPO_3="Fija",C121&lt;=OF_ANIOS_INI_3),OF_TIN_3,MAX(0,EURIBOR+OF_DIF_3)),0)</f>
        <v/>
      </c>
      <c r="Q121" s="58">
        <f>IF(AND(BANCO_OK_3,B121&lt;=MESES),IF(OR(B121=1,P121&lt;&gt;P120),PMT(P121/1200,MESES-B121+1,-T120),Q120),0)</f>
        <v/>
      </c>
      <c r="R121" s="58">
        <f>T120*P121/1200</f>
        <v/>
      </c>
      <c r="S121" s="58">
        <f>IF(AND(BANCO_OK_3,B121&lt;=MESES),IF(OR(B121=MESES,Q121-R121&gt;T120),T120,Q121-R121),0)</f>
        <v/>
      </c>
      <c r="T121" s="58">
        <f>T120-S121</f>
        <v/>
      </c>
      <c r="U121" s="58">
        <f>IF(AND(BANCO_OK_3,B121&lt;=MESES),R121+S121+VINC_MES_3,0)</f>
        <v/>
      </c>
      <c r="V121" s="52">
        <f>IF(AND(BANCO_OK_4,B121&lt;=MESES),IF(OR(OF_TIPO_4="Fija",C121&lt;=OF_ANIOS_INI_4),OF_TIN_4,MAX(0,EURIBOR+OF_DIF_4)),0)</f>
        <v/>
      </c>
      <c r="W121" s="58">
        <f>IF(AND(BANCO_OK_4,B121&lt;=MESES),IF(OR(B121=1,V121&lt;&gt;V120),PMT(V121/1200,MESES-B121+1,-Z120),W120),0)</f>
        <v/>
      </c>
      <c r="X121" s="58">
        <f>Z120*V121/1200</f>
        <v/>
      </c>
      <c r="Y121" s="58">
        <f>IF(AND(BANCO_OK_4,B121&lt;=MESES),IF(OR(B121=MESES,W121-X121&gt;Z120),Z120,W121-X121),0)</f>
        <v/>
      </c>
      <c r="Z121" s="58">
        <f>Z120-Y121</f>
        <v/>
      </c>
      <c r="AA121" s="58">
        <f>IF(AND(BANCO_OK_4,B121&lt;=MESES),X121+Y121+VINC_MES_4,0)</f>
        <v/>
      </c>
    </row>
    <row r="122">
      <c r="B122" s="56" t="n">
        <v>114</v>
      </c>
      <c r="C122" s="56">
        <f>ROUNDUP(B122/12,0)</f>
        <v/>
      </c>
      <c r="D122" s="52">
        <f>IF(AND(BANCO_OK_1,B122&lt;=MESES),IF(OR(OF_TIPO_1="Fija",C122&lt;=OF_ANIOS_INI_1),OF_TIN_1,MAX(0,EURIBOR+OF_DIF_1)),0)</f>
        <v/>
      </c>
      <c r="E122" s="58">
        <f>IF(AND(BANCO_OK_1,B122&lt;=MESES),IF(OR(B122=1,D122&lt;&gt;D121),PMT(D122/1200,MESES-B122+1,-H121),E121),0)</f>
        <v/>
      </c>
      <c r="F122" s="58">
        <f>H121*D122/1200</f>
        <v/>
      </c>
      <c r="G122" s="58">
        <f>IF(AND(BANCO_OK_1,B122&lt;=MESES),IF(OR(B122=MESES,E122-F122&gt;H121),H121,E122-F122),0)</f>
        <v/>
      </c>
      <c r="H122" s="58">
        <f>H121-G122</f>
        <v/>
      </c>
      <c r="I122" s="58">
        <f>IF(AND(BANCO_OK_1,B122&lt;=MESES),F122+G122+VINC_MES_1,0)</f>
        <v/>
      </c>
      <c r="J122" s="52">
        <f>IF(AND(BANCO_OK_2,B122&lt;=MESES),IF(OR(OF_TIPO_2="Fija",C122&lt;=OF_ANIOS_INI_2),OF_TIN_2,MAX(0,EURIBOR+OF_DIF_2)),0)</f>
        <v/>
      </c>
      <c r="K122" s="58">
        <f>IF(AND(BANCO_OK_2,B122&lt;=MESES),IF(OR(B122=1,J122&lt;&gt;J121),PMT(J122/1200,MESES-B122+1,-N121),K121),0)</f>
        <v/>
      </c>
      <c r="L122" s="58">
        <f>N121*J122/1200</f>
        <v/>
      </c>
      <c r="M122" s="58">
        <f>IF(AND(BANCO_OK_2,B122&lt;=MESES),IF(OR(B122=MESES,K122-L122&gt;N121),N121,K122-L122),0)</f>
        <v/>
      </c>
      <c r="N122" s="58">
        <f>N121-M122</f>
        <v/>
      </c>
      <c r="O122" s="58">
        <f>IF(AND(BANCO_OK_2,B122&lt;=MESES),L122+M122+VINC_MES_2,0)</f>
        <v/>
      </c>
      <c r="P122" s="52">
        <f>IF(AND(BANCO_OK_3,B122&lt;=MESES),IF(OR(OF_TIPO_3="Fija",C122&lt;=OF_ANIOS_INI_3),OF_TIN_3,MAX(0,EURIBOR+OF_DIF_3)),0)</f>
        <v/>
      </c>
      <c r="Q122" s="58">
        <f>IF(AND(BANCO_OK_3,B122&lt;=MESES),IF(OR(B122=1,P122&lt;&gt;P121),PMT(P122/1200,MESES-B122+1,-T121),Q121),0)</f>
        <v/>
      </c>
      <c r="R122" s="58">
        <f>T121*P122/1200</f>
        <v/>
      </c>
      <c r="S122" s="58">
        <f>IF(AND(BANCO_OK_3,B122&lt;=MESES),IF(OR(B122=MESES,Q122-R122&gt;T121),T121,Q122-R122),0)</f>
        <v/>
      </c>
      <c r="T122" s="58">
        <f>T121-S122</f>
        <v/>
      </c>
      <c r="U122" s="58">
        <f>IF(AND(BANCO_OK_3,B122&lt;=MESES),R122+S122+VINC_MES_3,0)</f>
        <v/>
      </c>
      <c r="V122" s="52">
        <f>IF(AND(BANCO_OK_4,B122&lt;=MESES),IF(OR(OF_TIPO_4="Fija",C122&lt;=OF_ANIOS_INI_4),OF_TIN_4,MAX(0,EURIBOR+OF_DIF_4)),0)</f>
        <v/>
      </c>
      <c r="W122" s="58">
        <f>IF(AND(BANCO_OK_4,B122&lt;=MESES),IF(OR(B122=1,V122&lt;&gt;V121),PMT(V122/1200,MESES-B122+1,-Z121),W121),0)</f>
        <v/>
      </c>
      <c r="X122" s="58">
        <f>Z121*V122/1200</f>
        <v/>
      </c>
      <c r="Y122" s="58">
        <f>IF(AND(BANCO_OK_4,B122&lt;=MESES),IF(OR(B122=MESES,W122-X122&gt;Z121),Z121,W122-X122),0)</f>
        <v/>
      </c>
      <c r="Z122" s="58">
        <f>Z121-Y122</f>
        <v/>
      </c>
      <c r="AA122" s="58">
        <f>IF(AND(BANCO_OK_4,B122&lt;=MESES),X122+Y122+VINC_MES_4,0)</f>
        <v/>
      </c>
    </row>
    <row r="123">
      <c r="B123" s="56" t="n">
        <v>115</v>
      </c>
      <c r="C123" s="56">
        <f>ROUNDUP(B123/12,0)</f>
        <v/>
      </c>
      <c r="D123" s="52">
        <f>IF(AND(BANCO_OK_1,B123&lt;=MESES),IF(OR(OF_TIPO_1="Fija",C123&lt;=OF_ANIOS_INI_1),OF_TIN_1,MAX(0,EURIBOR+OF_DIF_1)),0)</f>
        <v/>
      </c>
      <c r="E123" s="58">
        <f>IF(AND(BANCO_OK_1,B123&lt;=MESES),IF(OR(B123=1,D123&lt;&gt;D122),PMT(D123/1200,MESES-B123+1,-H122),E122),0)</f>
        <v/>
      </c>
      <c r="F123" s="58">
        <f>H122*D123/1200</f>
        <v/>
      </c>
      <c r="G123" s="58">
        <f>IF(AND(BANCO_OK_1,B123&lt;=MESES),IF(OR(B123=MESES,E123-F123&gt;H122),H122,E123-F123),0)</f>
        <v/>
      </c>
      <c r="H123" s="58">
        <f>H122-G123</f>
        <v/>
      </c>
      <c r="I123" s="58">
        <f>IF(AND(BANCO_OK_1,B123&lt;=MESES),F123+G123+VINC_MES_1,0)</f>
        <v/>
      </c>
      <c r="J123" s="52">
        <f>IF(AND(BANCO_OK_2,B123&lt;=MESES),IF(OR(OF_TIPO_2="Fija",C123&lt;=OF_ANIOS_INI_2),OF_TIN_2,MAX(0,EURIBOR+OF_DIF_2)),0)</f>
        <v/>
      </c>
      <c r="K123" s="58">
        <f>IF(AND(BANCO_OK_2,B123&lt;=MESES),IF(OR(B123=1,J123&lt;&gt;J122),PMT(J123/1200,MESES-B123+1,-N122),K122),0)</f>
        <v/>
      </c>
      <c r="L123" s="58">
        <f>N122*J123/1200</f>
        <v/>
      </c>
      <c r="M123" s="58">
        <f>IF(AND(BANCO_OK_2,B123&lt;=MESES),IF(OR(B123=MESES,K123-L123&gt;N122),N122,K123-L123),0)</f>
        <v/>
      </c>
      <c r="N123" s="58">
        <f>N122-M123</f>
        <v/>
      </c>
      <c r="O123" s="58">
        <f>IF(AND(BANCO_OK_2,B123&lt;=MESES),L123+M123+VINC_MES_2,0)</f>
        <v/>
      </c>
      <c r="P123" s="52">
        <f>IF(AND(BANCO_OK_3,B123&lt;=MESES),IF(OR(OF_TIPO_3="Fija",C123&lt;=OF_ANIOS_INI_3),OF_TIN_3,MAX(0,EURIBOR+OF_DIF_3)),0)</f>
        <v/>
      </c>
      <c r="Q123" s="58">
        <f>IF(AND(BANCO_OK_3,B123&lt;=MESES),IF(OR(B123=1,P123&lt;&gt;P122),PMT(P123/1200,MESES-B123+1,-T122),Q122),0)</f>
        <v/>
      </c>
      <c r="R123" s="58">
        <f>T122*P123/1200</f>
        <v/>
      </c>
      <c r="S123" s="58">
        <f>IF(AND(BANCO_OK_3,B123&lt;=MESES),IF(OR(B123=MESES,Q123-R123&gt;T122),T122,Q123-R123),0)</f>
        <v/>
      </c>
      <c r="T123" s="58">
        <f>T122-S123</f>
        <v/>
      </c>
      <c r="U123" s="58">
        <f>IF(AND(BANCO_OK_3,B123&lt;=MESES),R123+S123+VINC_MES_3,0)</f>
        <v/>
      </c>
      <c r="V123" s="52">
        <f>IF(AND(BANCO_OK_4,B123&lt;=MESES),IF(OR(OF_TIPO_4="Fija",C123&lt;=OF_ANIOS_INI_4),OF_TIN_4,MAX(0,EURIBOR+OF_DIF_4)),0)</f>
        <v/>
      </c>
      <c r="W123" s="58">
        <f>IF(AND(BANCO_OK_4,B123&lt;=MESES),IF(OR(B123=1,V123&lt;&gt;V122),PMT(V123/1200,MESES-B123+1,-Z122),W122),0)</f>
        <v/>
      </c>
      <c r="X123" s="58">
        <f>Z122*V123/1200</f>
        <v/>
      </c>
      <c r="Y123" s="58">
        <f>IF(AND(BANCO_OK_4,B123&lt;=MESES),IF(OR(B123=MESES,W123-X123&gt;Z122),Z122,W123-X123),0)</f>
        <v/>
      </c>
      <c r="Z123" s="58">
        <f>Z122-Y123</f>
        <v/>
      </c>
      <c r="AA123" s="58">
        <f>IF(AND(BANCO_OK_4,B123&lt;=MESES),X123+Y123+VINC_MES_4,0)</f>
        <v/>
      </c>
    </row>
    <row r="124">
      <c r="B124" s="56" t="n">
        <v>116</v>
      </c>
      <c r="C124" s="56">
        <f>ROUNDUP(B124/12,0)</f>
        <v/>
      </c>
      <c r="D124" s="52">
        <f>IF(AND(BANCO_OK_1,B124&lt;=MESES),IF(OR(OF_TIPO_1="Fija",C124&lt;=OF_ANIOS_INI_1),OF_TIN_1,MAX(0,EURIBOR+OF_DIF_1)),0)</f>
        <v/>
      </c>
      <c r="E124" s="58">
        <f>IF(AND(BANCO_OK_1,B124&lt;=MESES),IF(OR(B124=1,D124&lt;&gt;D123),PMT(D124/1200,MESES-B124+1,-H123),E123),0)</f>
        <v/>
      </c>
      <c r="F124" s="58">
        <f>H123*D124/1200</f>
        <v/>
      </c>
      <c r="G124" s="58">
        <f>IF(AND(BANCO_OK_1,B124&lt;=MESES),IF(OR(B124=MESES,E124-F124&gt;H123),H123,E124-F124),0)</f>
        <v/>
      </c>
      <c r="H124" s="58">
        <f>H123-G124</f>
        <v/>
      </c>
      <c r="I124" s="58">
        <f>IF(AND(BANCO_OK_1,B124&lt;=MESES),F124+G124+VINC_MES_1,0)</f>
        <v/>
      </c>
      <c r="J124" s="52">
        <f>IF(AND(BANCO_OK_2,B124&lt;=MESES),IF(OR(OF_TIPO_2="Fija",C124&lt;=OF_ANIOS_INI_2),OF_TIN_2,MAX(0,EURIBOR+OF_DIF_2)),0)</f>
        <v/>
      </c>
      <c r="K124" s="58">
        <f>IF(AND(BANCO_OK_2,B124&lt;=MESES),IF(OR(B124=1,J124&lt;&gt;J123),PMT(J124/1200,MESES-B124+1,-N123),K123),0)</f>
        <v/>
      </c>
      <c r="L124" s="58">
        <f>N123*J124/1200</f>
        <v/>
      </c>
      <c r="M124" s="58">
        <f>IF(AND(BANCO_OK_2,B124&lt;=MESES),IF(OR(B124=MESES,K124-L124&gt;N123),N123,K124-L124),0)</f>
        <v/>
      </c>
      <c r="N124" s="58">
        <f>N123-M124</f>
        <v/>
      </c>
      <c r="O124" s="58">
        <f>IF(AND(BANCO_OK_2,B124&lt;=MESES),L124+M124+VINC_MES_2,0)</f>
        <v/>
      </c>
      <c r="P124" s="52">
        <f>IF(AND(BANCO_OK_3,B124&lt;=MESES),IF(OR(OF_TIPO_3="Fija",C124&lt;=OF_ANIOS_INI_3),OF_TIN_3,MAX(0,EURIBOR+OF_DIF_3)),0)</f>
        <v/>
      </c>
      <c r="Q124" s="58">
        <f>IF(AND(BANCO_OK_3,B124&lt;=MESES),IF(OR(B124=1,P124&lt;&gt;P123),PMT(P124/1200,MESES-B124+1,-T123),Q123),0)</f>
        <v/>
      </c>
      <c r="R124" s="58">
        <f>T123*P124/1200</f>
        <v/>
      </c>
      <c r="S124" s="58">
        <f>IF(AND(BANCO_OK_3,B124&lt;=MESES),IF(OR(B124=MESES,Q124-R124&gt;T123),T123,Q124-R124),0)</f>
        <v/>
      </c>
      <c r="T124" s="58">
        <f>T123-S124</f>
        <v/>
      </c>
      <c r="U124" s="58">
        <f>IF(AND(BANCO_OK_3,B124&lt;=MESES),R124+S124+VINC_MES_3,0)</f>
        <v/>
      </c>
      <c r="V124" s="52">
        <f>IF(AND(BANCO_OK_4,B124&lt;=MESES),IF(OR(OF_TIPO_4="Fija",C124&lt;=OF_ANIOS_INI_4),OF_TIN_4,MAX(0,EURIBOR+OF_DIF_4)),0)</f>
        <v/>
      </c>
      <c r="W124" s="58">
        <f>IF(AND(BANCO_OK_4,B124&lt;=MESES),IF(OR(B124=1,V124&lt;&gt;V123),PMT(V124/1200,MESES-B124+1,-Z123),W123),0)</f>
        <v/>
      </c>
      <c r="X124" s="58">
        <f>Z123*V124/1200</f>
        <v/>
      </c>
      <c r="Y124" s="58">
        <f>IF(AND(BANCO_OK_4,B124&lt;=MESES),IF(OR(B124=MESES,W124-X124&gt;Z123),Z123,W124-X124),0)</f>
        <v/>
      </c>
      <c r="Z124" s="58">
        <f>Z123-Y124</f>
        <v/>
      </c>
      <c r="AA124" s="58">
        <f>IF(AND(BANCO_OK_4,B124&lt;=MESES),X124+Y124+VINC_MES_4,0)</f>
        <v/>
      </c>
    </row>
    <row r="125">
      <c r="B125" s="56" t="n">
        <v>117</v>
      </c>
      <c r="C125" s="56">
        <f>ROUNDUP(B125/12,0)</f>
        <v/>
      </c>
      <c r="D125" s="52">
        <f>IF(AND(BANCO_OK_1,B125&lt;=MESES),IF(OR(OF_TIPO_1="Fija",C125&lt;=OF_ANIOS_INI_1),OF_TIN_1,MAX(0,EURIBOR+OF_DIF_1)),0)</f>
        <v/>
      </c>
      <c r="E125" s="58">
        <f>IF(AND(BANCO_OK_1,B125&lt;=MESES),IF(OR(B125=1,D125&lt;&gt;D124),PMT(D125/1200,MESES-B125+1,-H124),E124),0)</f>
        <v/>
      </c>
      <c r="F125" s="58">
        <f>H124*D125/1200</f>
        <v/>
      </c>
      <c r="G125" s="58">
        <f>IF(AND(BANCO_OK_1,B125&lt;=MESES),IF(OR(B125=MESES,E125-F125&gt;H124),H124,E125-F125),0)</f>
        <v/>
      </c>
      <c r="H125" s="58">
        <f>H124-G125</f>
        <v/>
      </c>
      <c r="I125" s="58">
        <f>IF(AND(BANCO_OK_1,B125&lt;=MESES),F125+G125+VINC_MES_1,0)</f>
        <v/>
      </c>
      <c r="J125" s="52">
        <f>IF(AND(BANCO_OK_2,B125&lt;=MESES),IF(OR(OF_TIPO_2="Fija",C125&lt;=OF_ANIOS_INI_2),OF_TIN_2,MAX(0,EURIBOR+OF_DIF_2)),0)</f>
        <v/>
      </c>
      <c r="K125" s="58">
        <f>IF(AND(BANCO_OK_2,B125&lt;=MESES),IF(OR(B125=1,J125&lt;&gt;J124),PMT(J125/1200,MESES-B125+1,-N124),K124),0)</f>
        <v/>
      </c>
      <c r="L125" s="58">
        <f>N124*J125/1200</f>
        <v/>
      </c>
      <c r="M125" s="58">
        <f>IF(AND(BANCO_OK_2,B125&lt;=MESES),IF(OR(B125=MESES,K125-L125&gt;N124),N124,K125-L125),0)</f>
        <v/>
      </c>
      <c r="N125" s="58">
        <f>N124-M125</f>
        <v/>
      </c>
      <c r="O125" s="58">
        <f>IF(AND(BANCO_OK_2,B125&lt;=MESES),L125+M125+VINC_MES_2,0)</f>
        <v/>
      </c>
      <c r="P125" s="52">
        <f>IF(AND(BANCO_OK_3,B125&lt;=MESES),IF(OR(OF_TIPO_3="Fija",C125&lt;=OF_ANIOS_INI_3),OF_TIN_3,MAX(0,EURIBOR+OF_DIF_3)),0)</f>
        <v/>
      </c>
      <c r="Q125" s="58">
        <f>IF(AND(BANCO_OK_3,B125&lt;=MESES),IF(OR(B125=1,P125&lt;&gt;P124),PMT(P125/1200,MESES-B125+1,-T124),Q124),0)</f>
        <v/>
      </c>
      <c r="R125" s="58">
        <f>T124*P125/1200</f>
        <v/>
      </c>
      <c r="S125" s="58">
        <f>IF(AND(BANCO_OK_3,B125&lt;=MESES),IF(OR(B125=MESES,Q125-R125&gt;T124),T124,Q125-R125),0)</f>
        <v/>
      </c>
      <c r="T125" s="58">
        <f>T124-S125</f>
        <v/>
      </c>
      <c r="U125" s="58">
        <f>IF(AND(BANCO_OK_3,B125&lt;=MESES),R125+S125+VINC_MES_3,0)</f>
        <v/>
      </c>
      <c r="V125" s="52">
        <f>IF(AND(BANCO_OK_4,B125&lt;=MESES),IF(OR(OF_TIPO_4="Fija",C125&lt;=OF_ANIOS_INI_4),OF_TIN_4,MAX(0,EURIBOR+OF_DIF_4)),0)</f>
        <v/>
      </c>
      <c r="W125" s="58">
        <f>IF(AND(BANCO_OK_4,B125&lt;=MESES),IF(OR(B125=1,V125&lt;&gt;V124),PMT(V125/1200,MESES-B125+1,-Z124),W124),0)</f>
        <v/>
      </c>
      <c r="X125" s="58">
        <f>Z124*V125/1200</f>
        <v/>
      </c>
      <c r="Y125" s="58">
        <f>IF(AND(BANCO_OK_4,B125&lt;=MESES),IF(OR(B125=MESES,W125-X125&gt;Z124),Z124,W125-X125),0)</f>
        <v/>
      </c>
      <c r="Z125" s="58">
        <f>Z124-Y125</f>
        <v/>
      </c>
      <c r="AA125" s="58">
        <f>IF(AND(BANCO_OK_4,B125&lt;=MESES),X125+Y125+VINC_MES_4,0)</f>
        <v/>
      </c>
    </row>
    <row r="126">
      <c r="B126" s="56" t="n">
        <v>118</v>
      </c>
      <c r="C126" s="56">
        <f>ROUNDUP(B126/12,0)</f>
        <v/>
      </c>
      <c r="D126" s="52">
        <f>IF(AND(BANCO_OK_1,B126&lt;=MESES),IF(OR(OF_TIPO_1="Fija",C126&lt;=OF_ANIOS_INI_1),OF_TIN_1,MAX(0,EURIBOR+OF_DIF_1)),0)</f>
        <v/>
      </c>
      <c r="E126" s="58">
        <f>IF(AND(BANCO_OK_1,B126&lt;=MESES),IF(OR(B126=1,D126&lt;&gt;D125),PMT(D126/1200,MESES-B126+1,-H125),E125),0)</f>
        <v/>
      </c>
      <c r="F126" s="58">
        <f>H125*D126/1200</f>
        <v/>
      </c>
      <c r="G126" s="58">
        <f>IF(AND(BANCO_OK_1,B126&lt;=MESES),IF(OR(B126=MESES,E126-F126&gt;H125),H125,E126-F126),0)</f>
        <v/>
      </c>
      <c r="H126" s="58">
        <f>H125-G126</f>
        <v/>
      </c>
      <c r="I126" s="58">
        <f>IF(AND(BANCO_OK_1,B126&lt;=MESES),F126+G126+VINC_MES_1,0)</f>
        <v/>
      </c>
      <c r="J126" s="52">
        <f>IF(AND(BANCO_OK_2,B126&lt;=MESES),IF(OR(OF_TIPO_2="Fija",C126&lt;=OF_ANIOS_INI_2),OF_TIN_2,MAX(0,EURIBOR+OF_DIF_2)),0)</f>
        <v/>
      </c>
      <c r="K126" s="58">
        <f>IF(AND(BANCO_OK_2,B126&lt;=MESES),IF(OR(B126=1,J126&lt;&gt;J125),PMT(J126/1200,MESES-B126+1,-N125),K125),0)</f>
        <v/>
      </c>
      <c r="L126" s="58">
        <f>N125*J126/1200</f>
        <v/>
      </c>
      <c r="M126" s="58">
        <f>IF(AND(BANCO_OK_2,B126&lt;=MESES),IF(OR(B126=MESES,K126-L126&gt;N125),N125,K126-L126),0)</f>
        <v/>
      </c>
      <c r="N126" s="58">
        <f>N125-M126</f>
        <v/>
      </c>
      <c r="O126" s="58">
        <f>IF(AND(BANCO_OK_2,B126&lt;=MESES),L126+M126+VINC_MES_2,0)</f>
        <v/>
      </c>
      <c r="P126" s="52">
        <f>IF(AND(BANCO_OK_3,B126&lt;=MESES),IF(OR(OF_TIPO_3="Fija",C126&lt;=OF_ANIOS_INI_3),OF_TIN_3,MAX(0,EURIBOR+OF_DIF_3)),0)</f>
        <v/>
      </c>
      <c r="Q126" s="58">
        <f>IF(AND(BANCO_OK_3,B126&lt;=MESES),IF(OR(B126=1,P126&lt;&gt;P125),PMT(P126/1200,MESES-B126+1,-T125),Q125),0)</f>
        <v/>
      </c>
      <c r="R126" s="58">
        <f>T125*P126/1200</f>
        <v/>
      </c>
      <c r="S126" s="58">
        <f>IF(AND(BANCO_OK_3,B126&lt;=MESES),IF(OR(B126=MESES,Q126-R126&gt;T125),T125,Q126-R126),0)</f>
        <v/>
      </c>
      <c r="T126" s="58">
        <f>T125-S126</f>
        <v/>
      </c>
      <c r="U126" s="58">
        <f>IF(AND(BANCO_OK_3,B126&lt;=MESES),R126+S126+VINC_MES_3,0)</f>
        <v/>
      </c>
      <c r="V126" s="52">
        <f>IF(AND(BANCO_OK_4,B126&lt;=MESES),IF(OR(OF_TIPO_4="Fija",C126&lt;=OF_ANIOS_INI_4),OF_TIN_4,MAX(0,EURIBOR+OF_DIF_4)),0)</f>
        <v/>
      </c>
      <c r="W126" s="58">
        <f>IF(AND(BANCO_OK_4,B126&lt;=MESES),IF(OR(B126=1,V126&lt;&gt;V125),PMT(V126/1200,MESES-B126+1,-Z125),W125),0)</f>
        <v/>
      </c>
      <c r="X126" s="58">
        <f>Z125*V126/1200</f>
        <v/>
      </c>
      <c r="Y126" s="58">
        <f>IF(AND(BANCO_OK_4,B126&lt;=MESES),IF(OR(B126=MESES,W126-X126&gt;Z125),Z125,W126-X126),0)</f>
        <v/>
      </c>
      <c r="Z126" s="58">
        <f>Z125-Y126</f>
        <v/>
      </c>
      <c r="AA126" s="58">
        <f>IF(AND(BANCO_OK_4,B126&lt;=MESES),X126+Y126+VINC_MES_4,0)</f>
        <v/>
      </c>
    </row>
    <row r="127">
      <c r="B127" s="56" t="n">
        <v>119</v>
      </c>
      <c r="C127" s="56">
        <f>ROUNDUP(B127/12,0)</f>
        <v/>
      </c>
      <c r="D127" s="52">
        <f>IF(AND(BANCO_OK_1,B127&lt;=MESES),IF(OR(OF_TIPO_1="Fija",C127&lt;=OF_ANIOS_INI_1),OF_TIN_1,MAX(0,EURIBOR+OF_DIF_1)),0)</f>
        <v/>
      </c>
      <c r="E127" s="58">
        <f>IF(AND(BANCO_OK_1,B127&lt;=MESES),IF(OR(B127=1,D127&lt;&gt;D126),PMT(D127/1200,MESES-B127+1,-H126),E126),0)</f>
        <v/>
      </c>
      <c r="F127" s="58">
        <f>H126*D127/1200</f>
        <v/>
      </c>
      <c r="G127" s="58">
        <f>IF(AND(BANCO_OK_1,B127&lt;=MESES),IF(OR(B127=MESES,E127-F127&gt;H126),H126,E127-F127),0)</f>
        <v/>
      </c>
      <c r="H127" s="58">
        <f>H126-G127</f>
        <v/>
      </c>
      <c r="I127" s="58">
        <f>IF(AND(BANCO_OK_1,B127&lt;=MESES),F127+G127+VINC_MES_1,0)</f>
        <v/>
      </c>
      <c r="J127" s="52">
        <f>IF(AND(BANCO_OK_2,B127&lt;=MESES),IF(OR(OF_TIPO_2="Fija",C127&lt;=OF_ANIOS_INI_2),OF_TIN_2,MAX(0,EURIBOR+OF_DIF_2)),0)</f>
        <v/>
      </c>
      <c r="K127" s="58">
        <f>IF(AND(BANCO_OK_2,B127&lt;=MESES),IF(OR(B127=1,J127&lt;&gt;J126),PMT(J127/1200,MESES-B127+1,-N126),K126),0)</f>
        <v/>
      </c>
      <c r="L127" s="58">
        <f>N126*J127/1200</f>
        <v/>
      </c>
      <c r="M127" s="58">
        <f>IF(AND(BANCO_OK_2,B127&lt;=MESES),IF(OR(B127=MESES,K127-L127&gt;N126),N126,K127-L127),0)</f>
        <v/>
      </c>
      <c r="N127" s="58">
        <f>N126-M127</f>
        <v/>
      </c>
      <c r="O127" s="58">
        <f>IF(AND(BANCO_OK_2,B127&lt;=MESES),L127+M127+VINC_MES_2,0)</f>
        <v/>
      </c>
      <c r="P127" s="52">
        <f>IF(AND(BANCO_OK_3,B127&lt;=MESES),IF(OR(OF_TIPO_3="Fija",C127&lt;=OF_ANIOS_INI_3),OF_TIN_3,MAX(0,EURIBOR+OF_DIF_3)),0)</f>
        <v/>
      </c>
      <c r="Q127" s="58">
        <f>IF(AND(BANCO_OK_3,B127&lt;=MESES),IF(OR(B127=1,P127&lt;&gt;P126),PMT(P127/1200,MESES-B127+1,-T126),Q126),0)</f>
        <v/>
      </c>
      <c r="R127" s="58">
        <f>T126*P127/1200</f>
        <v/>
      </c>
      <c r="S127" s="58">
        <f>IF(AND(BANCO_OK_3,B127&lt;=MESES),IF(OR(B127=MESES,Q127-R127&gt;T126),T126,Q127-R127),0)</f>
        <v/>
      </c>
      <c r="T127" s="58">
        <f>T126-S127</f>
        <v/>
      </c>
      <c r="U127" s="58">
        <f>IF(AND(BANCO_OK_3,B127&lt;=MESES),R127+S127+VINC_MES_3,0)</f>
        <v/>
      </c>
      <c r="V127" s="52">
        <f>IF(AND(BANCO_OK_4,B127&lt;=MESES),IF(OR(OF_TIPO_4="Fija",C127&lt;=OF_ANIOS_INI_4),OF_TIN_4,MAX(0,EURIBOR+OF_DIF_4)),0)</f>
        <v/>
      </c>
      <c r="W127" s="58">
        <f>IF(AND(BANCO_OK_4,B127&lt;=MESES),IF(OR(B127=1,V127&lt;&gt;V126),PMT(V127/1200,MESES-B127+1,-Z126),W126),0)</f>
        <v/>
      </c>
      <c r="X127" s="58">
        <f>Z126*V127/1200</f>
        <v/>
      </c>
      <c r="Y127" s="58">
        <f>IF(AND(BANCO_OK_4,B127&lt;=MESES),IF(OR(B127=MESES,W127-X127&gt;Z126),Z126,W127-X127),0)</f>
        <v/>
      </c>
      <c r="Z127" s="58">
        <f>Z126-Y127</f>
        <v/>
      </c>
      <c r="AA127" s="58">
        <f>IF(AND(BANCO_OK_4,B127&lt;=MESES),X127+Y127+VINC_MES_4,0)</f>
        <v/>
      </c>
    </row>
    <row r="128">
      <c r="B128" s="56" t="n">
        <v>120</v>
      </c>
      <c r="C128" s="56">
        <f>ROUNDUP(B128/12,0)</f>
        <v/>
      </c>
      <c r="D128" s="52">
        <f>IF(AND(BANCO_OK_1,B128&lt;=MESES),IF(OR(OF_TIPO_1="Fija",C128&lt;=OF_ANIOS_INI_1),OF_TIN_1,MAX(0,EURIBOR+OF_DIF_1)),0)</f>
        <v/>
      </c>
      <c r="E128" s="58">
        <f>IF(AND(BANCO_OK_1,B128&lt;=MESES),IF(OR(B128=1,D128&lt;&gt;D127),PMT(D128/1200,MESES-B128+1,-H127),E127),0)</f>
        <v/>
      </c>
      <c r="F128" s="58">
        <f>H127*D128/1200</f>
        <v/>
      </c>
      <c r="G128" s="58">
        <f>IF(AND(BANCO_OK_1,B128&lt;=MESES),IF(OR(B128=MESES,E128-F128&gt;H127),H127,E128-F128),0)</f>
        <v/>
      </c>
      <c r="H128" s="58">
        <f>H127-G128</f>
        <v/>
      </c>
      <c r="I128" s="58">
        <f>IF(AND(BANCO_OK_1,B128&lt;=MESES),F128+G128+VINC_MES_1,0)</f>
        <v/>
      </c>
      <c r="J128" s="52">
        <f>IF(AND(BANCO_OK_2,B128&lt;=MESES),IF(OR(OF_TIPO_2="Fija",C128&lt;=OF_ANIOS_INI_2),OF_TIN_2,MAX(0,EURIBOR+OF_DIF_2)),0)</f>
        <v/>
      </c>
      <c r="K128" s="58">
        <f>IF(AND(BANCO_OK_2,B128&lt;=MESES),IF(OR(B128=1,J128&lt;&gt;J127),PMT(J128/1200,MESES-B128+1,-N127),K127),0)</f>
        <v/>
      </c>
      <c r="L128" s="58">
        <f>N127*J128/1200</f>
        <v/>
      </c>
      <c r="M128" s="58">
        <f>IF(AND(BANCO_OK_2,B128&lt;=MESES),IF(OR(B128=MESES,K128-L128&gt;N127),N127,K128-L128),0)</f>
        <v/>
      </c>
      <c r="N128" s="58">
        <f>N127-M128</f>
        <v/>
      </c>
      <c r="O128" s="58">
        <f>IF(AND(BANCO_OK_2,B128&lt;=MESES),L128+M128+VINC_MES_2,0)</f>
        <v/>
      </c>
      <c r="P128" s="52">
        <f>IF(AND(BANCO_OK_3,B128&lt;=MESES),IF(OR(OF_TIPO_3="Fija",C128&lt;=OF_ANIOS_INI_3),OF_TIN_3,MAX(0,EURIBOR+OF_DIF_3)),0)</f>
        <v/>
      </c>
      <c r="Q128" s="58">
        <f>IF(AND(BANCO_OK_3,B128&lt;=MESES),IF(OR(B128=1,P128&lt;&gt;P127),PMT(P128/1200,MESES-B128+1,-T127),Q127),0)</f>
        <v/>
      </c>
      <c r="R128" s="58">
        <f>T127*P128/1200</f>
        <v/>
      </c>
      <c r="S128" s="58">
        <f>IF(AND(BANCO_OK_3,B128&lt;=MESES),IF(OR(B128=MESES,Q128-R128&gt;T127),T127,Q128-R128),0)</f>
        <v/>
      </c>
      <c r="T128" s="58">
        <f>T127-S128</f>
        <v/>
      </c>
      <c r="U128" s="58">
        <f>IF(AND(BANCO_OK_3,B128&lt;=MESES),R128+S128+VINC_MES_3,0)</f>
        <v/>
      </c>
      <c r="V128" s="52">
        <f>IF(AND(BANCO_OK_4,B128&lt;=MESES),IF(OR(OF_TIPO_4="Fija",C128&lt;=OF_ANIOS_INI_4),OF_TIN_4,MAX(0,EURIBOR+OF_DIF_4)),0)</f>
        <v/>
      </c>
      <c r="W128" s="58">
        <f>IF(AND(BANCO_OK_4,B128&lt;=MESES),IF(OR(B128=1,V128&lt;&gt;V127),PMT(V128/1200,MESES-B128+1,-Z127),W127),0)</f>
        <v/>
      </c>
      <c r="X128" s="58">
        <f>Z127*V128/1200</f>
        <v/>
      </c>
      <c r="Y128" s="58">
        <f>IF(AND(BANCO_OK_4,B128&lt;=MESES),IF(OR(B128=MESES,W128-X128&gt;Z127),Z127,W128-X128),0)</f>
        <v/>
      </c>
      <c r="Z128" s="58">
        <f>Z127-Y128</f>
        <v/>
      </c>
      <c r="AA128" s="58">
        <f>IF(AND(BANCO_OK_4,B128&lt;=MESES),X128+Y128+VINC_MES_4,0)</f>
        <v/>
      </c>
    </row>
    <row r="129">
      <c r="B129" s="56" t="n">
        <v>121</v>
      </c>
      <c r="C129" s="56">
        <f>ROUNDUP(B129/12,0)</f>
        <v/>
      </c>
      <c r="D129" s="52">
        <f>IF(AND(BANCO_OK_1,B129&lt;=MESES),IF(OR(OF_TIPO_1="Fija",C129&lt;=OF_ANIOS_INI_1),OF_TIN_1,MAX(0,EURIBOR+OF_DIF_1)),0)</f>
        <v/>
      </c>
      <c r="E129" s="58">
        <f>IF(AND(BANCO_OK_1,B129&lt;=MESES),IF(OR(B129=1,D129&lt;&gt;D128),PMT(D129/1200,MESES-B129+1,-H128),E128),0)</f>
        <v/>
      </c>
      <c r="F129" s="58">
        <f>H128*D129/1200</f>
        <v/>
      </c>
      <c r="G129" s="58">
        <f>IF(AND(BANCO_OK_1,B129&lt;=MESES),IF(OR(B129=MESES,E129-F129&gt;H128),H128,E129-F129),0)</f>
        <v/>
      </c>
      <c r="H129" s="58">
        <f>H128-G129</f>
        <v/>
      </c>
      <c r="I129" s="58">
        <f>IF(AND(BANCO_OK_1,B129&lt;=MESES),F129+G129+VINC_MES_1,0)</f>
        <v/>
      </c>
      <c r="J129" s="52">
        <f>IF(AND(BANCO_OK_2,B129&lt;=MESES),IF(OR(OF_TIPO_2="Fija",C129&lt;=OF_ANIOS_INI_2),OF_TIN_2,MAX(0,EURIBOR+OF_DIF_2)),0)</f>
        <v/>
      </c>
      <c r="K129" s="58">
        <f>IF(AND(BANCO_OK_2,B129&lt;=MESES),IF(OR(B129=1,J129&lt;&gt;J128),PMT(J129/1200,MESES-B129+1,-N128),K128),0)</f>
        <v/>
      </c>
      <c r="L129" s="58">
        <f>N128*J129/1200</f>
        <v/>
      </c>
      <c r="M129" s="58">
        <f>IF(AND(BANCO_OK_2,B129&lt;=MESES),IF(OR(B129=MESES,K129-L129&gt;N128),N128,K129-L129),0)</f>
        <v/>
      </c>
      <c r="N129" s="58">
        <f>N128-M129</f>
        <v/>
      </c>
      <c r="O129" s="58">
        <f>IF(AND(BANCO_OK_2,B129&lt;=MESES),L129+M129+VINC_MES_2,0)</f>
        <v/>
      </c>
      <c r="P129" s="52">
        <f>IF(AND(BANCO_OK_3,B129&lt;=MESES),IF(OR(OF_TIPO_3="Fija",C129&lt;=OF_ANIOS_INI_3),OF_TIN_3,MAX(0,EURIBOR+OF_DIF_3)),0)</f>
        <v/>
      </c>
      <c r="Q129" s="58">
        <f>IF(AND(BANCO_OK_3,B129&lt;=MESES),IF(OR(B129=1,P129&lt;&gt;P128),PMT(P129/1200,MESES-B129+1,-T128),Q128),0)</f>
        <v/>
      </c>
      <c r="R129" s="58">
        <f>T128*P129/1200</f>
        <v/>
      </c>
      <c r="S129" s="58">
        <f>IF(AND(BANCO_OK_3,B129&lt;=MESES),IF(OR(B129=MESES,Q129-R129&gt;T128),T128,Q129-R129),0)</f>
        <v/>
      </c>
      <c r="T129" s="58">
        <f>T128-S129</f>
        <v/>
      </c>
      <c r="U129" s="58">
        <f>IF(AND(BANCO_OK_3,B129&lt;=MESES),R129+S129+VINC_MES_3,0)</f>
        <v/>
      </c>
      <c r="V129" s="52">
        <f>IF(AND(BANCO_OK_4,B129&lt;=MESES),IF(OR(OF_TIPO_4="Fija",C129&lt;=OF_ANIOS_INI_4),OF_TIN_4,MAX(0,EURIBOR+OF_DIF_4)),0)</f>
        <v/>
      </c>
      <c r="W129" s="58">
        <f>IF(AND(BANCO_OK_4,B129&lt;=MESES),IF(OR(B129=1,V129&lt;&gt;V128),PMT(V129/1200,MESES-B129+1,-Z128),W128),0)</f>
        <v/>
      </c>
      <c r="X129" s="58">
        <f>Z128*V129/1200</f>
        <v/>
      </c>
      <c r="Y129" s="58">
        <f>IF(AND(BANCO_OK_4,B129&lt;=MESES),IF(OR(B129=MESES,W129-X129&gt;Z128),Z128,W129-X129),0)</f>
        <v/>
      </c>
      <c r="Z129" s="58">
        <f>Z128-Y129</f>
        <v/>
      </c>
      <c r="AA129" s="58">
        <f>IF(AND(BANCO_OK_4,B129&lt;=MESES),X129+Y129+VINC_MES_4,0)</f>
        <v/>
      </c>
    </row>
    <row r="130">
      <c r="B130" s="56" t="n">
        <v>122</v>
      </c>
      <c r="C130" s="56">
        <f>ROUNDUP(B130/12,0)</f>
        <v/>
      </c>
      <c r="D130" s="52">
        <f>IF(AND(BANCO_OK_1,B130&lt;=MESES),IF(OR(OF_TIPO_1="Fija",C130&lt;=OF_ANIOS_INI_1),OF_TIN_1,MAX(0,EURIBOR+OF_DIF_1)),0)</f>
        <v/>
      </c>
      <c r="E130" s="58">
        <f>IF(AND(BANCO_OK_1,B130&lt;=MESES),IF(OR(B130=1,D130&lt;&gt;D129),PMT(D130/1200,MESES-B130+1,-H129),E129),0)</f>
        <v/>
      </c>
      <c r="F130" s="58">
        <f>H129*D130/1200</f>
        <v/>
      </c>
      <c r="G130" s="58">
        <f>IF(AND(BANCO_OK_1,B130&lt;=MESES),IF(OR(B130=MESES,E130-F130&gt;H129),H129,E130-F130),0)</f>
        <v/>
      </c>
      <c r="H130" s="58">
        <f>H129-G130</f>
        <v/>
      </c>
      <c r="I130" s="58">
        <f>IF(AND(BANCO_OK_1,B130&lt;=MESES),F130+G130+VINC_MES_1,0)</f>
        <v/>
      </c>
      <c r="J130" s="52">
        <f>IF(AND(BANCO_OK_2,B130&lt;=MESES),IF(OR(OF_TIPO_2="Fija",C130&lt;=OF_ANIOS_INI_2),OF_TIN_2,MAX(0,EURIBOR+OF_DIF_2)),0)</f>
        <v/>
      </c>
      <c r="K130" s="58">
        <f>IF(AND(BANCO_OK_2,B130&lt;=MESES),IF(OR(B130=1,J130&lt;&gt;J129),PMT(J130/1200,MESES-B130+1,-N129),K129),0)</f>
        <v/>
      </c>
      <c r="L130" s="58">
        <f>N129*J130/1200</f>
        <v/>
      </c>
      <c r="M130" s="58">
        <f>IF(AND(BANCO_OK_2,B130&lt;=MESES),IF(OR(B130=MESES,K130-L130&gt;N129),N129,K130-L130),0)</f>
        <v/>
      </c>
      <c r="N130" s="58">
        <f>N129-M130</f>
        <v/>
      </c>
      <c r="O130" s="58">
        <f>IF(AND(BANCO_OK_2,B130&lt;=MESES),L130+M130+VINC_MES_2,0)</f>
        <v/>
      </c>
      <c r="P130" s="52">
        <f>IF(AND(BANCO_OK_3,B130&lt;=MESES),IF(OR(OF_TIPO_3="Fija",C130&lt;=OF_ANIOS_INI_3),OF_TIN_3,MAX(0,EURIBOR+OF_DIF_3)),0)</f>
        <v/>
      </c>
      <c r="Q130" s="58">
        <f>IF(AND(BANCO_OK_3,B130&lt;=MESES),IF(OR(B130=1,P130&lt;&gt;P129),PMT(P130/1200,MESES-B130+1,-T129),Q129),0)</f>
        <v/>
      </c>
      <c r="R130" s="58">
        <f>T129*P130/1200</f>
        <v/>
      </c>
      <c r="S130" s="58">
        <f>IF(AND(BANCO_OK_3,B130&lt;=MESES),IF(OR(B130=MESES,Q130-R130&gt;T129),T129,Q130-R130),0)</f>
        <v/>
      </c>
      <c r="T130" s="58">
        <f>T129-S130</f>
        <v/>
      </c>
      <c r="U130" s="58">
        <f>IF(AND(BANCO_OK_3,B130&lt;=MESES),R130+S130+VINC_MES_3,0)</f>
        <v/>
      </c>
      <c r="V130" s="52">
        <f>IF(AND(BANCO_OK_4,B130&lt;=MESES),IF(OR(OF_TIPO_4="Fija",C130&lt;=OF_ANIOS_INI_4),OF_TIN_4,MAX(0,EURIBOR+OF_DIF_4)),0)</f>
        <v/>
      </c>
      <c r="W130" s="58">
        <f>IF(AND(BANCO_OK_4,B130&lt;=MESES),IF(OR(B130=1,V130&lt;&gt;V129),PMT(V130/1200,MESES-B130+1,-Z129),W129),0)</f>
        <v/>
      </c>
      <c r="X130" s="58">
        <f>Z129*V130/1200</f>
        <v/>
      </c>
      <c r="Y130" s="58">
        <f>IF(AND(BANCO_OK_4,B130&lt;=MESES),IF(OR(B130=MESES,W130-X130&gt;Z129),Z129,W130-X130),0)</f>
        <v/>
      </c>
      <c r="Z130" s="58">
        <f>Z129-Y130</f>
        <v/>
      </c>
      <c r="AA130" s="58">
        <f>IF(AND(BANCO_OK_4,B130&lt;=MESES),X130+Y130+VINC_MES_4,0)</f>
        <v/>
      </c>
    </row>
    <row r="131">
      <c r="B131" s="56" t="n">
        <v>123</v>
      </c>
      <c r="C131" s="56">
        <f>ROUNDUP(B131/12,0)</f>
        <v/>
      </c>
      <c r="D131" s="52">
        <f>IF(AND(BANCO_OK_1,B131&lt;=MESES),IF(OR(OF_TIPO_1="Fija",C131&lt;=OF_ANIOS_INI_1),OF_TIN_1,MAX(0,EURIBOR+OF_DIF_1)),0)</f>
        <v/>
      </c>
      <c r="E131" s="58">
        <f>IF(AND(BANCO_OK_1,B131&lt;=MESES),IF(OR(B131=1,D131&lt;&gt;D130),PMT(D131/1200,MESES-B131+1,-H130),E130),0)</f>
        <v/>
      </c>
      <c r="F131" s="58">
        <f>H130*D131/1200</f>
        <v/>
      </c>
      <c r="G131" s="58">
        <f>IF(AND(BANCO_OK_1,B131&lt;=MESES),IF(OR(B131=MESES,E131-F131&gt;H130),H130,E131-F131),0)</f>
        <v/>
      </c>
      <c r="H131" s="58">
        <f>H130-G131</f>
        <v/>
      </c>
      <c r="I131" s="58">
        <f>IF(AND(BANCO_OK_1,B131&lt;=MESES),F131+G131+VINC_MES_1,0)</f>
        <v/>
      </c>
      <c r="J131" s="52">
        <f>IF(AND(BANCO_OK_2,B131&lt;=MESES),IF(OR(OF_TIPO_2="Fija",C131&lt;=OF_ANIOS_INI_2),OF_TIN_2,MAX(0,EURIBOR+OF_DIF_2)),0)</f>
        <v/>
      </c>
      <c r="K131" s="58">
        <f>IF(AND(BANCO_OK_2,B131&lt;=MESES),IF(OR(B131=1,J131&lt;&gt;J130),PMT(J131/1200,MESES-B131+1,-N130),K130),0)</f>
        <v/>
      </c>
      <c r="L131" s="58">
        <f>N130*J131/1200</f>
        <v/>
      </c>
      <c r="M131" s="58">
        <f>IF(AND(BANCO_OK_2,B131&lt;=MESES),IF(OR(B131=MESES,K131-L131&gt;N130),N130,K131-L131),0)</f>
        <v/>
      </c>
      <c r="N131" s="58">
        <f>N130-M131</f>
        <v/>
      </c>
      <c r="O131" s="58">
        <f>IF(AND(BANCO_OK_2,B131&lt;=MESES),L131+M131+VINC_MES_2,0)</f>
        <v/>
      </c>
      <c r="P131" s="52">
        <f>IF(AND(BANCO_OK_3,B131&lt;=MESES),IF(OR(OF_TIPO_3="Fija",C131&lt;=OF_ANIOS_INI_3),OF_TIN_3,MAX(0,EURIBOR+OF_DIF_3)),0)</f>
        <v/>
      </c>
      <c r="Q131" s="58">
        <f>IF(AND(BANCO_OK_3,B131&lt;=MESES),IF(OR(B131=1,P131&lt;&gt;P130),PMT(P131/1200,MESES-B131+1,-T130),Q130),0)</f>
        <v/>
      </c>
      <c r="R131" s="58">
        <f>T130*P131/1200</f>
        <v/>
      </c>
      <c r="S131" s="58">
        <f>IF(AND(BANCO_OK_3,B131&lt;=MESES),IF(OR(B131=MESES,Q131-R131&gt;T130),T130,Q131-R131),0)</f>
        <v/>
      </c>
      <c r="T131" s="58">
        <f>T130-S131</f>
        <v/>
      </c>
      <c r="U131" s="58">
        <f>IF(AND(BANCO_OK_3,B131&lt;=MESES),R131+S131+VINC_MES_3,0)</f>
        <v/>
      </c>
      <c r="V131" s="52">
        <f>IF(AND(BANCO_OK_4,B131&lt;=MESES),IF(OR(OF_TIPO_4="Fija",C131&lt;=OF_ANIOS_INI_4),OF_TIN_4,MAX(0,EURIBOR+OF_DIF_4)),0)</f>
        <v/>
      </c>
      <c r="W131" s="58">
        <f>IF(AND(BANCO_OK_4,B131&lt;=MESES),IF(OR(B131=1,V131&lt;&gt;V130),PMT(V131/1200,MESES-B131+1,-Z130),W130),0)</f>
        <v/>
      </c>
      <c r="X131" s="58">
        <f>Z130*V131/1200</f>
        <v/>
      </c>
      <c r="Y131" s="58">
        <f>IF(AND(BANCO_OK_4,B131&lt;=MESES),IF(OR(B131=MESES,W131-X131&gt;Z130),Z130,W131-X131),0)</f>
        <v/>
      </c>
      <c r="Z131" s="58">
        <f>Z130-Y131</f>
        <v/>
      </c>
      <c r="AA131" s="58">
        <f>IF(AND(BANCO_OK_4,B131&lt;=MESES),X131+Y131+VINC_MES_4,0)</f>
        <v/>
      </c>
    </row>
    <row r="132">
      <c r="B132" s="56" t="n">
        <v>124</v>
      </c>
      <c r="C132" s="56">
        <f>ROUNDUP(B132/12,0)</f>
        <v/>
      </c>
      <c r="D132" s="52">
        <f>IF(AND(BANCO_OK_1,B132&lt;=MESES),IF(OR(OF_TIPO_1="Fija",C132&lt;=OF_ANIOS_INI_1),OF_TIN_1,MAX(0,EURIBOR+OF_DIF_1)),0)</f>
        <v/>
      </c>
      <c r="E132" s="58">
        <f>IF(AND(BANCO_OK_1,B132&lt;=MESES),IF(OR(B132=1,D132&lt;&gt;D131),PMT(D132/1200,MESES-B132+1,-H131),E131),0)</f>
        <v/>
      </c>
      <c r="F132" s="58">
        <f>H131*D132/1200</f>
        <v/>
      </c>
      <c r="G132" s="58">
        <f>IF(AND(BANCO_OK_1,B132&lt;=MESES),IF(OR(B132=MESES,E132-F132&gt;H131),H131,E132-F132),0)</f>
        <v/>
      </c>
      <c r="H132" s="58">
        <f>H131-G132</f>
        <v/>
      </c>
      <c r="I132" s="58">
        <f>IF(AND(BANCO_OK_1,B132&lt;=MESES),F132+G132+VINC_MES_1,0)</f>
        <v/>
      </c>
      <c r="J132" s="52">
        <f>IF(AND(BANCO_OK_2,B132&lt;=MESES),IF(OR(OF_TIPO_2="Fija",C132&lt;=OF_ANIOS_INI_2),OF_TIN_2,MAX(0,EURIBOR+OF_DIF_2)),0)</f>
        <v/>
      </c>
      <c r="K132" s="58">
        <f>IF(AND(BANCO_OK_2,B132&lt;=MESES),IF(OR(B132=1,J132&lt;&gt;J131),PMT(J132/1200,MESES-B132+1,-N131),K131),0)</f>
        <v/>
      </c>
      <c r="L132" s="58">
        <f>N131*J132/1200</f>
        <v/>
      </c>
      <c r="M132" s="58">
        <f>IF(AND(BANCO_OK_2,B132&lt;=MESES),IF(OR(B132=MESES,K132-L132&gt;N131),N131,K132-L132),0)</f>
        <v/>
      </c>
      <c r="N132" s="58">
        <f>N131-M132</f>
        <v/>
      </c>
      <c r="O132" s="58">
        <f>IF(AND(BANCO_OK_2,B132&lt;=MESES),L132+M132+VINC_MES_2,0)</f>
        <v/>
      </c>
      <c r="P132" s="52">
        <f>IF(AND(BANCO_OK_3,B132&lt;=MESES),IF(OR(OF_TIPO_3="Fija",C132&lt;=OF_ANIOS_INI_3),OF_TIN_3,MAX(0,EURIBOR+OF_DIF_3)),0)</f>
        <v/>
      </c>
      <c r="Q132" s="58">
        <f>IF(AND(BANCO_OK_3,B132&lt;=MESES),IF(OR(B132=1,P132&lt;&gt;P131),PMT(P132/1200,MESES-B132+1,-T131),Q131),0)</f>
        <v/>
      </c>
      <c r="R132" s="58">
        <f>T131*P132/1200</f>
        <v/>
      </c>
      <c r="S132" s="58">
        <f>IF(AND(BANCO_OK_3,B132&lt;=MESES),IF(OR(B132=MESES,Q132-R132&gt;T131),T131,Q132-R132),0)</f>
        <v/>
      </c>
      <c r="T132" s="58">
        <f>T131-S132</f>
        <v/>
      </c>
      <c r="U132" s="58">
        <f>IF(AND(BANCO_OK_3,B132&lt;=MESES),R132+S132+VINC_MES_3,0)</f>
        <v/>
      </c>
      <c r="V132" s="52">
        <f>IF(AND(BANCO_OK_4,B132&lt;=MESES),IF(OR(OF_TIPO_4="Fija",C132&lt;=OF_ANIOS_INI_4),OF_TIN_4,MAX(0,EURIBOR+OF_DIF_4)),0)</f>
        <v/>
      </c>
      <c r="W132" s="58">
        <f>IF(AND(BANCO_OK_4,B132&lt;=MESES),IF(OR(B132=1,V132&lt;&gt;V131),PMT(V132/1200,MESES-B132+1,-Z131),W131),0)</f>
        <v/>
      </c>
      <c r="X132" s="58">
        <f>Z131*V132/1200</f>
        <v/>
      </c>
      <c r="Y132" s="58">
        <f>IF(AND(BANCO_OK_4,B132&lt;=MESES),IF(OR(B132=MESES,W132-X132&gt;Z131),Z131,W132-X132),0)</f>
        <v/>
      </c>
      <c r="Z132" s="58">
        <f>Z131-Y132</f>
        <v/>
      </c>
      <c r="AA132" s="58">
        <f>IF(AND(BANCO_OK_4,B132&lt;=MESES),X132+Y132+VINC_MES_4,0)</f>
        <v/>
      </c>
    </row>
    <row r="133">
      <c r="B133" s="56" t="n">
        <v>125</v>
      </c>
      <c r="C133" s="56">
        <f>ROUNDUP(B133/12,0)</f>
        <v/>
      </c>
      <c r="D133" s="52">
        <f>IF(AND(BANCO_OK_1,B133&lt;=MESES),IF(OR(OF_TIPO_1="Fija",C133&lt;=OF_ANIOS_INI_1),OF_TIN_1,MAX(0,EURIBOR+OF_DIF_1)),0)</f>
        <v/>
      </c>
      <c r="E133" s="58">
        <f>IF(AND(BANCO_OK_1,B133&lt;=MESES),IF(OR(B133=1,D133&lt;&gt;D132),PMT(D133/1200,MESES-B133+1,-H132),E132),0)</f>
        <v/>
      </c>
      <c r="F133" s="58">
        <f>H132*D133/1200</f>
        <v/>
      </c>
      <c r="G133" s="58">
        <f>IF(AND(BANCO_OK_1,B133&lt;=MESES),IF(OR(B133=MESES,E133-F133&gt;H132),H132,E133-F133),0)</f>
        <v/>
      </c>
      <c r="H133" s="58">
        <f>H132-G133</f>
        <v/>
      </c>
      <c r="I133" s="58">
        <f>IF(AND(BANCO_OK_1,B133&lt;=MESES),F133+G133+VINC_MES_1,0)</f>
        <v/>
      </c>
      <c r="J133" s="52">
        <f>IF(AND(BANCO_OK_2,B133&lt;=MESES),IF(OR(OF_TIPO_2="Fija",C133&lt;=OF_ANIOS_INI_2),OF_TIN_2,MAX(0,EURIBOR+OF_DIF_2)),0)</f>
        <v/>
      </c>
      <c r="K133" s="58">
        <f>IF(AND(BANCO_OK_2,B133&lt;=MESES),IF(OR(B133=1,J133&lt;&gt;J132),PMT(J133/1200,MESES-B133+1,-N132),K132),0)</f>
        <v/>
      </c>
      <c r="L133" s="58">
        <f>N132*J133/1200</f>
        <v/>
      </c>
      <c r="M133" s="58">
        <f>IF(AND(BANCO_OK_2,B133&lt;=MESES),IF(OR(B133=MESES,K133-L133&gt;N132),N132,K133-L133),0)</f>
        <v/>
      </c>
      <c r="N133" s="58">
        <f>N132-M133</f>
        <v/>
      </c>
      <c r="O133" s="58">
        <f>IF(AND(BANCO_OK_2,B133&lt;=MESES),L133+M133+VINC_MES_2,0)</f>
        <v/>
      </c>
      <c r="P133" s="52">
        <f>IF(AND(BANCO_OK_3,B133&lt;=MESES),IF(OR(OF_TIPO_3="Fija",C133&lt;=OF_ANIOS_INI_3),OF_TIN_3,MAX(0,EURIBOR+OF_DIF_3)),0)</f>
        <v/>
      </c>
      <c r="Q133" s="58">
        <f>IF(AND(BANCO_OK_3,B133&lt;=MESES),IF(OR(B133=1,P133&lt;&gt;P132),PMT(P133/1200,MESES-B133+1,-T132),Q132),0)</f>
        <v/>
      </c>
      <c r="R133" s="58">
        <f>T132*P133/1200</f>
        <v/>
      </c>
      <c r="S133" s="58">
        <f>IF(AND(BANCO_OK_3,B133&lt;=MESES),IF(OR(B133=MESES,Q133-R133&gt;T132),T132,Q133-R133),0)</f>
        <v/>
      </c>
      <c r="T133" s="58">
        <f>T132-S133</f>
        <v/>
      </c>
      <c r="U133" s="58">
        <f>IF(AND(BANCO_OK_3,B133&lt;=MESES),R133+S133+VINC_MES_3,0)</f>
        <v/>
      </c>
      <c r="V133" s="52">
        <f>IF(AND(BANCO_OK_4,B133&lt;=MESES),IF(OR(OF_TIPO_4="Fija",C133&lt;=OF_ANIOS_INI_4),OF_TIN_4,MAX(0,EURIBOR+OF_DIF_4)),0)</f>
        <v/>
      </c>
      <c r="W133" s="58">
        <f>IF(AND(BANCO_OK_4,B133&lt;=MESES),IF(OR(B133=1,V133&lt;&gt;V132),PMT(V133/1200,MESES-B133+1,-Z132),W132),0)</f>
        <v/>
      </c>
      <c r="X133" s="58">
        <f>Z132*V133/1200</f>
        <v/>
      </c>
      <c r="Y133" s="58">
        <f>IF(AND(BANCO_OK_4,B133&lt;=MESES),IF(OR(B133=MESES,W133-X133&gt;Z132),Z132,W133-X133),0)</f>
        <v/>
      </c>
      <c r="Z133" s="58">
        <f>Z132-Y133</f>
        <v/>
      </c>
      <c r="AA133" s="58">
        <f>IF(AND(BANCO_OK_4,B133&lt;=MESES),X133+Y133+VINC_MES_4,0)</f>
        <v/>
      </c>
    </row>
    <row r="134">
      <c r="B134" s="56" t="n">
        <v>126</v>
      </c>
      <c r="C134" s="56">
        <f>ROUNDUP(B134/12,0)</f>
        <v/>
      </c>
      <c r="D134" s="52">
        <f>IF(AND(BANCO_OK_1,B134&lt;=MESES),IF(OR(OF_TIPO_1="Fija",C134&lt;=OF_ANIOS_INI_1),OF_TIN_1,MAX(0,EURIBOR+OF_DIF_1)),0)</f>
        <v/>
      </c>
      <c r="E134" s="58">
        <f>IF(AND(BANCO_OK_1,B134&lt;=MESES),IF(OR(B134=1,D134&lt;&gt;D133),PMT(D134/1200,MESES-B134+1,-H133),E133),0)</f>
        <v/>
      </c>
      <c r="F134" s="58">
        <f>H133*D134/1200</f>
        <v/>
      </c>
      <c r="G134" s="58">
        <f>IF(AND(BANCO_OK_1,B134&lt;=MESES),IF(OR(B134=MESES,E134-F134&gt;H133),H133,E134-F134),0)</f>
        <v/>
      </c>
      <c r="H134" s="58">
        <f>H133-G134</f>
        <v/>
      </c>
      <c r="I134" s="58">
        <f>IF(AND(BANCO_OK_1,B134&lt;=MESES),F134+G134+VINC_MES_1,0)</f>
        <v/>
      </c>
      <c r="J134" s="52">
        <f>IF(AND(BANCO_OK_2,B134&lt;=MESES),IF(OR(OF_TIPO_2="Fija",C134&lt;=OF_ANIOS_INI_2),OF_TIN_2,MAX(0,EURIBOR+OF_DIF_2)),0)</f>
        <v/>
      </c>
      <c r="K134" s="58">
        <f>IF(AND(BANCO_OK_2,B134&lt;=MESES),IF(OR(B134=1,J134&lt;&gt;J133),PMT(J134/1200,MESES-B134+1,-N133),K133),0)</f>
        <v/>
      </c>
      <c r="L134" s="58">
        <f>N133*J134/1200</f>
        <v/>
      </c>
      <c r="M134" s="58">
        <f>IF(AND(BANCO_OK_2,B134&lt;=MESES),IF(OR(B134=MESES,K134-L134&gt;N133),N133,K134-L134),0)</f>
        <v/>
      </c>
      <c r="N134" s="58">
        <f>N133-M134</f>
        <v/>
      </c>
      <c r="O134" s="58">
        <f>IF(AND(BANCO_OK_2,B134&lt;=MESES),L134+M134+VINC_MES_2,0)</f>
        <v/>
      </c>
      <c r="P134" s="52">
        <f>IF(AND(BANCO_OK_3,B134&lt;=MESES),IF(OR(OF_TIPO_3="Fija",C134&lt;=OF_ANIOS_INI_3),OF_TIN_3,MAX(0,EURIBOR+OF_DIF_3)),0)</f>
        <v/>
      </c>
      <c r="Q134" s="58">
        <f>IF(AND(BANCO_OK_3,B134&lt;=MESES),IF(OR(B134=1,P134&lt;&gt;P133),PMT(P134/1200,MESES-B134+1,-T133),Q133),0)</f>
        <v/>
      </c>
      <c r="R134" s="58">
        <f>T133*P134/1200</f>
        <v/>
      </c>
      <c r="S134" s="58">
        <f>IF(AND(BANCO_OK_3,B134&lt;=MESES),IF(OR(B134=MESES,Q134-R134&gt;T133),T133,Q134-R134),0)</f>
        <v/>
      </c>
      <c r="T134" s="58">
        <f>T133-S134</f>
        <v/>
      </c>
      <c r="U134" s="58">
        <f>IF(AND(BANCO_OK_3,B134&lt;=MESES),R134+S134+VINC_MES_3,0)</f>
        <v/>
      </c>
      <c r="V134" s="52">
        <f>IF(AND(BANCO_OK_4,B134&lt;=MESES),IF(OR(OF_TIPO_4="Fija",C134&lt;=OF_ANIOS_INI_4),OF_TIN_4,MAX(0,EURIBOR+OF_DIF_4)),0)</f>
        <v/>
      </c>
      <c r="W134" s="58">
        <f>IF(AND(BANCO_OK_4,B134&lt;=MESES),IF(OR(B134=1,V134&lt;&gt;V133),PMT(V134/1200,MESES-B134+1,-Z133),W133),0)</f>
        <v/>
      </c>
      <c r="X134" s="58">
        <f>Z133*V134/1200</f>
        <v/>
      </c>
      <c r="Y134" s="58">
        <f>IF(AND(BANCO_OK_4,B134&lt;=MESES),IF(OR(B134=MESES,W134-X134&gt;Z133),Z133,W134-X134),0)</f>
        <v/>
      </c>
      <c r="Z134" s="58">
        <f>Z133-Y134</f>
        <v/>
      </c>
      <c r="AA134" s="58">
        <f>IF(AND(BANCO_OK_4,B134&lt;=MESES),X134+Y134+VINC_MES_4,0)</f>
        <v/>
      </c>
    </row>
    <row r="135">
      <c r="B135" s="56" t="n">
        <v>127</v>
      </c>
      <c r="C135" s="56">
        <f>ROUNDUP(B135/12,0)</f>
        <v/>
      </c>
      <c r="D135" s="52">
        <f>IF(AND(BANCO_OK_1,B135&lt;=MESES),IF(OR(OF_TIPO_1="Fija",C135&lt;=OF_ANIOS_INI_1),OF_TIN_1,MAX(0,EURIBOR+OF_DIF_1)),0)</f>
        <v/>
      </c>
      <c r="E135" s="58">
        <f>IF(AND(BANCO_OK_1,B135&lt;=MESES),IF(OR(B135=1,D135&lt;&gt;D134),PMT(D135/1200,MESES-B135+1,-H134),E134),0)</f>
        <v/>
      </c>
      <c r="F135" s="58">
        <f>H134*D135/1200</f>
        <v/>
      </c>
      <c r="G135" s="58">
        <f>IF(AND(BANCO_OK_1,B135&lt;=MESES),IF(OR(B135=MESES,E135-F135&gt;H134),H134,E135-F135),0)</f>
        <v/>
      </c>
      <c r="H135" s="58">
        <f>H134-G135</f>
        <v/>
      </c>
      <c r="I135" s="58">
        <f>IF(AND(BANCO_OK_1,B135&lt;=MESES),F135+G135+VINC_MES_1,0)</f>
        <v/>
      </c>
      <c r="J135" s="52">
        <f>IF(AND(BANCO_OK_2,B135&lt;=MESES),IF(OR(OF_TIPO_2="Fija",C135&lt;=OF_ANIOS_INI_2),OF_TIN_2,MAX(0,EURIBOR+OF_DIF_2)),0)</f>
        <v/>
      </c>
      <c r="K135" s="58">
        <f>IF(AND(BANCO_OK_2,B135&lt;=MESES),IF(OR(B135=1,J135&lt;&gt;J134),PMT(J135/1200,MESES-B135+1,-N134),K134),0)</f>
        <v/>
      </c>
      <c r="L135" s="58">
        <f>N134*J135/1200</f>
        <v/>
      </c>
      <c r="M135" s="58">
        <f>IF(AND(BANCO_OK_2,B135&lt;=MESES),IF(OR(B135=MESES,K135-L135&gt;N134),N134,K135-L135),0)</f>
        <v/>
      </c>
      <c r="N135" s="58">
        <f>N134-M135</f>
        <v/>
      </c>
      <c r="O135" s="58">
        <f>IF(AND(BANCO_OK_2,B135&lt;=MESES),L135+M135+VINC_MES_2,0)</f>
        <v/>
      </c>
      <c r="P135" s="52">
        <f>IF(AND(BANCO_OK_3,B135&lt;=MESES),IF(OR(OF_TIPO_3="Fija",C135&lt;=OF_ANIOS_INI_3),OF_TIN_3,MAX(0,EURIBOR+OF_DIF_3)),0)</f>
        <v/>
      </c>
      <c r="Q135" s="58">
        <f>IF(AND(BANCO_OK_3,B135&lt;=MESES),IF(OR(B135=1,P135&lt;&gt;P134),PMT(P135/1200,MESES-B135+1,-T134),Q134),0)</f>
        <v/>
      </c>
      <c r="R135" s="58">
        <f>T134*P135/1200</f>
        <v/>
      </c>
      <c r="S135" s="58">
        <f>IF(AND(BANCO_OK_3,B135&lt;=MESES),IF(OR(B135=MESES,Q135-R135&gt;T134),T134,Q135-R135),0)</f>
        <v/>
      </c>
      <c r="T135" s="58">
        <f>T134-S135</f>
        <v/>
      </c>
      <c r="U135" s="58">
        <f>IF(AND(BANCO_OK_3,B135&lt;=MESES),R135+S135+VINC_MES_3,0)</f>
        <v/>
      </c>
      <c r="V135" s="52">
        <f>IF(AND(BANCO_OK_4,B135&lt;=MESES),IF(OR(OF_TIPO_4="Fija",C135&lt;=OF_ANIOS_INI_4),OF_TIN_4,MAX(0,EURIBOR+OF_DIF_4)),0)</f>
        <v/>
      </c>
      <c r="W135" s="58">
        <f>IF(AND(BANCO_OK_4,B135&lt;=MESES),IF(OR(B135=1,V135&lt;&gt;V134),PMT(V135/1200,MESES-B135+1,-Z134),W134),0)</f>
        <v/>
      </c>
      <c r="X135" s="58">
        <f>Z134*V135/1200</f>
        <v/>
      </c>
      <c r="Y135" s="58">
        <f>IF(AND(BANCO_OK_4,B135&lt;=MESES),IF(OR(B135=MESES,W135-X135&gt;Z134),Z134,W135-X135),0)</f>
        <v/>
      </c>
      <c r="Z135" s="58">
        <f>Z134-Y135</f>
        <v/>
      </c>
      <c r="AA135" s="58">
        <f>IF(AND(BANCO_OK_4,B135&lt;=MESES),X135+Y135+VINC_MES_4,0)</f>
        <v/>
      </c>
    </row>
    <row r="136">
      <c r="B136" s="56" t="n">
        <v>128</v>
      </c>
      <c r="C136" s="56">
        <f>ROUNDUP(B136/12,0)</f>
        <v/>
      </c>
      <c r="D136" s="52">
        <f>IF(AND(BANCO_OK_1,B136&lt;=MESES),IF(OR(OF_TIPO_1="Fija",C136&lt;=OF_ANIOS_INI_1),OF_TIN_1,MAX(0,EURIBOR+OF_DIF_1)),0)</f>
        <v/>
      </c>
      <c r="E136" s="58">
        <f>IF(AND(BANCO_OK_1,B136&lt;=MESES),IF(OR(B136=1,D136&lt;&gt;D135),PMT(D136/1200,MESES-B136+1,-H135),E135),0)</f>
        <v/>
      </c>
      <c r="F136" s="58">
        <f>H135*D136/1200</f>
        <v/>
      </c>
      <c r="G136" s="58">
        <f>IF(AND(BANCO_OK_1,B136&lt;=MESES),IF(OR(B136=MESES,E136-F136&gt;H135),H135,E136-F136),0)</f>
        <v/>
      </c>
      <c r="H136" s="58">
        <f>H135-G136</f>
        <v/>
      </c>
      <c r="I136" s="58">
        <f>IF(AND(BANCO_OK_1,B136&lt;=MESES),F136+G136+VINC_MES_1,0)</f>
        <v/>
      </c>
      <c r="J136" s="52">
        <f>IF(AND(BANCO_OK_2,B136&lt;=MESES),IF(OR(OF_TIPO_2="Fija",C136&lt;=OF_ANIOS_INI_2),OF_TIN_2,MAX(0,EURIBOR+OF_DIF_2)),0)</f>
        <v/>
      </c>
      <c r="K136" s="58">
        <f>IF(AND(BANCO_OK_2,B136&lt;=MESES),IF(OR(B136=1,J136&lt;&gt;J135),PMT(J136/1200,MESES-B136+1,-N135),K135),0)</f>
        <v/>
      </c>
      <c r="L136" s="58">
        <f>N135*J136/1200</f>
        <v/>
      </c>
      <c r="M136" s="58">
        <f>IF(AND(BANCO_OK_2,B136&lt;=MESES),IF(OR(B136=MESES,K136-L136&gt;N135),N135,K136-L136),0)</f>
        <v/>
      </c>
      <c r="N136" s="58">
        <f>N135-M136</f>
        <v/>
      </c>
      <c r="O136" s="58">
        <f>IF(AND(BANCO_OK_2,B136&lt;=MESES),L136+M136+VINC_MES_2,0)</f>
        <v/>
      </c>
      <c r="P136" s="52">
        <f>IF(AND(BANCO_OK_3,B136&lt;=MESES),IF(OR(OF_TIPO_3="Fija",C136&lt;=OF_ANIOS_INI_3),OF_TIN_3,MAX(0,EURIBOR+OF_DIF_3)),0)</f>
        <v/>
      </c>
      <c r="Q136" s="58">
        <f>IF(AND(BANCO_OK_3,B136&lt;=MESES),IF(OR(B136=1,P136&lt;&gt;P135),PMT(P136/1200,MESES-B136+1,-T135),Q135),0)</f>
        <v/>
      </c>
      <c r="R136" s="58">
        <f>T135*P136/1200</f>
        <v/>
      </c>
      <c r="S136" s="58">
        <f>IF(AND(BANCO_OK_3,B136&lt;=MESES),IF(OR(B136=MESES,Q136-R136&gt;T135),T135,Q136-R136),0)</f>
        <v/>
      </c>
      <c r="T136" s="58">
        <f>T135-S136</f>
        <v/>
      </c>
      <c r="U136" s="58">
        <f>IF(AND(BANCO_OK_3,B136&lt;=MESES),R136+S136+VINC_MES_3,0)</f>
        <v/>
      </c>
      <c r="V136" s="52">
        <f>IF(AND(BANCO_OK_4,B136&lt;=MESES),IF(OR(OF_TIPO_4="Fija",C136&lt;=OF_ANIOS_INI_4),OF_TIN_4,MAX(0,EURIBOR+OF_DIF_4)),0)</f>
        <v/>
      </c>
      <c r="W136" s="58">
        <f>IF(AND(BANCO_OK_4,B136&lt;=MESES),IF(OR(B136=1,V136&lt;&gt;V135),PMT(V136/1200,MESES-B136+1,-Z135),W135),0)</f>
        <v/>
      </c>
      <c r="X136" s="58">
        <f>Z135*V136/1200</f>
        <v/>
      </c>
      <c r="Y136" s="58">
        <f>IF(AND(BANCO_OK_4,B136&lt;=MESES),IF(OR(B136=MESES,W136-X136&gt;Z135),Z135,W136-X136),0)</f>
        <v/>
      </c>
      <c r="Z136" s="58">
        <f>Z135-Y136</f>
        <v/>
      </c>
      <c r="AA136" s="58">
        <f>IF(AND(BANCO_OK_4,B136&lt;=MESES),X136+Y136+VINC_MES_4,0)</f>
        <v/>
      </c>
    </row>
    <row r="137">
      <c r="B137" s="56" t="n">
        <v>129</v>
      </c>
      <c r="C137" s="56">
        <f>ROUNDUP(B137/12,0)</f>
        <v/>
      </c>
      <c r="D137" s="52">
        <f>IF(AND(BANCO_OK_1,B137&lt;=MESES),IF(OR(OF_TIPO_1="Fija",C137&lt;=OF_ANIOS_INI_1),OF_TIN_1,MAX(0,EURIBOR+OF_DIF_1)),0)</f>
        <v/>
      </c>
      <c r="E137" s="58">
        <f>IF(AND(BANCO_OK_1,B137&lt;=MESES),IF(OR(B137=1,D137&lt;&gt;D136),PMT(D137/1200,MESES-B137+1,-H136),E136),0)</f>
        <v/>
      </c>
      <c r="F137" s="58">
        <f>H136*D137/1200</f>
        <v/>
      </c>
      <c r="G137" s="58">
        <f>IF(AND(BANCO_OK_1,B137&lt;=MESES),IF(OR(B137=MESES,E137-F137&gt;H136),H136,E137-F137),0)</f>
        <v/>
      </c>
      <c r="H137" s="58">
        <f>H136-G137</f>
        <v/>
      </c>
      <c r="I137" s="58">
        <f>IF(AND(BANCO_OK_1,B137&lt;=MESES),F137+G137+VINC_MES_1,0)</f>
        <v/>
      </c>
      <c r="J137" s="52">
        <f>IF(AND(BANCO_OK_2,B137&lt;=MESES),IF(OR(OF_TIPO_2="Fija",C137&lt;=OF_ANIOS_INI_2),OF_TIN_2,MAX(0,EURIBOR+OF_DIF_2)),0)</f>
        <v/>
      </c>
      <c r="K137" s="58">
        <f>IF(AND(BANCO_OK_2,B137&lt;=MESES),IF(OR(B137=1,J137&lt;&gt;J136),PMT(J137/1200,MESES-B137+1,-N136),K136),0)</f>
        <v/>
      </c>
      <c r="L137" s="58">
        <f>N136*J137/1200</f>
        <v/>
      </c>
      <c r="M137" s="58">
        <f>IF(AND(BANCO_OK_2,B137&lt;=MESES),IF(OR(B137=MESES,K137-L137&gt;N136),N136,K137-L137),0)</f>
        <v/>
      </c>
      <c r="N137" s="58">
        <f>N136-M137</f>
        <v/>
      </c>
      <c r="O137" s="58">
        <f>IF(AND(BANCO_OK_2,B137&lt;=MESES),L137+M137+VINC_MES_2,0)</f>
        <v/>
      </c>
      <c r="P137" s="52">
        <f>IF(AND(BANCO_OK_3,B137&lt;=MESES),IF(OR(OF_TIPO_3="Fija",C137&lt;=OF_ANIOS_INI_3),OF_TIN_3,MAX(0,EURIBOR+OF_DIF_3)),0)</f>
        <v/>
      </c>
      <c r="Q137" s="58">
        <f>IF(AND(BANCO_OK_3,B137&lt;=MESES),IF(OR(B137=1,P137&lt;&gt;P136),PMT(P137/1200,MESES-B137+1,-T136),Q136),0)</f>
        <v/>
      </c>
      <c r="R137" s="58">
        <f>T136*P137/1200</f>
        <v/>
      </c>
      <c r="S137" s="58">
        <f>IF(AND(BANCO_OK_3,B137&lt;=MESES),IF(OR(B137=MESES,Q137-R137&gt;T136),T136,Q137-R137),0)</f>
        <v/>
      </c>
      <c r="T137" s="58">
        <f>T136-S137</f>
        <v/>
      </c>
      <c r="U137" s="58">
        <f>IF(AND(BANCO_OK_3,B137&lt;=MESES),R137+S137+VINC_MES_3,0)</f>
        <v/>
      </c>
      <c r="V137" s="52">
        <f>IF(AND(BANCO_OK_4,B137&lt;=MESES),IF(OR(OF_TIPO_4="Fija",C137&lt;=OF_ANIOS_INI_4),OF_TIN_4,MAX(0,EURIBOR+OF_DIF_4)),0)</f>
        <v/>
      </c>
      <c r="W137" s="58">
        <f>IF(AND(BANCO_OK_4,B137&lt;=MESES),IF(OR(B137=1,V137&lt;&gt;V136),PMT(V137/1200,MESES-B137+1,-Z136),W136),0)</f>
        <v/>
      </c>
      <c r="X137" s="58">
        <f>Z136*V137/1200</f>
        <v/>
      </c>
      <c r="Y137" s="58">
        <f>IF(AND(BANCO_OK_4,B137&lt;=MESES),IF(OR(B137=MESES,W137-X137&gt;Z136),Z136,W137-X137),0)</f>
        <v/>
      </c>
      <c r="Z137" s="58">
        <f>Z136-Y137</f>
        <v/>
      </c>
      <c r="AA137" s="58">
        <f>IF(AND(BANCO_OK_4,B137&lt;=MESES),X137+Y137+VINC_MES_4,0)</f>
        <v/>
      </c>
    </row>
    <row r="138">
      <c r="B138" s="56" t="n">
        <v>130</v>
      </c>
      <c r="C138" s="56">
        <f>ROUNDUP(B138/12,0)</f>
        <v/>
      </c>
      <c r="D138" s="52">
        <f>IF(AND(BANCO_OK_1,B138&lt;=MESES),IF(OR(OF_TIPO_1="Fija",C138&lt;=OF_ANIOS_INI_1),OF_TIN_1,MAX(0,EURIBOR+OF_DIF_1)),0)</f>
        <v/>
      </c>
      <c r="E138" s="58">
        <f>IF(AND(BANCO_OK_1,B138&lt;=MESES),IF(OR(B138=1,D138&lt;&gt;D137),PMT(D138/1200,MESES-B138+1,-H137),E137),0)</f>
        <v/>
      </c>
      <c r="F138" s="58">
        <f>H137*D138/1200</f>
        <v/>
      </c>
      <c r="G138" s="58">
        <f>IF(AND(BANCO_OK_1,B138&lt;=MESES),IF(OR(B138=MESES,E138-F138&gt;H137),H137,E138-F138),0)</f>
        <v/>
      </c>
      <c r="H138" s="58">
        <f>H137-G138</f>
        <v/>
      </c>
      <c r="I138" s="58">
        <f>IF(AND(BANCO_OK_1,B138&lt;=MESES),F138+G138+VINC_MES_1,0)</f>
        <v/>
      </c>
      <c r="J138" s="52">
        <f>IF(AND(BANCO_OK_2,B138&lt;=MESES),IF(OR(OF_TIPO_2="Fija",C138&lt;=OF_ANIOS_INI_2),OF_TIN_2,MAX(0,EURIBOR+OF_DIF_2)),0)</f>
        <v/>
      </c>
      <c r="K138" s="58">
        <f>IF(AND(BANCO_OK_2,B138&lt;=MESES),IF(OR(B138=1,J138&lt;&gt;J137),PMT(J138/1200,MESES-B138+1,-N137),K137),0)</f>
        <v/>
      </c>
      <c r="L138" s="58">
        <f>N137*J138/1200</f>
        <v/>
      </c>
      <c r="M138" s="58">
        <f>IF(AND(BANCO_OK_2,B138&lt;=MESES),IF(OR(B138=MESES,K138-L138&gt;N137),N137,K138-L138),0)</f>
        <v/>
      </c>
      <c r="N138" s="58">
        <f>N137-M138</f>
        <v/>
      </c>
      <c r="O138" s="58">
        <f>IF(AND(BANCO_OK_2,B138&lt;=MESES),L138+M138+VINC_MES_2,0)</f>
        <v/>
      </c>
      <c r="P138" s="52">
        <f>IF(AND(BANCO_OK_3,B138&lt;=MESES),IF(OR(OF_TIPO_3="Fija",C138&lt;=OF_ANIOS_INI_3),OF_TIN_3,MAX(0,EURIBOR+OF_DIF_3)),0)</f>
        <v/>
      </c>
      <c r="Q138" s="58">
        <f>IF(AND(BANCO_OK_3,B138&lt;=MESES),IF(OR(B138=1,P138&lt;&gt;P137),PMT(P138/1200,MESES-B138+1,-T137),Q137),0)</f>
        <v/>
      </c>
      <c r="R138" s="58">
        <f>T137*P138/1200</f>
        <v/>
      </c>
      <c r="S138" s="58">
        <f>IF(AND(BANCO_OK_3,B138&lt;=MESES),IF(OR(B138=MESES,Q138-R138&gt;T137),T137,Q138-R138),0)</f>
        <v/>
      </c>
      <c r="T138" s="58">
        <f>T137-S138</f>
        <v/>
      </c>
      <c r="U138" s="58">
        <f>IF(AND(BANCO_OK_3,B138&lt;=MESES),R138+S138+VINC_MES_3,0)</f>
        <v/>
      </c>
      <c r="V138" s="52">
        <f>IF(AND(BANCO_OK_4,B138&lt;=MESES),IF(OR(OF_TIPO_4="Fija",C138&lt;=OF_ANIOS_INI_4),OF_TIN_4,MAX(0,EURIBOR+OF_DIF_4)),0)</f>
        <v/>
      </c>
      <c r="W138" s="58">
        <f>IF(AND(BANCO_OK_4,B138&lt;=MESES),IF(OR(B138=1,V138&lt;&gt;V137),PMT(V138/1200,MESES-B138+1,-Z137),W137),0)</f>
        <v/>
      </c>
      <c r="X138" s="58">
        <f>Z137*V138/1200</f>
        <v/>
      </c>
      <c r="Y138" s="58">
        <f>IF(AND(BANCO_OK_4,B138&lt;=MESES),IF(OR(B138=MESES,W138-X138&gt;Z137),Z137,W138-X138),0)</f>
        <v/>
      </c>
      <c r="Z138" s="58">
        <f>Z137-Y138</f>
        <v/>
      </c>
      <c r="AA138" s="58">
        <f>IF(AND(BANCO_OK_4,B138&lt;=MESES),X138+Y138+VINC_MES_4,0)</f>
        <v/>
      </c>
    </row>
    <row r="139">
      <c r="B139" s="56" t="n">
        <v>131</v>
      </c>
      <c r="C139" s="56">
        <f>ROUNDUP(B139/12,0)</f>
        <v/>
      </c>
      <c r="D139" s="52">
        <f>IF(AND(BANCO_OK_1,B139&lt;=MESES),IF(OR(OF_TIPO_1="Fija",C139&lt;=OF_ANIOS_INI_1),OF_TIN_1,MAX(0,EURIBOR+OF_DIF_1)),0)</f>
        <v/>
      </c>
      <c r="E139" s="58">
        <f>IF(AND(BANCO_OK_1,B139&lt;=MESES),IF(OR(B139=1,D139&lt;&gt;D138),PMT(D139/1200,MESES-B139+1,-H138),E138),0)</f>
        <v/>
      </c>
      <c r="F139" s="58">
        <f>H138*D139/1200</f>
        <v/>
      </c>
      <c r="G139" s="58">
        <f>IF(AND(BANCO_OK_1,B139&lt;=MESES),IF(OR(B139=MESES,E139-F139&gt;H138),H138,E139-F139),0)</f>
        <v/>
      </c>
      <c r="H139" s="58">
        <f>H138-G139</f>
        <v/>
      </c>
      <c r="I139" s="58">
        <f>IF(AND(BANCO_OK_1,B139&lt;=MESES),F139+G139+VINC_MES_1,0)</f>
        <v/>
      </c>
      <c r="J139" s="52">
        <f>IF(AND(BANCO_OK_2,B139&lt;=MESES),IF(OR(OF_TIPO_2="Fija",C139&lt;=OF_ANIOS_INI_2),OF_TIN_2,MAX(0,EURIBOR+OF_DIF_2)),0)</f>
        <v/>
      </c>
      <c r="K139" s="58">
        <f>IF(AND(BANCO_OK_2,B139&lt;=MESES),IF(OR(B139=1,J139&lt;&gt;J138),PMT(J139/1200,MESES-B139+1,-N138),K138),0)</f>
        <v/>
      </c>
      <c r="L139" s="58">
        <f>N138*J139/1200</f>
        <v/>
      </c>
      <c r="M139" s="58">
        <f>IF(AND(BANCO_OK_2,B139&lt;=MESES),IF(OR(B139=MESES,K139-L139&gt;N138),N138,K139-L139),0)</f>
        <v/>
      </c>
      <c r="N139" s="58">
        <f>N138-M139</f>
        <v/>
      </c>
      <c r="O139" s="58">
        <f>IF(AND(BANCO_OK_2,B139&lt;=MESES),L139+M139+VINC_MES_2,0)</f>
        <v/>
      </c>
      <c r="P139" s="52">
        <f>IF(AND(BANCO_OK_3,B139&lt;=MESES),IF(OR(OF_TIPO_3="Fija",C139&lt;=OF_ANIOS_INI_3),OF_TIN_3,MAX(0,EURIBOR+OF_DIF_3)),0)</f>
        <v/>
      </c>
      <c r="Q139" s="58">
        <f>IF(AND(BANCO_OK_3,B139&lt;=MESES),IF(OR(B139=1,P139&lt;&gt;P138),PMT(P139/1200,MESES-B139+1,-T138),Q138),0)</f>
        <v/>
      </c>
      <c r="R139" s="58">
        <f>T138*P139/1200</f>
        <v/>
      </c>
      <c r="S139" s="58">
        <f>IF(AND(BANCO_OK_3,B139&lt;=MESES),IF(OR(B139=MESES,Q139-R139&gt;T138),T138,Q139-R139),0)</f>
        <v/>
      </c>
      <c r="T139" s="58">
        <f>T138-S139</f>
        <v/>
      </c>
      <c r="U139" s="58">
        <f>IF(AND(BANCO_OK_3,B139&lt;=MESES),R139+S139+VINC_MES_3,0)</f>
        <v/>
      </c>
      <c r="V139" s="52">
        <f>IF(AND(BANCO_OK_4,B139&lt;=MESES),IF(OR(OF_TIPO_4="Fija",C139&lt;=OF_ANIOS_INI_4),OF_TIN_4,MAX(0,EURIBOR+OF_DIF_4)),0)</f>
        <v/>
      </c>
      <c r="W139" s="58">
        <f>IF(AND(BANCO_OK_4,B139&lt;=MESES),IF(OR(B139=1,V139&lt;&gt;V138),PMT(V139/1200,MESES-B139+1,-Z138),W138),0)</f>
        <v/>
      </c>
      <c r="X139" s="58">
        <f>Z138*V139/1200</f>
        <v/>
      </c>
      <c r="Y139" s="58">
        <f>IF(AND(BANCO_OK_4,B139&lt;=MESES),IF(OR(B139=MESES,W139-X139&gt;Z138),Z138,W139-X139),0)</f>
        <v/>
      </c>
      <c r="Z139" s="58">
        <f>Z138-Y139</f>
        <v/>
      </c>
      <c r="AA139" s="58">
        <f>IF(AND(BANCO_OK_4,B139&lt;=MESES),X139+Y139+VINC_MES_4,0)</f>
        <v/>
      </c>
    </row>
    <row r="140">
      <c r="B140" s="56" t="n">
        <v>132</v>
      </c>
      <c r="C140" s="56">
        <f>ROUNDUP(B140/12,0)</f>
        <v/>
      </c>
      <c r="D140" s="52">
        <f>IF(AND(BANCO_OK_1,B140&lt;=MESES),IF(OR(OF_TIPO_1="Fija",C140&lt;=OF_ANIOS_INI_1),OF_TIN_1,MAX(0,EURIBOR+OF_DIF_1)),0)</f>
        <v/>
      </c>
      <c r="E140" s="58">
        <f>IF(AND(BANCO_OK_1,B140&lt;=MESES),IF(OR(B140=1,D140&lt;&gt;D139),PMT(D140/1200,MESES-B140+1,-H139),E139),0)</f>
        <v/>
      </c>
      <c r="F140" s="58">
        <f>H139*D140/1200</f>
        <v/>
      </c>
      <c r="G140" s="58">
        <f>IF(AND(BANCO_OK_1,B140&lt;=MESES),IF(OR(B140=MESES,E140-F140&gt;H139),H139,E140-F140),0)</f>
        <v/>
      </c>
      <c r="H140" s="58">
        <f>H139-G140</f>
        <v/>
      </c>
      <c r="I140" s="58">
        <f>IF(AND(BANCO_OK_1,B140&lt;=MESES),F140+G140+VINC_MES_1,0)</f>
        <v/>
      </c>
      <c r="J140" s="52">
        <f>IF(AND(BANCO_OK_2,B140&lt;=MESES),IF(OR(OF_TIPO_2="Fija",C140&lt;=OF_ANIOS_INI_2),OF_TIN_2,MAX(0,EURIBOR+OF_DIF_2)),0)</f>
        <v/>
      </c>
      <c r="K140" s="58">
        <f>IF(AND(BANCO_OK_2,B140&lt;=MESES),IF(OR(B140=1,J140&lt;&gt;J139),PMT(J140/1200,MESES-B140+1,-N139),K139),0)</f>
        <v/>
      </c>
      <c r="L140" s="58">
        <f>N139*J140/1200</f>
        <v/>
      </c>
      <c r="M140" s="58">
        <f>IF(AND(BANCO_OK_2,B140&lt;=MESES),IF(OR(B140=MESES,K140-L140&gt;N139),N139,K140-L140),0)</f>
        <v/>
      </c>
      <c r="N140" s="58">
        <f>N139-M140</f>
        <v/>
      </c>
      <c r="O140" s="58">
        <f>IF(AND(BANCO_OK_2,B140&lt;=MESES),L140+M140+VINC_MES_2,0)</f>
        <v/>
      </c>
      <c r="P140" s="52">
        <f>IF(AND(BANCO_OK_3,B140&lt;=MESES),IF(OR(OF_TIPO_3="Fija",C140&lt;=OF_ANIOS_INI_3),OF_TIN_3,MAX(0,EURIBOR+OF_DIF_3)),0)</f>
        <v/>
      </c>
      <c r="Q140" s="58">
        <f>IF(AND(BANCO_OK_3,B140&lt;=MESES),IF(OR(B140=1,P140&lt;&gt;P139),PMT(P140/1200,MESES-B140+1,-T139),Q139),0)</f>
        <v/>
      </c>
      <c r="R140" s="58">
        <f>T139*P140/1200</f>
        <v/>
      </c>
      <c r="S140" s="58">
        <f>IF(AND(BANCO_OK_3,B140&lt;=MESES),IF(OR(B140=MESES,Q140-R140&gt;T139),T139,Q140-R140),0)</f>
        <v/>
      </c>
      <c r="T140" s="58">
        <f>T139-S140</f>
        <v/>
      </c>
      <c r="U140" s="58">
        <f>IF(AND(BANCO_OK_3,B140&lt;=MESES),R140+S140+VINC_MES_3,0)</f>
        <v/>
      </c>
      <c r="V140" s="52">
        <f>IF(AND(BANCO_OK_4,B140&lt;=MESES),IF(OR(OF_TIPO_4="Fija",C140&lt;=OF_ANIOS_INI_4),OF_TIN_4,MAX(0,EURIBOR+OF_DIF_4)),0)</f>
        <v/>
      </c>
      <c r="W140" s="58">
        <f>IF(AND(BANCO_OK_4,B140&lt;=MESES),IF(OR(B140=1,V140&lt;&gt;V139),PMT(V140/1200,MESES-B140+1,-Z139),W139),0)</f>
        <v/>
      </c>
      <c r="X140" s="58">
        <f>Z139*V140/1200</f>
        <v/>
      </c>
      <c r="Y140" s="58">
        <f>IF(AND(BANCO_OK_4,B140&lt;=MESES),IF(OR(B140=MESES,W140-X140&gt;Z139),Z139,W140-X140),0)</f>
        <v/>
      </c>
      <c r="Z140" s="58">
        <f>Z139-Y140</f>
        <v/>
      </c>
      <c r="AA140" s="58">
        <f>IF(AND(BANCO_OK_4,B140&lt;=MESES),X140+Y140+VINC_MES_4,0)</f>
        <v/>
      </c>
    </row>
    <row r="141">
      <c r="B141" s="56" t="n">
        <v>133</v>
      </c>
      <c r="C141" s="56">
        <f>ROUNDUP(B141/12,0)</f>
        <v/>
      </c>
      <c r="D141" s="52">
        <f>IF(AND(BANCO_OK_1,B141&lt;=MESES),IF(OR(OF_TIPO_1="Fija",C141&lt;=OF_ANIOS_INI_1),OF_TIN_1,MAX(0,EURIBOR+OF_DIF_1)),0)</f>
        <v/>
      </c>
      <c r="E141" s="58">
        <f>IF(AND(BANCO_OK_1,B141&lt;=MESES),IF(OR(B141=1,D141&lt;&gt;D140),PMT(D141/1200,MESES-B141+1,-H140),E140),0)</f>
        <v/>
      </c>
      <c r="F141" s="58">
        <f>H140*D141/1200</f>
        <v/>
      </c>
      <c r="G141" s="58">
        <f>IF(AND(BANCO_OK_1,B141&lt;=MESES),IF(OR(B141=MESES,E141-F141&gt;H140),H140,E141-F141),0)</f>
        <v/>
      </c>
      <c r="H141" s="58">
        <f>H140-G141</f>
        <v/>
      </c>
      <c r="I141" s="58">
        <f>IF(AND(BANCO_OK_1,B141&lt;=MESES),F141+G141+VINC_MES_1,0)</f>
        <v/>
      </c>
      <c r="J141" s="52">
        <f>IF(AND(BANCO_OK_2,B141&lt;=MESES),IF(OR(OF_TIPO_2="Fija",C141&lt;=OF_ANIOS_INI_2),OF_TIN_2,MAX(0,EURIBOR+OF_DIF_2)),0)</f>
        <v/>
      </c>
      <c r="K141" s="58">
        <f>IF(AND(BANCO_OK_2,B141&lt;=MESES),IF(OR(B141=1,J141&lt;&gt;J140),PMT(J141/1200,MESES-B141+1,-N140),K140),0)</f>
        <v/>
      </c>
      <c r="L141" s="58">
        <f>N140*J141/1200</f>
        <v/>
      </c>
      <c r="M141" s="58">
        <f>IF(AND(BANCO_OK_2,B141&lt;=MESES),IF(OR(B141=MESES,K141-L141&gt;N140),N140,K141-L141),0)</f>
        <v/>
      </c>
      <c r="N141" s="58">
        <f>N140-M141</f>
        <v/>
      </c>
      <c r="O141" s="58">
        <f>IF(AND(BANCO_OK_2,B141&lt;=MESES),L141+M141+VINC_MES_2,0)</f>
        <v/>
      </c>
      <c r="P141" s="52">
        <f>IF(AND(BANCO_OK_3,B141&lt;=MESES),IF(OR(OF_TIPO_3="Fija",C141&lt;=OF_ANIOS_INI_3),OF_TIN_3,MAX(0,EURIBOR+OF_DIF_3)),0)</f>
        <v/>
      </c>
      <c r="Q141" s="58">
        <f>IF(AND(BANCO_OK_3,B141&lt;=MESES),IF(OR(B141=1,P141&lt;&gt;P140),PMT(P141/1200,MESES-B141+1,-T140),Q140),0)</f>
        <v/>
      </c>
      <c r="R141" s="58">
        <f>T140*P141/1200</f>
        <v/>
      </c>
      <c r="S141" s="58">
        <f>IF(AND(BANCO_OK_3,B141&lt;=MESES),IF(OR(B141=MESES,Q141-R141&gt;T140),T140,Q141-R141),0)</f>
        <v/>
      </c>
      <c r="T141" s="58">
        <f>T140-S141</f>
        <v/>
      </c>
      <c r="U141" s="58">
        <f>IF(AND(BANCO_OK_3,B141&lt;=MESES),R141+S141+VINC_MES_3,0)</f>
        <v/>
      </c>
      <c r="V141" s="52">
        <f>IF(AND(BANCO_OK_4,B141&lt;=MESES),IF(OR(OF_TIPO_4="Fija",C141&lt;=OF_ANIOS_INI_4),OF_TIN_4,MAX(0,EURIBOR+OF_DIF_4)),0)</f>
        <v/>
      </c>
      <c r="W141" s="58">
        <f>IF(AND(BANCO_OK_4,B141&lt;=MESES),IF(OR(B141=1,V141&lt;&gt;V140),PMT(V141/1200,MESES-B141+1,-Z140),W140),0)</f>
        <v/>
      </c>
      <c r="X141" s="58">
        <f>Z140*V141/1200</f>
        <v/>
      </c>
      <c r="Y141" s="58">
        <f>IF(AND(BANCO_OK_4,B141&lt;=MESES),IF(OR(B141=MESES,W141-X141&gt;Z140),Z140,W141-X141),0)</f>
        <v/>
      </c>
      <c r="Z141" s="58">
        <f>Z140-Y141</f>
        <v/>
      </c>
      <c r="AA141" s="58">
        <f>IF(AND(BANCO_OK_4,B141&lt;=MESES),X141+Y141+VINC_MES_4,0)</f>
        <v/>
      </c>
    </row>
    <row r="142">
      <c r="B142" s="56" t="n">
        <v>134</v>
      </c>
      <c r="C142" s="56">
        <f>ROUNDUP(B142/12,0)</f>
        <v/>
      </c>
      <c r="D142" s="52">
        <f>IF(AND(BANCO_OK_1,B142&lt;=MESES),IF(OR(OF_TIPO_1="Fija",C142&lt;=OF_ANIOS_INI_1),OF_TIN_1,MAX(0,EURIBOR+OF_DIF_1)),0)</f>
        <v/>
      </c>
      <c r="E142" s="58">
        <f>IF(AND(BANCO_OK_1,B142&lt;=MESES),IF(OR(B142=1,D142&lt;&gt;D141),PMT(D142/1200,MESES-B142+1,-H141),E141),0)</f>
        <v/>
      </c>
      <c r="F142" s="58">
        <f>H141*D142/1200</f>
        <v/>
      </c>
      <c r="G142" s="58">
        <f>IF(AND(BANCO_OK_1,B142&lt;=MESES),IF(OR(B142=MESES,E142-F142&gt;H141),H141,E142-F142),0)</f>
        <v/>
      </c>
      <c r="H142" s="58">
        <f>H141-G142</f>
        <v/>
      </c>
      <c r="I142" s="58">
        <f>IF(AND(BANCO_OK_1,B142&lt;=MESES),F142+G142+VINC_MES_1,0)</f>
        <v/>
      </c>
      <c r="J142" s="52">
        <f>IF(AND(BANCO_OK_2,B142&lt;=MESES),IF(OR(OF_TIPO_2="Fija",C142&lt;=OF_ANIOS_INI_2),OF_TIN_2,MAX(0,EURIBOR+OF_DIF_2)),0)</f>
        <v/>
      </c>
      <c r="K142" s="58">
        <f>IF(AND(BANCO_OK_2,B142&lt;=MESES),IF(OR(B142=1,J142&lt;&gt;J141),PMT(J142/1200,MESES-B142+1,-N141),K141),0)</f>
        <v/>
      </c>
      <c r="L142" s="58">
        <f>N141*J142/1200</f>
        <v/>
      </c>
      <c r="M142" s="58">
        <f>IF(AND(BANCO_OK_2,B142&lt;=MESES),IF(OR(B142=MESES,K142-L142&gt;N141),N141,K142-L142),0)</f>
        <v/>
      </c>
      <c r="N142" s="58">
        <f>N141-M142</f>
        <v/>
      </c>
      <c r="O142" s="58">
        <f>IF(AND(BANCO_OK_2,B142&lt;=MESES),L142+M142+VINC_MES_2,0)</f>
        <v/>
      </c>
      <c r="P142" s="52">
        <f>IF(AND(BANCO_OK_3,B142&lt;=MESES),IF(OR(OF_TIPO_3="Fija",C142&lt;=OF_ANIOS_INI_3),OF_TIN_3,MAX(0,EURIBOR+OF_DIF_3)),0)</f>
        <v/>
      </c>
      <c r="Q142" s="58">
        <f>IF(AND(BANCO_OK_3,B142&lt;=MESES),IF(OR(B142=1,P142&lt;&gt;P141),PMT(P142/1200,MESES-B142+1,-T141),Q141),0)</f>
        <v/>
      </c>
      <c r="R142" s="58">
        <f>T141*P142/1200</f>
        <v/>
      </c>
      <c r="S142" s="58">
        <f>IF(AND(BANCO_OK_3,B142&lt;=MESES),IF(OR(B142=MESES,Q142-R142&gt;T141),T141,Q142-R142),0)</f>
        <v/>
      </c>
      <c r="T142" s="58">
        <f>T141-S142</f>
        <v/>
      </c>
      <c r="U142" s="58">
        <f>IF(AND(BANCO_OK_3,B142&lt;=MESES),R142+S142+VINC_MES_3,0)</f>
        <v/>
      </c>
      <c r="V142" s="52">
        <f>IF(AND(BANCO_OK_4,B142&lt;=MESES),IF(OR(OF_TIPO_4="Fija",C142&lt;=OF_ANIOS_INI_4),OF_TIN_4,MAX(0,EURIBOR+OF_DIF_4)),0)</f>
        <v/>
      </c>
      <c r="W142" s="58">
        <f>IF(AND(BANCO_OK_4,B142&lt;=MESES),IF(OR(B142=1,V142&lt;&gt;V141),PMT(V142/1200,MESES-B142+1,-Z141),W141),0)</f>
        <v/>
      </c>
      <c r="X142" s="58">
        <f>Z141*V142/1200</f>
        <v/>
      </c>
      <c r="Y142" s="58">
        <f>IF(AND(BANCO_OK_4,B142&lt;=MESES),IF(OR(B142=MESES,W142-X142&gt;Z141),Z141,W142-X142),0)</f>
        <v/>
      </c>
      <c r="Z142" s="58">
        <f>Z141-Y142</f>
        <v/>
      </c>
      <c r="AA142" s="58">
        <f>IF(AND(BANCO_OK_4,B142&lt;=MESES),X142+Y142+VINC_MES_4,0)</f>
        <v/>
      </c>
    </row>
    <row r="143">
      <c r="B143" s="56" t="n">
        <v>135</v>
      </c>
      <c r="C143" s="56">
        <f>ROUNDUP(B143/12,0)</f>
        <v/>
      </c>
      <c r="D143" s="52">
        <f>IF(AND(BANCO_OK_1,B143&lt;=MESES),IF(OR(OF_TIPO_1="Fija",C143&lt;=OF_ANIOS_INI_1),OF_TIN_1,MAX(0,EURIBOR+OF_DIF_1)),0)</f>
        <v/>
      </c>
      <c r="E143" s="58">
        <f>IF(AND(BANCO_OK_1,B143&lt;=MESES),IF(OR(B143=1,D143&lt;&gt;D142),PMT(D143/1200,MESES-B143+1,-H142),E142),0)</f>
        <v/>
      </c>
      <c r="F143" s="58">
        <f>H142*D143/1200</f>
        <v/>
      </c>
      <c r="G143" s="58">
        <f>IF(AND(BANCO_OK_1,B143&lt;=MESES),IF(OR(B143=MESES,E143-F143&gt;H142),H142,E143-F143),0)</f>
        <v/>
      </c>
      <c r="H143" s="58">
        <f>H142-G143</f>
        <v/>
      </c>
      <c r="I143" s="58">
        <f>IF(AND(BANCO_OK_1,B143&lt;=MESES),F143+G143+VINC_MES_1,0)</f>
        <v/>
      </c>
      <c r="J143" s="52">
        <f>IF(AND(BANCO_OK_2,B143&lt;=MESES),IF(OR(OF_TIPO_2="Fija",C143&lt;=OF_ANIOS_INI_2),OF_TIN_2,MAX(0,EURIBOR+OF_DIF_2)),0)</f>
        <v/>
      </c>
      <c r="K143" s="58">
        <f>IF(AND(BANCO_OK_2,B143&lt;=MESES),IF(OR(B143=1,J143&lt;&gt;J142),PMT(J143/1200,MESES-B143+1,-N142),K142),0)</f>
        <v/>
      </c>
      <c r="L143" s="58">
        <f>N142*J143/1200</f>
        <v/>
      </c>
      <c r="M143" s="58">
        <f>IF(AND(BANCO_OK_2,B143&lt;=MESES),IF(OR(B143=MESES,K143-L143&gt;N142),N142,K143-L143),0)</f>
        <v/>
      </c>
      <c r="N143" s="58">
        <f>N142-M143</f>
        <v/>
      </c>
      <c r="O143" s="58">
        <f>IF(AND(BANCO_OK_2,B143&lt;=MESES),L143+M143+VINC_MES_2,0)</f>
        <v/>
      </c>
      <c r="P143" s="52">
        <f>IF(AND(BANCO_OK_3,B143&lt;=MESES),IF(OR(OF_TIPO_3="Fija",C143&lt;=OF_ANIOS_INI_3),OF_TIN_3,MAX(0,EURIBOR+OF_DIF_3)),0)</f>
        <v/>
      </c>
      <c r="Q143" s="58">
        <f>IF(AND(BANCO_OK_3,B143&lt;=MESES),IF(OR(B143=1,P143&lt;&gt;P142),PMT(P143/1200,MESES-B143+1,-T142),Q142),0)</f>
        <v/>
      </c>
      <c r="R143" s="58">
        <f>T142*P143/1200</f>
        <v/>
      </c>
      <c r="S143" s="58">
        <f>IF(AND(BANCO_OK_3,B143&lt;=MESES),IF(OR(B143=MESES,Q143-R143&gt;T142),T142,Q143-R143),0)</f>
        <v/>
      </c>
      <c r="T143" s="58">
        <f>T142-S143</f>
        <v/>
      </c>
      <c r="U143" s="58">
        <f>IF(AND(BANCO_OK_3,B143&lt;=MESES),R143+S143+VINC_MES_3,0)</f>
        <v/>
      </c>
      <c r="V143" s="52">
        <f>IF(AND(BANCO_OK_4,B143&lt;=MESES),IF(OR(OF_TIPO_4="Fija",C143&lt;=OF_ANIOS_INI_4),OF_TIN_4,MAX(0,EURIBOR+OF_DIF_4)),0)</f>
        <v/>
      </c>
      <c r="W143" s="58">
        <f>IF(AND(BANCO_OK_4,B143&lt;=MESES),IF(OR(B143=1,V143&lt;&gt;V142),PMT(V143/1200,MESES-B143+1,-Z142),W142),0)</f>
        <v/>
      </c>
      <c r="X143" s="58">
        <f>Z142*V143/1200</f>
        <v/>
      </c>
      <c r="Y143" s="58">
        <f>IF(AND(BANCO_OK_4,B143&lt;=MESES),IF(OR(B143=MESES,W143-X143&gt;Z142),Z142,W143-X143),0)</f>
        <v/>
      </c>
      <c r="Z143" s="58">
        <f>Z142-Y143</f>
        <v/>
      </c>
      <c r="AA143" s="58">
        <f>IF(AND(BANCO_OK_4,B143&lt;=MESES),X143+Y143+VINC_MES_4,0)</f>
        <v/>
      </c>
    </row>
    <row r="144">
      <c r="B144" s="56" t="n">
        <v>136</v>
      </c>
      <c r="C144" s="56">
        <f>ROUNDUP(B144/12,0)</f>
        <v/>
      </c>
      <c r="D144" s="52">
        <f>IF(AND(BANCO_OK_1,B144&lt;=MESES),IF(OR(OF_TIPO_1="Fija",C144&lt;=OF_ANIOS_INI_1),OF_TIN_1,MAX(0,EURIBOR+OF_DIF_1)),0)</f>
        <v/>
      </c>
      <c r="E144" s="58">
        <f>IF(AND(BANCO_OK_1,B144&lt;=MESES),IF(OR(B144=1,D144&lt;&gt;D143),PMT(D144/1200,MESES-B144+1,-H143),E143),0)</f>
        <v/>
      </c>
      <c r="F144" s="58">
        <f>H143*D144/1200</f>
        <v/>
      </c>
      <c r="G144" s="58">
        <f>IF(AND(BANCO_OK_1,B144&lt;=MESES),IF(OR(B144=MESES,E144-F144&gt;H143),H143,E144-F144),0)</f>
        <v/>
      </c>
      <c r="H144" s="58">
        <f>H143-G144</f>
        <v/>
      </c>
      <c r="I144" s="58">
        <f>IF(AND(BANCO_OK_1,B144&lt;=MESES),F144+G144+VINC_MES_1,0)</f>
        <v/>
      </c>
      <c r="J144" s="52">
        <f>IF(AND(BANCO_OK_2,B144&lt;=MESES),IF(OR(OF_TIPO_2="Fija",C144&lt;=OF_ANIOS_INI_2),OF_TIN_2,MAX(0,EURIBOR+OF_DIF_2)),0)</f>
        <v/>
      </c>
      <c r="K144" s="58">
        <f>IF(AND(BANCO_OK_2,B144&lt;=MESES),IF(OR(B144=1,J144&lt;&gt;J143),PMT(J144/1200,MESES-B144+1,-N143),K143),0)</f>
        <v/>
      </c>
      <c r="L144" s="58">
        <f>N143*J144/1200</f>
        <v/>
      </c>
      <c r="M144" s="58">
        <f>IF(AND(BANCO_OK_2,B144&lt;=MESES),IF(OR(B144=MESES,K144-L144&gt;N143),N143,K144-L144),0)</f>
        <v/>
      </c>
      <c r="N144" s="58">
        <f>N143-M144</f>
        <v/>
      </c>
      <c r="O144" s="58">
        <f>IF(AND(BANCO_OK_2,B144&lt;=MESES),L144+M144+VINC_MES_2,0)</f>
        <v/>
      </c>
      <c r="P144" s="52">
        <f>IF(AND(BANCO_OK_3,B144&lt;=MESES),IF(OR(OF_TIPO_3="Fija",C144&lt;=OF_ANIOS_INI_3),OF_TIN_3,MAX(0,EURIBOR+OF_DIF_3)),0)</f>
        <v/>
      </c>
      <c r="Q144" s="58">
        <f>IF(AND(BANCO_OK_3,B144&lt;=MESES),IF(OR(B144=1,P144&lt;&gt;P143),PMT(P144/1200,MESES-B144+1,-T143),Q143),0)</f>
        <v/>
      </c>
      <c r="R144" s="58">
        <f>T143*P144/1200</f>
        <v/>
      </c>
      <c r="S144" s="58">
        <f>IF(AND(BANCO_OK_3,B144&lt;=MESES),IF(OR(B144=MESES,Q144-R144&gt;T143),T143,Q144-R144),0)</f>
        <v/>
      </c>
      <c r="T144" s="58">
        <f>T143-S144</f>
        <v/>
      </c>
      <c r="U144" s="58">
        <f>IF(AND(BANCO_OK_3,B144&lt;=MESES),R144+S144+VINC_MES_3,0)</f>
        <v/>
      </c>
      <c r="V144" s="52">
        <f>IF(AND(BANCO_OK_4,B144&lt;=MESES),IF(OR(OF_TIPO_4="Fija",C144&lt;=OF_ANIOS_INI_4),OF_TIN_4,MAX(0,EURIBOR+OF_DIF_4)),0)</f>
        <v/>
      </c>
      <c r="W144" s="58">
        <f>IF(AND(BANCO_OK_4,B144&lt;=MESES),IF(OR(B144=1,V144&lt;&gt;V143),PMT(V144/1200,MESES-B144+1,-Z143),W143),0)</f>
        <v/>
      </c>
      <c r="X144" s="58">
        <f>Z143*V144/1200</f>
        <v/>
      </c>
      <c r="Y144" s="58">
        <f>IF(AND(BANCO_OK_4,B144&lt;=MESES),IF(OR(B144=MESES,W144-X144&gt;Z143),Z143,W144-X144),0)</f>
        <v/>
      </c>
      <c r="Z144" s="58">
        <f>Z143-Y144</f>
        <v/>
      </c>
      <c r="AA144" s="58">
        <f>IF(AND(BANCO_OK_4,B144&lt;=MESES),X144+Y144+VINC_MES_4,0)</f>
        <v/>
      </c>
    </row>
    <row r="145">
      <c r="B145" s="56" t="n">
        <v>137</v>
      </c>
      <c r="C145" s="56">
        <f>ROUNDUP(B145/12,0)</f>
        <v/>
      </c>
      <c r="D145" s="52">
        <f>IF(AND(BANCO_OK_1,B145&lt;=MESES),IF(OR(OF_TIPO_1="Fija",C145&lt;=OF_ANIOS_INI_1),OF_TIN_1,MAX(0,EURIBOR+OF_DIF_1)),0)</f>
        <v/>
      </c>
      <c r="E145" s="58">
        <f>IF(AND(BANCO_OK_1,B145&lt;=MESES),IF(OR(B145=1,D145&lt;&gt;D144),PMT(D145/1200,MESES-B145+1,-H144),E144),0)</f>
        <v/>
      </c>
      <c r="F145" s="58">
        <f>H144*D145/1200</f>
        <v/>
      </c>
      <c r="G145" s="58">
        <f>IF(AND(BANCO_OK_1,B145&lt;=MESES),IF(OR(B145=MESES,E145-F145&gt;H144),H144,E145-F145),0)</f>
        <v/>
      </c>
      <c r="H145" s="58">
        <f>H144-G145</f>
        <v/>
      </c>
      <c r="I145" s="58">
        <f>IF(AND(BANCO_OK_1,B145&lt;=MESES),F145+G145+VINC_MES_1,0)</f>
        <v/>
      </c>
      <c r="J145" s="52">
        <f>IF(AND(BANCO_OK_2,B145&lt;=MESES),IF(OR(OF_TIPO_2="Fija",C145&lt;=OF_ANIOS_INI_2),OF_TIN_2,MAX(0,EURIBOR+OF_DIF_2)),0)</f>
        <v/>
      </c>
      <c r="K145" s="58">
        <f>IF(AND(BANCO_OK_2,B145&lt;=MESES),IF(OR(B145=1,J145&lt;&gt;J144),PMT(J145/1200,MESES-B145+1,-N144),K144),0)</f>
        <v/>
      </c>
      <c r="L145" s="58">
        <f>N144*J145/1200</f>
        <v/>
      </c>
      <c r="M145" s="58">
        <f>IF(AND(BANCO_OK_2,B145&lt;=MESES),IF(OR(B145=MESES,K145-L145&gt;N144),N144,K145-L145),0)</f>
        <v/>
      </c>
      <c r="N145" s="58">
        <f>N144-M145</f>
        <v/>
      </c>
      <c r="O145" s="58">
        <f>IF(AND(BANCO_OK_2,B145&lt;=MESES),L145+M145+VINC_MES_2,0)</f>
        <v/>
      </c>
      <c r="P145" s="52">
        <f>IF(AND(BANCO_OK_3,B145&lt;=MESES),IF(OR(OF_TIPO_3="Fija",C145&lt;=OF_ANIOS_INI_3),OF_TIN_3,MAX(0,EURIBOR+OF_DIF_3)),0)</f>
        <v/>
      </c>
      <c r="Q145" s="58">
        <f>IF(AND(BANCO_OK_3,B145&lt;=MESES),IF(OR(B145=1,P145&lt;&gt;P144),PMT(P145/1200,MESES-B145+1,-T144),Q144),0)</f>
        <v/>
      </c>
      <c r="R145" s="58">
        <f>T144*P145/1200</f>
        <v/>
      </c>
      <c r="S145" s="58">
        <f>IF(AND(BANCO_OK_3,B145&lt;=MESES),IF(OR(B145=MESES,Q145-R145&gt;T144),T144,Q145-R145),0)</f>
        <v/>
      </c>
      <c r="T145" s="58">
        <f>T144-S145</f>
        <v/>
      </c>
      <c r="U145" s="58">
        <f>IF(AND(BANCO_OK_3,B145&lt;=MESES),R145+S145+VINC_MES_3,0)</f>
        <v/>
      </c>
      <c r="V145" s="52">
        <f>IF(AND(BANCO_OK_4,B145&lt;=MESES),IF(OR(OF_TIPO_4="Fija",C145&lt;=OF_ANIOS_INI_4),OF_TIN_4,MAX(0,EURIBOR+OF_DIF_4)),0)</f>
        <v/>
      </c>
      <c r="W145" s="58">
        <f>IF(AND(BANCO_OK_4,B145&lt;=MESES),IF(OR(B145=1,V145&lt;&gt;V144),PMT(V145/1200,MESES-B145+1,-Z144),W144),0)</f>
        <v/>
      </c>
      <c r="X145" s="58">
        <f>Z144*V145/1200</f>
        <v/>
      </c>
      <c r="Y145" s="58">
        <f>IF(AND(BANCO_OK_4,B145&lt;=MESES),IF(OR(B145=MESES,W145-X145&gt;Z144),Z144,W145-X145),0)</f>
        <v/>
      </c>
      <c r="Z145" s="58">
        <f>Z144-Y145</f>
        <v/>
      </c>
      <c r="AA145" s="58">
        <f>IF(AND(BANCO_OK_4,B145&lt;=MESES),X145+Y145+VINC_MES_4,0)</f>
        <v/>
      </c>
    </row>
    <row r="146">
      <c r="B146" s="56" t="n">
        <v>138</v>
      </c>
      <c r="C146" s="56">
        <f>ROUNDUP(B146/12,0)</f>
        <v/>
      </c>
      <c r="D146" s="52">
        <f>IF(AND(BANCO_OK_1,B146&lt;=MESES),IF(OR(OF_TIPO_1="Fija",C146&lt;=OF_ANIOS_INI_1),OF_TIN_1,MAX(0,EURIBOR+OF_DIF_1)),0)</f>
        <v/>
      </c>
      <c r="E146" s="58">
        <f>IF(AND(BANCO_OK_1,B146&lt;=MESES),IF(OR(B146=1,D146&lt;&gt;D145),PMT(D146/1200,MESES-B146+1,-H145),E145),0)</f>
        <v/>
      </c>
      <c r="F146" s="58">
        <f>H145*D146/1200</f>
        <v/>
      </c>
      <c r="G146" s="58">
        <f>IF(AND(BANCO_OK_1,B146&lt;=MESES),IF(OR(B146=MESES,E146-F146&gt;H145),H145,E146-F146),0)</f>
        <v/>
      </c>
      <c r="H146" s="58">
        <f>H145-G146</f>
        <v/>
      </c>
      <c r="I146" s="58">
        <f>IF(AND(BANCO_OK_1,B146&lt;=MESES),F146+G146+VINC_MES_1,0)</f>
        <v/>
      </c>
      <c r="J146" s="52">
        <f>IF(AND(BANCO_OK_2,B146&lt;=MESES),IF(OR(OF_TIPO_2="Fija",C146&lt;=OF_ANIOS_INI_2),OF_TIN_2,MAX(0,EURIBOR+OF_DIF_2)),0)</f>
        <v/>
      </c>
      <c r="K146" s="58">
        <f>IF(AND(BANCO_OK_2,B146&lt;=MESES),IF(OR(B146=1,J146&lt;&gt;J145),PMT(J146/1200,MESES-B146+1,-N145),K145),0)</f>
        <v/>
      </c>
      <c r="L146" s="58">
        <f>N145*J146/1200</f>
        <v/>
      </c>
      <c r="M146" s="58">
        <f>IF(AND(BANCO_OK_2,B146&lt;=MESES),IF(OR(B146=MESES,K146-L146&gt;N145),N145,K146-L146),0)</f>
        <v/>
      </c>
      <c r="N146" s="58">
        <f>N145-M146</f>
        <v/>
      </c>
      <c r="O146" s="58">
        <f>IF(AND(BANCO_OK_2,B146&lt;=MESES),L146+M146+VINC_MES_2,0)</f>
        <v/>
      </c>
      <c r="P146" s="52">
        <f>IF(AND(BANCO_OK_3,B146&lt;=MESES),IF(OR(OF_TIPO_3="Fija",C146&lt;=OF_ANIOS_INI_3),OF_TIN_3,MAX(0,EURIBOR+OF_DIF_3)),0)</f>
        <v/>
      </c>
      <c r="Q146" s="58">
        <f>IF(AND(BANCO_OK_3,B146&lt;=MESES),IF(OR(B146=1,P146&lt;&gt;P145),PMT(P146/1200,MESES-B146+1,-T145),Q145),0)</f>
        <v/>
      </c>
      <c r="R146" s="58">
        <f>T145*P146/1200</f>
        <v/>
      </c>
      <c r="S146" s="58">
        <f>IF(AND(BANCO_OK_3,B146&lt;=MESES),IF(OR(B146=MESES,Q146-R146&gt;T145),T145,Q146-R146),0)</f>
        <v/>
      </c>
      <c r="T146" s="58">
        <f>T145-S146</f>
        <v/>
      </c>
      <c r="U146" s="58">
        <f>IF(AND(BANCO_OK_3,B146&lt;=MESES),R146+S146+VINC_MES_3,0)</f>
        <v/>
      </c>
      <c r="V146" s="52">
        <f>IF(AND(BANCO_OK_4,B146&lt;=MESES),IF(OR(OF_TIPO_4="Fija",C146&lt;=OF_ANIOS_INI_4),OF_TIN_4,MAX(0,EURIBOR+OF_DIF_4)),0)</f>
        <v/>
      </c>
      <c r="W146" s="58">
        <f>IF(AND(BANCO_OK_4,B146&lt;=MESES),IF(OR(B146=1,V146&lt;&gt;V145),PMT(V146/1200,MESES-B146+1,-Z145),W145),0)</f>
        <v/>
      </c>
      <c r="X146" s="58">
        <f>Z145*V146/1200</f>
        <v/>
      </c>
      <c r="Y146" s="58">
        <f>IF(AND(BANCO_OK_4,B146&lt;=MESES),IF(OR(B146=MESES,W146-X146&gt;Z145),Z145,W146-X146),0)</f>
        <v/>
      </c>
      <c r="Z146" s="58">
        <f>Z145-Y146</f>
        <v/>
      </c>
      <c r="AA146" s="58">
        <f>IF(AND(BANCO_OK_4,B146&lt;=MESES),X146+Y146+VINC_MES_4,0)</f>
        <v/>
      </c>
    </row>
    <row r="147">
      <c r="B147" s="56" t="n">
        <v>139</v>
      </c>
      <c r="C147" s="56">
        <f>ROUNDUP(B147/12,0)</f>
        <v/>
      </c>
      <c r="D147" s="52">
        <f>IF(AND(BANCO_OK_1,B147&lt;=MESES),IF(OR(OF_TIPO_1="Fija",C147&lt;=OF_ANIOS_INI_1),OF_TIN_1,MAX(0,EURIBOR+OF_DIF_1)),0)</f>
        <v/>
      </c>
      <c r="E147" s="58">
        <f>IF(AND(BANCO_OK_1,B147&lt;=MESES),IF(OR(B147=1,D147&lt;&gt;D146),PMT(D147/1200,MESES-B147+1,-H146),E146),0)</f>
        <v/>
      </c>
      <c r="F147" s="58">
        <f>H146*D147/1200</f>
        <v/>
      </c>
      <c r="G147" s="58">
        <f>IF(AND(BANCO_OK_1,B147&lt;=MESES),IF(OR(B147=MESES,E147-F147&gt;H146),H146,E147-F147),0)</f>
        <v/>
      </c>
      <c r="H147" s="58">
        <f>H146-G147</f>
        <v/>
      </c>
      <c r="I147" s="58">
        <f>IF(AND(BANCO_OK_1,B147&lt;=MESES),F147+G147+VINC_MES_1,0)</f>
        <v/>
      </c>
      <c r="J147" s="52">
        <f>IF(AND(BANCO_OK_2,B147&lt;=MESES),IF(OR(OF_TIPO_2="Fija",C147&lt;=OF_ANIOS_INI_2),OF_TIN_2,MAX(0,EURIBOR+OF_DIF_2)),0)</f>
        <v/>
      </c>
      <c r="K147" s="58">
        <f>IF(AND(BANCO_OK_2,B147&lt;=MESES),IF(OR(B147=1,J147&lt;&gt;J146),PMT(J147/1200,MESES-B147+1,-N146),K146),0)</f>
        <v/>
      </c>
      <c r="L147" s="58">
        <f>N146*J147/1200</f>
        <v/>
      </c>
      <c r="M147" s="58">
        <f>IF(AND(BANCO_OK_2,B147&lt;=MESES),IF(OR(B147=MESES,K147-L147&gt;N146),N146,K147-L147),0)</f>
        <v/>
      </c>
      <c r="N147" s="58">
        <f>N146-M147</f>
        <v/>
      </c>
      <c r="O147" s="58">
        <f>IF(AND(BANCO_OK_2,B147&lt;=MESES),L147+M147+VINC_MES_2,0)</f>
        <v/>
      </c>
      <c r="P147" s="52">
        <f>IF(AND(BANCO_OK_3,B147&lt;=MESES),IF(OR(OF_TIPO_3="Fija",C147&lt;=OF_ANIOS_INI_3),OF_TIN_3,MAX(0,EURIBOR+OF_DIF_3)),0)</f>
        <v/>
      </c>
      <c r="Q147" s="58">
        <f>IF(AND(BANCO_OK_3,B147&lt;=MESES),IF(OR(B147=1,P147&lt;&gt;P146),PMT(P147/1200,MESES-B147+1,-T146),Q146),0)</f>
        <v/>
      </c>
      <c r="R147" s="58">
        <f>T146*P147/1200</f>
        <v/>
      </c>
      <c r="S147" s="58">
        <f>IF(AND(BANCO_OK_3,B147&lt;=MESES),IF(OR(B147=MESES,Q147-R147&gt;T146),T146,Q147-R147),0)</f>
        <v/>
      </c>
      <c r="T147" s="58">
        <f>T146-S147</f>
        <v/>
      </c>
      <c r="U147" s="58">
        <f>IF(AND(BANCO_OK_3,B147&lt;=MESES),R147+S147+VINC_MES_3,0)</f>
        <v/>
      </c>
      <c r="V147" s="52">
        <f>IF(AND(BANCO_OK_4,B147&lt;=MESES),IF(OR(OF_TIPO_4="Fija",C147&lt;=OF_ANIOS_INI_4),OF_TIN_4,MAX(0,EURIBOR+OF_DIF_4)),0)</f>
        <v/>
      </c>
      <c r="W147" s="58">
        <f>IF(AND(BANCO_OK_4,B147&lt;=MESES),IF(OR(B147=1,V147&lt;&gt;V146),PMT(V147/1200,MESES-B147+1,-Z146),W146),0)</f>
        <v/>
      </c>
      <c r="X147" s="58">
        <f>Z146*V147/1200</f>
        <v/>
      </c>
      <c r="Y147" s="58">
        <f>IF(AND(BANCO_OK_4,B147&lt;=MESES),IF(OR(B147=MESES,W147-X147&gt;Z146),Z146,W147-X147),0)</f>
        <v/>
      </c>
      <c r="Z147" s="58">
        <f>Z146-Y147</f>
        <v/>
      </c>
      <c r="AA147" s="58">
        <f>IF(AND(BANCO_OK_4,B147&lt;=MESES),X147+Y147+VINC_MES_4,0)</f>
        <v/>
      </c>
    </row>
    <row r="148">
      <c r="B148" s="56" t="n">
        <v>140</v>
      </c>
      <c r="C148" s="56">
        <f>ROUNDUP(B148/12,0)</f>
        <v/>
      </c>
      <c r="D148" s="52">
        <f>IF(AND(BANCO_OK_1,B148&lt;=MESES),IF(OR(OF_TIPO_1="Fija",C148&lt;=OF_ANIOS_INI_1),OF_TIN_1,MAX(0,EURIBOR+OF_DIF_1)),0)</f>
        <v/>
      </c>
      <c r="E148" s="58">
        <f>IF(AND(BANCO_OK_1,B148&lt;=MESES),IF(OR(B148=1,D148&lt;&gt;D147),PMT(D148/1200,MESES-B148+1,-H147),E147),0)</f>
        <v/>
      </c>
      <c r="F148" s="58">
        <f>H147*D148/1200</f>
        <v/>
      </c>
      <c r="G148" s="58">
        <f>IF(AND(BANCO_OK_1,B148&lt;=MESES),IF(OR(B148=MESES,E148-F148&gt;H147),H147,E148-F148),0)</f>
        <v/>
      </c>
      <c r="H148" s="58">
        <f>H147-G148</f>
        <v/>
      </c>
      <c r="I148" s="58">
        <f>IF(AND(BANCO_OK_1,B148&lt;=MESES),F148+G148+VINC_MES_1,0)</f>
        <v/>
      </c>
      <c r="J148" s="52">
        <f>IF(AND(BANCO_OK_2,B148&lt;=MESES),IF(OR(OF_TIPO_2="Fija",C148&lt;=OF_ANIOS_INI_2),OF_TIN_2,MAX(0,EURIBOR+OF_DIF_2)),0)</f>
        <v/>
      </c>
      <c r="K148" s="58">
        <f>IF(AND(BANCO_OK_2,B148&lt;=MESES),IF(OR(B148=1,J148&lt;&gt;J147),PMT(J148/1200,MESES-B148+1,-N147),K147),0)</f>
        <v/>
      </c>
      <c r="L148" s="58">
        <f>N147*J148/1200</f>
        <v/>
      </c>
      <c r="M148" s="58">
        <f>IF(AND(BANCO_OK_2,B148&lt;=MESES),IF(OR(B148=MESES,K148-L148&gt;N147),N147,K148-L148),0)</f>
        <v/>
      </c>
      <c r="N148" s="58">
        <f>N147-M148</f>
        <v/>
      </c>
      <c r="O148" s="58">
        <f>IF(AND(BANCO_OK_2,B148&lt;=MESES),L148+M148+VINC_MES_2,0)</f>
        <v/>
      </c>
      <c r="P148" s="52">
        <f>IF(AND(BANCO_OK_3,B148&lt;=MESES),IF(OR(OF_TIPO_3="Fija",C148&lt;=OF_ANIOS_INI_3),OF_TIN_3,MAX(0,EURIBOR+OF_DIF_3)),0)</f>
        <v/>
      </c>
      <c r="Q148" s="58">
        <f>IF(AND(BANCO_OK_3,B148&lt;=MESES),IF(OR(B148=1,P148&lt;&gt;P147),PMT(P148/1200,MESES-B148+1,-T147),Q147),0)</f>
        <v/>
      </c>
      <c r="R148" s="58">
        <f>T147*P148/1200</f>
        <v/>
      </c>
      <c r="S148" s="58">
        <f>IF(AND(BANCO_OK_3,B148&lt;=MESES),IF(OR(B148=MESES,Q148-R148&gt;T147),T147,Q148-R148),0)</f>
        <v/>
      </c>
      <c r="T148" s="58">
        <f>T147-S148</f>
        <v/>
      </c>
      <c r="U148" s="58">
        <f>IF(AND(BANCO_OK_3,B148&lt;=MESES),R148+S148+VINC_MES_3,0)</f>
        <v/>
      </c>
      <c r="V148" s="52">
        <f>IF(AND(BANCO_OK_4,B148&lt;=MESES),IF(OR(OF_TIPO_4="Fija",C148&lt;=OF_ANIOS_INI_4),OF_TIN_4,MAX(0,EURIBOR+OF_DIF_4)),0)</f>
        <v/>
      </c>
      <c r="W148" s="58">
        <f>IF(AND(BANCO_OK_4,B148&lt;=MESES),IF(OR(B148=1,V148&lt;&gt;V147),PMT(V148/1200,MESES-B148+1,-Z147),W147),0)</f>
        <v/>
      </c>
      <c r="X148" s="58">
        <f>Z147*V148/1200</f>
        <v/>
      </c>
      <c r="Y148" s="58">
        <f>IF(AND(BANCO_OK_4,B148&lt;=MESES),IF(OR(B148=MESES,W148-X148&gt;Z147),Z147,W148-X148),0)</f>
        <v/>
      </c>
      <c r="Z148" s="58">
        <f>Z147-Y148</f>
        <v/>
      </c>
      <c r="AA148" s="58">
        <f>IF(AND(BANCO_OK_4,B148&lt;=MESES),X148+Y148+VINC_MES_4,0)</f>
        <v/>
      </c>
    </row>
    <row r="149">
      <c r="B149" s="56" t="n">
        <v>141</v>
      </c>
      <c r="C149" s="56">
        <f>ROUNDUP(B149/12,0)</f>
        <v/>
      </c>
      <c r="D149" s="52">
        <f>IF(AND(BANCO_OK_1,B149&lt;=MESES),IF(OR(OF_TIPO_1="Fija",C149&lt;=OF_ANIOS_INI_1),OF_TIN_1,MAX(0,EURIBOR+OF_DIF_1)),0)</f>
        <v/>
      </c>
      <c r="E149" s="58">
        <f>IF(AND(BANCO_OK_1,B149&lt;=MESES),IF(OR(B149=1,D149&lt;&gt;D148),PMT(D149/1200,MESES-B149+1,-H148),E148),0)</f>
        <v/>
      </c>
      <c r="F149" s="58">
        <f>H148*D149/1200</f>
        <v/>
      </c>
      <c r="G149" s="58">
        <f>IF(AND(BANCO_OK_1,B149&lt;=MESES),IF(OR(B149=MESES,E149-F149&gt;H148),H148,E149-F149),0)</f>
        <v/>
      </c>
      <c r="H149" s="58">
        <f>H148-G149</f>
        <v/>
      </c>
      <c r="I149" s="58">
        <f>IF(AND(BANCO_OK_1,B149&lt;=MESES),F149+G149+VINC_MES_1,0)</f>
        <v/>
      </c>
      <c r="J149" s="52">
        <f>IF(AND(BANCO_OK_2,B149&lt;=MESES),IF(OR(OF_TIPO_2="Fija",C149&lt;=OF_ANIOS_INI_2),OF_TIN_2,MAX(0,EURIBOR+OF_DIF_2)),0)</f>
        <v/>
      </c>
      <c r="K149" s="58">
        <f>IF(AND(BANCO_OK_2,B149&lt;=MESES),IF(OR(B149=1,J149&lt;&gt;J148),PMT(J149/1200,MESES-B149+1,-N148),K148),0)</f>
        <v/>
      </c>
      <c r="L149" s="58">
        <f>N148*J149/1200</f>
        <v/>
      </c>
      <c r="M149" s="58">
        <f>IF(AND(BANCO_OK_2,B149&lt;=MESES),IF(OR(B149=MESES,K149-L149&gt;N148),N148,K149-L149),0)</f>
        <v/>
      </c>
      <c r="N149" s="58">
        <f>N148-M149</f>
        <v/>
      </c>
      <c r="O149" s="58">
        <f>IF(AND(BANCO_OK_2,B149&lt;=MESES),L149+M149+VINC_MES_2,0)</f>
        <v/>
      </c>
      <c r="P149" s="52">
        <f>IF(AND(BANCO_OK_3,B149&lt;=MESES),IF(OR(OF_TIPO_3="Fija",C149&lt;=OF_ANIOS_INI_3),OF_TIN_3,MAX(0,EURIBOR+OF_DIF_3)),0)</f>
        <v/>
      </c>
      <c r="Q149" s="58">
        <f>IF(AND(BANCO_OK_3,B149&lt;=MESES),IF(OR(B149=1,P149&lt;&gt;P148),PMT(P149/1200,MESES-B149+1,-T148),Q148),0)</f>
        <v/>
      </c>
      <c r="R149" s="58">
        <f>T148*P149/1200</f>
        <v/>
      </c>
      <c r="S149" s="58">
        <f>IF(AND(BANCO_OK_3,B149&lt;=MESES),IF(OR(B149=MESES,Q149-R149&gt;T148),T148,Q149-R149),0)</f>
        <v/>
      </c>
      <c r="T149" s="58">
        <f>T148-S149</f>
        <v/>
      </c>
      <c r="U149" s="58">
        <f>IF(AND(BANCO_OK_3,B149&lt;=MESES),R149+S149+VINC_MES_3,0)</f>
        <v/>
      </c>
      <c r="V149" s="52">
        <f>IF(AND(BANCO_OK_4,B149&lt;=MESES),IF(OR(OF_TIPO_4="Fija",C149&lt;=OF_ANIOS_INI_4),OF_TIN_4,MAX(0,EURIBOR+OF_DIF_4)),0)</f>
        <v/>
      </c>
      <c r="W149" s="58">
        <f>IF(AND(BANCO_OK_4,B149&lt;=MESES),IF(OR(B149=1,V149&lt;&gt;V148),PMT(V149/1200,MESES-B149+1,-Z148),W148),0)</f>
        <v/>
      </c>
      <c r="X149" s="58">
        <f>Z148*V149/1200</f>
        <v/>
      </c>
      <c r="Y149" s="58">
        <f>IF(AND(BANCO_OK_4,B149&lt;=MESES),IF(OR(B149=MESES,W149-X149&gt;Z148),Z148,W149-X149),0)</f>
        <v/>
      </c>
      <c r="Z149" s="58">
        <f>Z148-Y149</f>
        <v/>
      </c>
      <c r="AA149" s="58">
        <f>IF(AND(BANCO_OK_4,B149&lt;=MESES),X149+Y149+VINC_MES_4,0)</f>
        <v/>
      </c>
    </row>
    <row r="150">
      <c r="B150" s="56" t="n">
        <v>142</v>
      </c>
      <c r="C150" s="56">
        <f>ROUNDUP(B150/12,0)</f>
        <v/>
      </c>
      <c r="D150" s="52">
        <f>IF(AND(BANCO_OK_1,B150&lt;=MESES),IF(OR(OF_TIPO_1="Fija",C150&lt;=OF_ANIOS_INI_1),OF_TIN_1,MAX(0,EURIBOR+OF_DIF_1)),0)</f>
        <v/>
      </c>
      <c r="E150" s="58">
        <f>IF(AND(BANCO_OK_1,B150&lt;=MESES),IF(OR(B150=1,D150&lt;&gt;D149),PMT(D150/1200,MESES-B150+1,-H149),E149),0)</f>
        <v/>
      </c>
      <c r="F150" s="58">
        <f>H149*D150/1200</f>
        <v/>
      </c>
      <c r="G150" s="58">
        <f>IF(AND(BANCO_OK_1,B150&lt;=MESES),IF(OR(B150=MESES,E150-F150&gt;H149),H149,E150-F150),0)</f>
        <v/>
      </c>
      <c r="H150" s="58">
        <f>H149-G150</f>
        <v/>
      </c>
      <c r="I150" s="58">
        <f>IF(AND(BANCO_OK_1,B150&lt;=MESES),F150+G150+VINC_MES_1,0)</f>
        <v/>
      </c>
      <c r="J150" s="52">
        <f>IF(AND(BANCO_OK_2,B150&lt;=MESES),IF(OR(OF_TIPO_2="Fija",C150&lt;=OF_ANIOS_INI_2),OF_TIN_2,MAX(0,EURIBOR+OF_DIF_2)),0)</f>
        <v/>
      </c>
      <c r="K150" s="58">
        <f>IF(AND(BANCO_OK_2,B150&lt;=MESES),IF(OR(B150=1,J150&lt;&gt;J149),PMT(J150/1200,MESES-B150+1,-N149),K149),0)</f>
        <v/>
      </c>
      <c r="L150" s="58">
        <f>N149*J150/1200</f>
        <v/>
      </c>
      <c r="M150" s="58">
        <f>IF(AND(BANCO_OK_2,B150&lt;=MESES),IF(OR(B150=MESES,K150-L150&gt;N149),N149,K150-L150),0)</f>
        <v/>
      </c>
      <c r="N150" s="58">
        <f>N149-M150</f>
        <v/>
      </c>
      <c r="O150" s="58">
        <f>IF(AND(BANCO_OK_2,B150&lt;=MESES),L150+M150+VINC_MES_2,0)</f>
        <v/>
      </c>
      <c r="P150" s="52">
        <f>IF(AND(BANCO_OK_3,B150&lt;=MESES),IF(OR(OF_TIPO_3="Fija",C150&lt;=OF_ANIOS_INI_3),OF_TIN_3,MAX(0,EURIBOR+OF_DIF_3)),0)</f>
        <v/>
      </c>
      <c r="Q150" s="58">
        <f>IF(AND(BANCO_OK_3,B150&lt;=MESES),IF(OR(B150=1,P150&lt;&gt;P149),PMT(P150/1200,MESES-B150+1,-T149),Q149),0)</f>
        <v/>
      </c>
      <c r="R150" s="58">
        <f>T149*P150/1200</f>
        <v/>
      </c>
      <c r="S150" s="58">
        <f>IF(AND(BANCO_OK_3,B150&lt;=MESES),IF(OR(B150=MESES,Q150-R150&gt;T149),T149,Q150-R150),0)</f>
        <v/>
      </c>
      <c r="T150" s="58">
        <f>T149-S150</f>
        <v/>
      </c>
      <c r="U150" s="58">
        <f>IF(AND(BANCO_OK_3,B150&lt;=MESES),R150+S150+VINC_MES_3,0)</f>
        <v/>
      </c>
      <c r="V150" s="52">
        <f>IF(AND(BANCO_OK_4,B150&lt;=MESES),IF(OR(OF_TIPO_4="Fija",C150&lt;=OF_ANIOS_INI_4),OF_TIN_4,MAX(0,EURIBOR+OF_DIF_4)),0)</f>
        <v/>
      </c>
      <c r="W150" s="58">
        <f>IF(AND(BANCO_OK_4,B150&lt;=MESES),IF(OR(B150=1,V150&lt;&gt;V149),PMT(V150/1200,MESES-B150+1,-Z149),W149),0)</f>
        <v/>
      </c>
      <c r="X150" s="58">
        <f>Z149*V150/1200</f>
        <v/>
      </c>
      <c r="Y150" s="58">
        <f>IF(AND(BANCO_OK_4,B150&lt;=MESES),IF(OR(B150=MESES,W150-X150&gt;Z149),Z149,W150-X150),0)</f>
        <v/>
      </c>
      <c r="Z150" s="58">
        <f>Z149-Y150</f>
        <v/>
      </c>
      <c r="AA150" s="58">
        <f>IF(AND(BANCO_OK_4,B150&lt;=MESES),X150+Y150+VINC_MES_4,0)</f>
        <v/>
      </c>
    </row>
    <row r="151">
      <c r="B151" s="56" t="n">
        <v>143</v>
      </c>
      <c r="C151" s="56">
        <f>ROUNDUP(B151/12,0)</f>
        <v/>
      </c>
      <c r="D151" s="52">
        <f>IF(AND(BANCO_OK_1,B151&lt;=MESES),IF(OR(OF_TIPO_1="Fija",C151&lt;=OF_ANIOS_INI_1),OF_TIN_1,MAX(0,EURIBOR+OF_DIF_1)),0)</f>
        <v/>
      </c>
      <c r="E151" s="58">
        <f>IF(AND(BANCO_OK_1,B151&lt;=MESES),IF(OR(B151=1,D151&lt;&gt;D150),PMT(D151/1200,MESES-B151+1,-H150),E150),0)</f>
        <v/>
      </c>
      <c r="F151" s="58">
        <f>H150*D151/1200</f>
        <v/>
      </c>
      <c r="G151" s="58">
        <f>IF(AND(BANCO_OK_1,B151&lt;=MESES),IF(OR(B151=MESES,E151-F151&gt;H150),H150,E151-F151),0)</f>
        <v/>
      </c>
      <c r="H151" s="58">
        <f>H150-G151</f>
        <v/>
      </c>
      <c r="I151" s="58">
        <f>IF(AND(BANCO_OK_1,B151&lt;=MESES),F151+G151+VINC_MES_1,0)</f>
        <v/>
      </c>
      <c r="J151" s="52">
        <f>IF(AND(BANCO_OK_2,B151&lt;=MESES),IF(OR(OF_TIPO_2="Fija",C151&lt;=OF_ANIOS_INI_2),OF_TIN_2,MAX(0,EURIBOR+OF_DIF_2)),0)</f>
        <v/>
      </c>
      <c r="K151" s="58">
        <f>IF(AND(BANCO_OK_2,B151&lt;=MESES),IF(OR(B151=1,J151&lt;&gt;J150),PMT(J151/1200,MESES-B151+1,-N150),K150),0)</f>
        <v/>
      </c>
      <c r="L151" s="58">
        <f>N150*J151/1200</f>
        <v/>
      </c>
      <c r="M151" s="58">
        <f>IF(AND(BANCO_OK_2,B151&lt;=MESES),IF(OR(B151=MESES,K151-L151&gt;N150),N150,K151-L151),0)</f>
        <v/>
      </c>
      <c r="N151" s="58">
        <f>N150-M151</f>
        <v/>
      </c>
      <c r="O151" s="58">
        <f>IF(AND(BANCO_OK_2,B151&lt;=MESES),L151+M151+VINC_MES_2,0)</f>
        <v/>
      </c>
      <c r="P151" s="52">
        <f>IF(AND(BANCO_OK_3,B151&lt;=MESES),IF(OR(OF_TIPO_3="Fija",C151&lt;=OF_ANIOS_INI_3),OF_TIN_3,MAX(0,EURIBOR+OF_DIF_3)),0)</f>
        <v/>
      </c>
      <c r="Q151" s="58">
        <f>IF(AND(BANCO_OK_3,B151&lt;=MESES),IF(OR(B151=1,P151&lt;&gt;P150),PMT(P151/1200,MESES-B151+1,-T150),Q150),0)</f>
        <v/>
      </c>
      <c r="R151" s="58">
        <f>T150*P151/1200</f>
        <v/>
      </c>
      <c r="S151" s="58">
        <f>IF(AND(BANCO_OK_3,B151&lt;=MESES),IF(OR(B151=MESES,Q151-R151&gt;T150),T150,Q151-R151),0)</f>
        <v/>
      </c>
      <c r="T151" s="58">
        <f>T150-S151</f>
        <v/>
      </c>
      <c r="U151" s="58">
        <f>IF(AND(BANCO_OK_3,B151&lt;=MESES),R151+S151+VINC_MES_3,0)</f>
        <v/>
      </c>
      <c r="V151" s="52">
        <f>IF(AND(BANCO_OK_4,B151&lt;=MESES),IF(OR(OF_TIPO_4="Fija",C151&lt;=OF_ANIOS_INI_4),OF_TIN_4,MAX(0,EURIBOR+OF_DIF_4)),0)</f>
        <v/>
      </c>
      <c r="W151" s="58">
        <f>IF(AND(BANCO_OK_4,B151&lt;=MESES),IF(OR(B151=1,V151&lt;&gt;V150),PMT(V151/1200,MESES-B151+1,-Z150),W150),0)</f>
        <v/>
      </c>
      <c r="X151" s="58">
        <f>Z150*V151/1200</f>
        <v/>
      </c>
      <c r="Y151" s="58">
        <f>IF(AND(BANCO_OK_4,B151&lt;=MESES),IF(OR(B151=MESES,W151-X151&gt;Z150),Z150,W151-X151),0)</f>
        <v/>
      </c>
      <c r="Z151" s="58">
        <f>Z150-Y151</f>
        <v/>
      </c>
      <c r="AA151" s="58">
        <f>IF(AND(BANCO_OK_4,B151&lt;=MESES),X151+Y151+VINC_MES_4,0)</f>
        <v/>
      </c>
    </row>
    <row r="152">
      <c r="B152" s="56" t="n">
        <v>144</v>
      </c>
      <c r="C152" s="56">
        <f>ROUNDUP(B152/12,0)</f>
        <v/>
      </c>
      <c r="D152" s="52">
        <f>IF(AND(BANCO_OK_1,B152&lt;=MESES),IF(OR(OF_TIPO_1="Fija",C152&lt;=OF_ANIOS_INI_1),OF_TIN_1,MAX(0,EURIBOR+OF_DIF_1)),0)</f>
        <v/>
      </c>
      <c r="E152" s="58">
        <f>IF(AND(BANCO_OK_1,B152&lt;=MESES),IF(OR(B152=1,D152&lt;&gt;D151),PMT(D152/1200,MESES-B152+1,-H151),E151),0)</f>
        <v/>
      </c>
      <c r="F152" s="58">
        <f>H151*D152/1200</f>
        <v/>
      </c>
      <c r="G152" s="58">
        <f>IF(AND(BANCO_OK_1,B152&lt;=MESES),IF(OR(B152=MESES,E152-F152&gt;H151),H151,E152-F152),0)</f>
        <v/>
      </c>
      <c r="H152" s="58">
        <f>H151-G152</f>
        <v/>
      </c>
      <c r="I152" s="58">
        <f>IF(AND(BANCO_OK_1,B152&lt;=MESES),F152+G152+VINC_MES_1,0)</f>
        <v/>
      </c>
      <c r="J152" s="52">
        <f>IF(AND(BANCO_OK_2,B152&lt;=MESES),IF(OR(OF_TIPO_2="Fija",C152&lt;=OF_ANIOS_INI_2),OF_TIN_2,MAX(0,EURIBOR+OF_DIF_2)),0)</f>
        <v/>
      </c>
      <c r="K152" s="58">
        <f>IF(AND(BANCO_OK_2,B152&lt;=MESES),IF(OR(B152=1,J152&lt;&gt;J151),PMT(J152/1200,MESES-B152+1,-N151),K151),0)</f>
        <v/>
      </c>
      <c r="L152" s="58">
        <f>N151*J152/1200</f>
        <v/>
      </c>
      <c r="M152" s="58">
        <f>IF(AND(BANCO_OK_2,B152&lt;=MESES),IF(OR(B152=MESES,K152-L152&gt;N151),N151,K152-L152),0)</f>
        <v/>
      </c>
      <c r="N152" s="58">
        <f>N151-M152</f>
        <v/>
      </c>
      <c r="O152" s="58">
        <f>IF(AND(BANCO_OK_2,B152&lt;=MESES),L152+M152+VINC_MES_2,0)</f>
        <v/>
      </c>
      <c r="P152" s="52">
        <f>IF(AND(BANCO_OK_3,B152&lt;=MESES),IF(OR(OF_TIPO_3="Fija",C152&lt;=OF_ANIOS_INI_3),OF_TIN_3,MAX(0,EURIBOR+OF_DIF_3)),0)</f>
        <v/>
      </c>
      <c r="Q152" s="58">
        <f>IF(AND(BANCO_OK_3,B152&lt;=MESES),IF(OR(B152=1,P152&lt;&gt;P151),PMT(P152/1200,MESES-B152+1,-T151),Q151),0)</f>
        <v/>
      </c>
      <c r="R152" s="58">
        <f>T151*P152/1200</f>
        <v/>
      </c>
      <c r="S152" s="58">
        <f>IF(AND(BANCO_OK_3,B152&lt;=MESES),IF(OR(B152=MESES,Q152-R152&gt;T151),T151,Q152-R152),0)</f>
        <v/>
      </c>
      <c r="T152" s="58">
        <f>T151-S152</f>
        <v/>
      </c>
      <c r="U152" s="58">
        <f>IF(AND(BANCO_OK_3,B152&lt;=MESES),R152+S152+VINC_MES_3,0)</f>
        <v/>
      </c>
      <c r="V152" s="52">
        <f>IF(AND(BANCO_OK_4,B152&lt;=MESES),IF(OR(OF_TIPO_4="Fija",C152&lt;=OF_ANIOS_INI_4),OF_TIN_4,MAX(0,EURIBOR+OF_DIF_4)),0)</f>
        <v/>
      </c>
      <c r="W152" s="58">
        <f>IF(AND(BANCO_OK_4,B152&lt;=MESES),IF(OR(B152=1,V152&lt;&gt;V151),PMT(V152/1200,MESES-B152+1,-Z151),W151),0)</f>
        <v/>
      </c>
      <c r="X152" s="58">
        <f>Z151*V152/1200</f>
        <v/>
      </c>
      <c r="Y152" s="58">
        <f>IF(AND(BANCO_OK_4,B152&lt;=MESES),IF(OR(B152=MESES,W152-X152&gt;Z151),Z151,W152-X152),0)</f>
        <v/>
      </c>
      <c r="Z152" s="58">
        <f>Z151-Y152</f>
        <v/>
      </c>
      <c r="AA152" s="58">
        <f>IF(AND(BANCO_OK_4,B152&lt;=MESES),X152+Y152+VINC_MES_4,0)</f>
        <v/>
      </c>
    </row>
    <row r="153">
      <c r="B153" s="56" t="n">
        <v>145</v>
      </c>
      <c r="C153" s="56">
        <f>ROUNDUP(B153/12,0)</f>
        <v/>
      </c>
      <c r="D153" s="52">
        <f>IF(AND(BANCO_OK_1,B153&lt;=MESES),IF(OR(OF_TIPO_1="Fija",C153&lt;=OF_ANIOS_INI_1),OF_TIN_1,MAX(0,EURIBOR+OF_DIF_1)),0)</f>
        <v/>
      </c>
      <c r="E153" s="58">
        <f>IF(AND(BANCO_OK_1,B153&lt;=MESES),IF(OR(B153=1,D153&lt;&gt;D152),PMT(D153/1200,MESES-B153+1,-H152),E152),0)</f>
        <v/>
      </c>
      <c r="F153" s="58">
        <f>H152*D153/1200</f>
        <v/>
      </c>
      <c r="G153" s="58">
        <f>IF(AND(BANCO_OK_1,B153&lt;=MESES),IF(OR(B153=MESES,E153-F153&gt;H152),H152,E153-F153),0)</f>
        <v/>
      </c>
      <c r="H153" s="58">
        <f>H152-G153</f>
        <v/>
      </c>
      <c r="I153" s="58">
        <f>IF(AND(BANCO_OK_1,B153&lt;=MESES),F153+G153+VINC_MES_1,0)</f>
        <v/>
      </c>
      <c r="J153" s="52">
        <f>IF(AND(BANCO_OK_2,B153&lt;=MESES),IF(OR(OF_TIPO_2="Fija",C153&lt;=OF_ANIOS_INI_2),OF_TIN_2,MAX(0,EURIBOR+OF_DIF_2)),0)</f>
        <v/>
      </c>
      <c r="K153" s="58">
        <f>IF(AND(BANCO_OK_2,B153&lt;=MESES),IF(OR(B153=1,J153&lt;&gt;J152),PMT(J153/1200,MESES-B153+1,-N152),K152),0)</f>
        <v/>
      </c>
      <c r="L153" s="58">
        <f>N152*J153/1200</f>
        <v/>
      </c>
      <c r="M153" s="58">
        <f>IF(AND(BANCO_OK_2,B153&lt;=MESES),IF(OR(B153=MESES,K153-L153&gt;N152),N152,K153-L153),0)</f>
        <v/>
      </c>
      <c r="N153" s="58">
        <f>N152-M153</f>
        <v/>
      </c>
      <c r="O153" s="58">
        <f>IF(AND(BANCO_OK_2,B153&lt;=MESES),L153+M153+VINC_MES_2,0)</f>
        <v/>
      </c>
      <c r="P153" s="52">
        <f>IF(AND(BANCO_OK_3,B153&lt;=MESES),IF(OR(OF_TIPO_3="Fija",C153&lt;=OF_ANIOS_INI_3),OF_TIN_3,MAX(0,EURIBOR+OF_DIF_3)),0)</f>
        <v/>
      </c>
      <c r="Q153" s="58">
        <f>IF(AND(BANCO_OK_3,B153&lt;=MESES),IF(OR(B153=1,P153&lt;&gt;P152),PMT(P153/1200,MESES-B153+1,-T152),Q152),0)</f>
        <v/>
      </c>
      <c r="R153" s="58">
        <f>T152*P153/1200</f>
        <v/>
      </c>
      <c r="S153" s="58">
        <f>IF(AND(BANCO_OK_3,B153&lt;=MESES),IF(OR(B153=MESES,Q153-R153&gt;T152),T152,Q153-R153),0)</f>
        <v/>
      </c>
      <c r="T153" s="58">
        <f>T152-S153</f>
        <v/>
      </c>
      <c r="U153" s="58">
        <f>IF(AND(BANCO_OK_3,B153&lt;=MESES),R153+S153+VINC_MES_3,0)</f>
        <v/>
      </c>
      <c r="V153" s="52">
        <f>IF(AND(BANCO_OK_4,B153&lt;=MESES),IF(OR(OF_TIPO_4="Fija",C153&lt;=OF_ANIOS_INI_4),OF_TIN_4,MAX(0,EURIBOR+OF_DIF_4)),0)</f>
        <v/>
      </c>
      <c r="W153" s="58">
        <f>IF(AND(BANCO_OK_4,B153&lt;=MESES),IF(OR(B153=1,V153&lt;&gt;V152),PMT(V153/1200,MESES-B153+1,-Z152),W152),0)</f>
        <v/>
      </c>
      <c r="X153" s="58">
        <f>Z152*V153/1200</f>
        <v/>
      </c>
      <c r="Y153" s="58">
        <f>IF(AND(BANCO_OK_4,B153&lt;=MESES),IF(OR(B153=MESES,W153-X153&gt;Z152),Z152,W153-X153),0)</f>
        <v/>
      </c>
      <c r="Z153" s="58">
        <f>Z152-Y153</f>
        <v/>
      </c>
      <c r="AA153" s="58">
        <f>IF(AND(BANCO_OK_4,B153&lt;=MESES),X153+Y153+VINC_MES_4,0)</f>
        <v/>
      </c>
    </row>
    <row r="154">
      <c r="B154" s="56" t="n">
        <v>146</v>
      </c>
      <c r="C154" s="56">
        <f>ROUNDUP(B154/12,0)</f>
        <v/>
      </c>
      <c r="D154" s="52">
        <f>IF(AND(BANCO_OK_1,B154&lt;=MESES),IF(OR(OF_TIPO_1="Fija",C154&lt;=OF_ANIOS_INI_1),OF_TIN_1,MAX(0,EURIBOR+OF_DIF_1)),0)</f>
        <v/>
      </c>
      <c r="E154" s="58">
        <f>IF(AND(BANCO_OK_1,B154&lt;=MESES),IF(OR(B154=1,D154&lt;&gt;D153),PMT(D154/1200,MESES-B154+1,-H153),E153),0)</f>
        <v/>
      </c>
      <c r="F154" s="58">
        <f>H153*D154/1200</f>
        <v/>
      </c>
      <c r="G154" s="58">
        <f>IF(AND(BANCO_OK_1,B154&lt;=MESES),IF(OR(B154=MESES,E154-F154&gt;H153),H153,E154-F154),0)</f>
        <v/>
      </c>
      <c r="H154" s="58">
        <f>H153-G154</f>
        <v/>
      </c>
      <c r="I154" s="58">
        <f>IF(AND(BANCO_OK_1,B154&lt;=MESES),F154+G154+VINC_MES_1,0)</f>
        <v/>
      </c>
      <c r="J154" s="52">
        <f>IF(AND(BANCO_OK_2,B154&lt;=MESES),IF(OR(OF_TIPO_2="Fija",C154&lt;=OF_ANIOS_INI_2),OF_TIN_2,MAX(0,EURIBOR+OF_DIF_2)),0)</f>
        <v/>
      </c>
      <c r="K154" s="58">
        <f>IF(AND(BANCO_OK_2,B154&lt;=MESES),IF(OR(B154=1,J154&lt;&gt;J153),PMT(J154/1200,MESES-B154+1,-N153),K153),0)</f>
        <v/>
      </c>
      <c r="L154" s="58">
        <f>N153*J154/1200</f>
        <v/>
      </c>
      <c r="M154" s="58">
        <f>IF(AND(BANCO_OK_2,B154&lt;=MESES),IF(OR(B154=MESES,K154-L154&gt;N153),N153,K154-L154),0)</f>
        <v/>
      </c>
      <c r="N154" s="58">
        <f>N153-M154</f>
        <v/>
      </c>
      <c r="O154" s="58">
        <f>IF(AND(BANCO_OK_2,B154&lt;=MESES),L154+M154+VINC_MES_2,0)</f>
        <v/>
      </c>
      <c r="P154" s="52">
        <f>IF(AND(BANCO_OK_3,B154&lt;=MESES),IF(OR(OF_TIPO_3="Fija",C154&lt;=OF_ANIOS_INI_3),OF_TIN_3,MAX(0,EURIBOR+OF_DIF_3)),0)</f>
        <v/>
      </c>
      <c r="Q154" s="58">
        <f>IF(AND(BANCO_OK_3,B154&lt;=MESES),IF(OR(B154=1,P154&lt;&gt;P153),PMT(P154/1200,MESES-B154+1,-T153),Q153),0)</f>
        <v/>
      </c>
      <c r="R154" s="58">
        <f>T153*P154/1200</f>
        <v/>
      </c>
      <c r="S154" s="58">
        <f>IF(AND(BANCO_OK_3,B154&lt;=MESES),IF(OR(B154=MESES,Q154-R154&gt;T153),T153,Q154-R154),0)</f>
        <v/>
      </c>
      <c r="T154" s="58">
        <f>T153-S154</f>
        <v/>
      </c>
      <c r="U154" s="58">
        <f>IF(AND(BANCO_OK_3,B154&lt;=MESES),R154+S154+VINC_MES_3,0)</f>
        <v/>
      </c>
      <c r="V154" s="52">
        <f>IF(AND(BANCO_OK_4,B154&lt;=MESES),IF(OR(OF_TIPO_4="Fija",C154&lt;=OF_ANIOS_INI_4),OF_TIN_4,MAX(0,EURIBOR+OF_DIF_4)),0)</f>
        <v/>
      </c>
      <c r="W154" s="58">
        <f>IF(AND(BANCO_OK_4,B154&lt;=MESES),IF(OR(B154=1,V154&lt;&gt;V153),PMT(V154/1200,MESES-B154+1,-Z153),W153),0)</f>
        <v/>
      </c>
      <c r="X154" s="58">
        <f>Z153*V154/1200</f>
        <v/>
      </c>
      <c r="Y154" s="58">
        <f>IF(AND(BANCO_OK_4,B154&lt;=MESES),IF(OR(B154=MESES,W154-X154&gt;Z153),Z153,W154-X154),0)</f>
        <v/>
      </c>
      <c r="Z154" s="58">
        <f>Z153-Y154</f>
        <v/>
      </c>
      <c r="AA154" s="58">
        <f>IF(AND(BANCO_OK_4,B154&lt;=MESES),X154+Y154+VINC_MES_4,0)</f>
        <v/>
      </c>
    </row>
    <row r="155">
      <c r="B155" s="56" t="n">
        <v>147</v>
      </c>
      <c r="C155" s="56">
        <f>ROUNDUP(B155/12,0)</f>
        <v/>
      </c>
      <c r="D155" s="52">
        <f>IF(AND(BANCO_OK_1,B155&lt;=MESES),IF(OR(OF_TIPO_1="Fija",C155&lt;=OF_ANIOS_INI_1),OF_TIN_1,MAX(0,EURIBOR+OF_DIF_1)),0)</f>
        <v/>
      </c>
      <c r="E155" s="58">
        <f>IF(AND(BANCO_OK_1,B155&lt;=MESES),IF(OR(B155=1,D155&lt;&gt;D154),PMT(D155/1200,MESES-B155+1,-H154),E154),0)</f>
        <v/>
      </c>
      <c r="F155" s="58">
        <f>H154*D155/1200</f>
        <v/>
      </c>
      <c r="G155" s="58">
        <f>IF(AND(BANCO_OK_1,B155&lt;=MESES),IF(OR(B155=MESES,E155-F155&gt;H154),H154,E155-F155),0)</f>
        <v/>
      </c>
      <c r="H155" s="58">
        <f>H154-G155</f>
        <v/>
      </c>
      <c r="I155" s="58">
        <f>IF(AND(BANCO_OK_1,B155&lt;=MESES),F155+G155+VINC_MES_1,0)</f>
        <v/>
      </c>
      <c r="J155" s="52">
        <f>IF(AND(BANCO_OK_2,B155&lt;=MESES),IF(OR(OF_TIPO_2="Fija",C155&lt;=OF_ANIOS_INI_2),OF_TIN_2,MAX(0,EURIBOR+OF_DIF_2)),0)</f>
        <v/>
      </c>
      <c r="K155" s="58">
        <f>IF(AND(BANCO_OK_2,B155&lt;=MESES),IF(OR(B155=1,J155&lt;&gt;J154),PMT(J155/1200,MESES-B155+1,-N154),K154),0)</f>
        <v/>
      </c>
      <c r="L155" s="58">
        <f>N154*J155/1200</f>
        <v/>
      </c>
      <c r="M155" s="58">
        <f>IF(AND(BANCO_OK_2,B155&lt;=MESES),IF(OR(B155=MESES,K155-L155&gt;N154),N154,K155-L155),0)</f>
        <v/>
      </c>
      <c r="N155" s="58">
        <f>N154-M155</f>
        <v/>
      </c>
      <c r="O155" s="58">
        <f>IF(AND(BANCO_OK_2,B155&lt;=MESES),L155+M155+VINC_MES_2,0)</f>
        <v/>
      </c>
      <c r="P155" s="52">
        <f>IF(AND(BANCO_OK_3,B155&lt;=MESES),IF(OR(OF_TIPO_3="Fija",C155&lt;=OF_ANIOS_INI_3),OF_TIN_3,MAX(0,EURIBOR+OF_DIF_3)),0)</f>
        <v/>
      </c>
      <c r="Q155" s="58">
        <f>IF(AND(BANCO_OK_3,B155&lt;=MESES),IF(OR(B155=1,P155&lt;&gt;P154),PMT(P155/1200,MESES-B155+1,-T154),Q154),0)</f>
        <v/>
      </c>
      <c r="R155" s="58">
        <f>T154*P155/1200</f>
        <v/>
      </c>
      <c r="S155" s="58">
        <f>IF(AND(BANCO_OK_3,B155&lt;=MESES),IF(OR(B155=MESES,Q155-R155&gt;T154),T154,Q155-R155),0)</f>
        <v/>
      </c>
      <c r="T155" s="58">
        <f>T154-S155</f>
        <v/>
      </c>
      <c r="U155" s="58">
        <f>IF(AND(BANCO_OK_3,B155&lt;=MESES),R155+S155+VINC_MES_3,0)</f>
        <v/>
      </c>
      <c r="V155" s="52">
        <f>IF(AND(BANCO_OK_4,B155&lt;=MESES),IF(OR(OF_TIPO_4="Fija",C155&lt;=OF_ANIOS_INI_4),OF_TIN_4,MAX(0,EURIBOR+OF_DIF_4)),0)</f>
        <v/>
      </c>
      <c r="W155" s="58">
        <f>IF(AND(BANCO_OK_4,B155&lt;=MESES),IF(OR(B155=1,V155&lt;&gt;V154),PMT(V155/1200,MESES-B155+1,-Z154),W154),0)</f>
        <v/>
      </c>
      <c r="X155" s="58">
        <f>Z154*V155/1200</f>
        <v/>
      </c>
      <c r="Y155" s="58">
        <f>IF(AND(BANCO_OK_4,B155&lt;=MESES),IF(OR(B155=MESES,W155-X155&gt;Z154),Z154,W155-X155),0)</f>
        <v/>
      </c>
      <c r="Z155" s="58">
        <f>Z154-Y155</f>
        <v/>
      </c>
      <c r="AA155" s="58">
        <f>IF(AND(BANCO_OK_4,B155&lt;=MESES),X155+Y155+VINC_MES_4,0)</f>
        <v/>
      </c>
    </row>
    <row r="156">
      <c r="B156" s="56" t="n">
        <v>148</v>
      </c>
      <c r="C156" s="56">
        <f>ROUNDUP(B156/12,0)</f>
        <v/>
      </c>
      <c r="D156" s="52">
        <f>IF(AND(BANCO_OK_1,B156&lt;=MESES),IF(OR(OF_TIPO_1="Fija",C156&lt;=OF_ANIOS_INI_1),OF_TIN_1,MAX(0,EURIBOR+OF_DIF_1)),0)</f>
        <v/>
      </c>
      <c r="E156" s="58">
        <f>IF(AND(BANCO_OK_1,B156&lt;=MESES),IF(OR(B156=1,D156&lt;&gt;D155),PMT(D156/1200,MESES-B156+1,-H155),E155),0)</f>
        <v/>
      </c>
      <c r="F156" s="58">
        <f>H155*D156/1200</f>
        <v/>
      </c>
      <c r="G156" s="58">
        <f>IF(AND(BANCO_OK_1,B156&lt;=MESES),IF(OR(B156=MESES,E156-F156&gt;H155),H155,E156-F156),0)</f>
        <v/>
      </c>
      <c r="H156" s="58">
        <f>H155-G156</f>
        <v/>
      </c>
      <c r="I156" s="58">
        <f>IF(AND(BANCO_OK_1,B156&lt;=MESES),F156+G156+VINC_MES_1,0)</f>
        <v/>
      </c>
      <c r="J156" s="52">
        <f>IF(AND(BANCO_OK_2,B156&lt;=MESES),IF(OR(OF_TIPO_2="Fija",C156&lt;=OF_ANIOS_INI_2),OF_TIN_2,MAX(0,EURIBOR+OF_DIF_2)),0)</f>
        <v/>
      </c>
      <c r="K156" s="58">
        <f>IF(AND(BANCO_OK_2,B156&lt;=MESES),IF(OR(B156=1,J156&lt;&gt;J155),PMT(J156/1200,MESES-B156+1,-N155),K155),0)</f>
        <v/>
      </c>
      <c r="L156" s="58">
        <f>N155*J156/1200</f>
        <v/>
      </c>
      <c r="M156" s="58">
        <f>IF(AND(BANCO_OK_2,B156&lt;=MESES),IF(OR(B156=MESES,K156-L156&gt;N155),N155,K156-L156),0)</f>
        <v/>
      </c>
      <c r="N156" s="58">
        <f>N155-M156</f>
        <v/>
      </c>
      <c r="O156" s="58">
        <f>IF(AND(BANCO_OK_2,B156&lt;=MESES),L156+M156+VINC_MES_2,0)</f>
        <v/>
      </c>
      <c r="P156" s="52">
        <f>IF(AND(BANCO_OK_3,B156&lt;=MESES),IF(OR(OF_TIPO_3="Fija",C156&lt;=OF_ANIOS_INI_3),OF_TIN_3,MAX(0,EURIBOR+OF_DIF_3)),0)</f>
        <v/>
      </c>
      <c r="Q156" s="58">
        <f>IF(AND(BANCO_OK_3,B156&lt;=MESES),IF(OR(B156=1,P156&lt;&gt;P155),PMT(P156/1200,MESES-B156+1,-T155),Q155),0)</f>
        <v/>
      </c>
      <c r="R156" s="58">
        <f>T155*P156/1200</f>
        <v/>
      </c>
      <c r="S156" s="58">
        <f>IF(AND(BANCO_OK_3,B156&lt;=MESES),IF(OR(B156=MESES,Q156-R156&gt;T155),T155,Q156-R156),0)</f>
        <v/>
      </c>
      <c r="T156" s="58">
        <f>T155-S156</f>
        <v/>
      </c>
      <c r="U156" s="58">
        <f>IF(AND(BANCO_OK_3,B156&lt;=MESES),R156+S156+VINC_MES_3,0)</f>
        <v/>
      </c>
      <c r="V156" s="52">
        <f>IF(AND(BANCO_OK_4,B156&lt;=MESES),IF(OR(OF_TIPO_4="Fija",C156&lt;=OF_ANIOS_INI_4),OF_TIN_4,MAX(0,EURIBOR+OF_DIF_4)),0)</f>
        <v/>
      </c>
      <c r="W156" s="58">
        <f>IF(AND(BANCO_OK_4,B156&lt;=MESES),IF(OR(B156=1,V156&lt;&gt;V155),PMT(V156/1200,MESES-B156+1,-Z155),W155),0)</f>
        <v/>
      </c>
      <c r="X156" s="58">
        <f>Z155*V156/1200</f>
        <v/>
      </c>
      <c r="Y156" s="58">
        <f>IF(AND(BANCO_OK_4,B156&lt;=MESES),IF(OR(B156=MESES,W156-X156&gt;Z155),Z155,W156-X156),0)</f>
        <v/>
      </c>
      <c r="Z156" s="58">
        <f>Z155-Y156</f>
        <v/>
      </c>
      <c r="AA156" s="58">
        <f>IF(AND(BANCO_OK_4,B156&lt;=MESES),X156+Y156+VINC_MES_4,0)</f>
        <v/>
      </c>
    </row>
    <row r="157">
      <c r="B157" s="56" t="n">
        <v>149</v>
      </c>
      <c r="C157" s="56">
        <f>ROUNDUP(B157/12,0)</f>
        <v/>
      </c>
      <c r="D157" s="52">
        <f>IF(AND(BANCO_OK_1,B157&lt;=MESES),IF(OR(OF_TIPO_1="Fija",C157&lt;=OF_ANIOS_INI_1),OF_TIN_1,MAX(0,EURIBOR+OF_DIF_1)),0)</f>
        <v/>
      </c>
      <c r="E157" s="58">
        <f>IF(AND(BANCO_OK_1,B157&lt;=MESES),IF(OR(B157=1,D157&lt;&gt;D156),PMT(D157/1200,MESES-B157+1,-H156),E156),0)</f>
        <v/>
      </c>
      <c r="F157" s="58">
        <f>H156*D157/1200</f>
        <v/>
      </c>
      <c r="G157" s="58">
        <f>IF(AND(BANCO_OK_1,B157&lt;=MESES),IF(OR(B157=MESES,E157-F157&gt;H156),H156,E157-F157),0)</f>
        <v/>
      </c>
      <c r="H157" s="58">
        <f>H156-G157</f>
        <v/>
      </c>
      <c r="I157" s="58">
        <f>IF(AND(BANCO_OK_1,B157&lt;=MESES),F157+G157+VINC_MES_1,0)</f>
        <v/>
      </c>
      <c r="J157" s="52">
        <f>IF(AND(BANCO_OK_2,B157&lt;=MESES),IF(OR(OF_TIPO_2="Fija",C157&lt;=OF_ANIOS_INI_2),OF_TIN_2,MAX(0,EURIBOR+OF_DIF_2)),0)</f>
        <v/>
      </c>
      <c r="K157" s="58">
        <f>IF(AND(BANCO_OK_2,B157&lt;=MESES),IF(OR(B157=1,J157&lt;&gt;J156),PMT(J157/1200,MESES-B157+1,-N156),K156),0)</f>
        <v/>
      </c>
      <c r="L157" s="58">
        <f>N156*J157/1200</f>
        <v/>
      </c>
      <c r="M157" s="58">
        <f>IF(AND(BANCO_OK_2,B157&lt;=MESES),IF(OR(B157=MESES,K157-L157&gt;N156),N156,K157-L157),0)</f>
        <v/>
      </c>
      <c r="N157" s="58">
        <f>N156-M157</f>
        <v/>
      </c>
      <c r="O157" s="58">
        <f>IF(AND(BANCO_OK_2,B157&lt;=MESES),L157+M157+VINC_MES_2,0)</f>
        <v/>
      </c>
      <c r="P157" s="52">
        <f>IF(AND(BANCO_OK_3,B157&lt;=MESES),IF(OR(OF_TIPO_3="Fija",C157&lt;=OF_ANIOS_INI_3),OF_TIN_3,MAX(0,EURIBOR+OF_DIF_3)),0)</f>
        <v/>
      </c>
      <c r="Q157" s="58">
        <f>IF(AND(BANCO_OK_3,B157&lt;=MESES),IF(OR(B157=1,P157&lt;&gt;P156),PMT(P157/1200,MESES-B157+1,-T156),Q156),0)</f>
        <v/>
      </c>
      <c r="R157" s="58">
        <f>T156*P157/1200</f>
        <v/>
      </c>
      <c r="S157" s="58">
        <f>IF(AND(BANCO_OK_3,B157&lt;=MESES),IF(OR(B157=MESES,Q157-R157&gt;T156),T156,Q157-R157),0)</f>
        <v/>
      </c>
      <c r="T157" s="58">
        <f>T156-S157</f>
        <v/>
      </c>
      <c r="U157" s="58">
        <f>IF(AND(BANCO_OK_3,B157&lt;=MESES),R157+S157+VINC_MES_3,0)</f>
        <v/>
      </c>
      <c r="V157" s="52">
        <f>IF(AND(BANCO_OK_4,B157&lt;=MESES),IF(OR(OF_TIPO_4="Fija",C157&lt;=OF_ANIOS_INI_4),OF_TIN_4,MAX(0,EURIBOR+OF_DIF_4)),0)</f>
        <v/>
      </c>
      <c r="W157" s="58">
        <f>IF(AND(BANCO_OK_4,B157&lt;=MESES),IF(OR(B157=1,V157&lt;&gt;V156),PMT(V157/1200,MESES-B157+1,-Z156),W156),0)</f>
        <v/>
      </c>
      <c r="X157" s="58">
        <f>Z156*V157/1200</f>
        <v/>
      </c>
      <c r="Y157" s="58">
        <f>IF(AND(BANCO_OK_4,B157&lt;=MESES),IF(OR(B157=MESES,W157-X157&gt;Z156),Z156,W157-X157),0)</f>
        <v/>
      </c>
      <c r="Z157" s="58">
        <f>Z156-Y157</f>
        <v/>
      </c>
      <c r="AA157" s="58">
        <f>IF(AND(BANCO_OK_4,B157&lt;=MESES),X157+Y157+VINC_MES_4,0)</f>
        <v/>
      </c>
    </row>
    <row r="158">
      <c r="B158" s="56" t="n">
        <v>150</v>
      </c>
      <c r="C158" s="56">
        <f>ROUNDUP(B158/12,0)</f>
        <v/>
      </c>
      <c r="D158" s="52">
        <f>IF(AND(BANCO_OK_1,B158&lt;=MESES),IF(OR(OF_TIPO_1="Fija",C158&lt;=OF_ANIOS_INI_1),OF_TIN_1,MAX(0,EURIBOR+OF_DIF_1)),0)</f>
        <v/>
      </c>
      <c r="E158" s="58">
        <f>IF(AND(BANCO_OK_1,B158&lt;=MESES),IF(OR(B158=1,D158&lt;&gt;D157),PMT(D158/1200,MESES-B158+1,-H157),E157),0)</f>
        <v/>
      </c>
      <c r="F158" s="58">
        <f>H157*D158/1200</f>
        <v/>
      </c>
      <c r="G158" s="58">
        <f>IF(AND(BANCO_OK_1,B158&lt;=MESES),IF(OR(B158=MESES,E158-F158&gt;H157),H157,E158-F158),0)</f>
        <v/>
      </c>
      <c r="H158" s="58">
        <f>H157-G158</f>
        <v/>
      </c>
      <c r="I158" s="58">
        <f>IF(AND(BANCO_OK_1,B158&lt;=MESES),F158+G158+VINC_MES_1,0)</f>
        <v/>
      </c>
      <c r="J158" s="52">
        <f>IF(AND(BANCO_OK_2,B158&lt;=MESES),IF(OR(OF_TIPO_2="Fija",C158&lt;=OF_ANIOS_INI_2),OF_TIN_2,MAX(0,EURIBOR+OF_DIF_2)),0)</f>
        <v/>
      </c>
      <c r="K158" s="58">
        <f>IF(AND(BANCO_OK_2,B158&lt;=MESES),IF(OR(B158=1,J158&lt;&gt;J157),PMT(J158/1200,MESES-B158+1,-N157),K157),0)</f>
        <v/>
      </c>
      <c r="L158" s="58">
        <f>N157*J158/1200</f>
        <v/>
      </c>
      <c r="M158" s="58">
        <f>IF(AND(BANCO_OK_2,B158&lt;=MESES),IF(OR(B158=MESES,K158-L158&gt;N157),N157,K158-L158),0)</f>
        <v/>
      </c>
      <c r="N158" s="58">
        <f>N157-M158</f>
        <v/>
      </c>
      <c r="O158" s="58">
        <f>IF(AND(BANCO_OK_2,B158&lt;=MESES),L158+M158+VINC_MES_2,0)</f>
        <v/>
      </c>
      <c r="P158" s="52">
        <f>IF(AND(BANCO_OK_3,B158&lt;=MESES),IF(OR(OF_TIPO_3="Fija",C158&lt;=OF_ANIOS_INI_3),OF_TIN_3,MAX(0,EURIBOR+OF_DIF_3)),0)</f>
        <v/>
      </c>
      <c r="Q158" s="58">
        <f>IF(AND(BANCO_OK_3,B158&lt;=MESES),IF(OR(B158=1,P158&lt;&gt;P157),PMT(P158/1200,MESES-B158+1,-T157),Q157),0)</f>
        <v/>
      </c>
      <c r="R158" s="58">
        <f>T157*P158/1200</f>
        <v/>
      </c>
      <c r="S158" s="58">
        <f>IF(AND(BANCO_OK_3,B158&lt;=MESES),IF(OR(B158=MESES,Q158-R158&gt;T157),T157,Q158-R158),0)</f>
        <v/>
      </c>
      <c r="T158" s="58">
        <f>T157-S158</f>
        <v/>
      </c>
      <c r="U158" s="58">
        <f>IF(AND(BANCO_OK_3,B158&lt;=MESES),R158+S158+VINC_MES_3,0)</f>
        <v/>
      </c>
      <c r="V158" s="52">
        <f>IF(AND(BANCO_OK_4,B158&lt;=MESES),IF(OR(OF_TIPO_4="Fija",C158&lt;=OF_ANIOS_INI_4),OF_TIN_4,MAX(0,EURIBOR+OF_DIF_4)),0)</f>
        <v/>
      </c>
      <c r="W158" s="58">
        <f>IF(AND(BANCO_OK_4,B158&lt;=MESES),IF(OR(B158=1,V158&lt;&gt;V157),PMT(V158/1200,MESES-B158+1,-Z157),W157),0)</f>
        <v/>
      </c>
      <c r="X158" s="58">
        <f>Z157*V158/1200</f>
        <v/>
      </c>
      <c r="Y158" s="58">
        <f>IF(AND(BANCO_OK_4,B158&lt;=MESES),IF(OR(B158=MESES,W158-X158&gt;Z157),Z157,W158-X158),0)</f>
        <v/>
      </c>
      <c r="Z158" s="58">
        <f>Z157-Y158</f>
        <v/>
      </c>
      <c r="AA158" s="58">
        <f>IF(AND(BANCO_OK_4,B158&lt;=MESES),X158+Y158+VINC_MES_4,0)</f>
        <v/>
      </c>
    </row>
    <row r="159">
      <c r="B159" s="56" t="n">
        <v>151</v>
      </c>
      <c r="C159" s="56">
        <f>ROUNDUP(B159/12,0)</f>
        <v/>
      </c>
      <c r="D159" s="52">
        <f>IF(AND(BANCO_OK_1,B159&lt;=MESES),IF(OR(OF_TIPO_1="Fija",C159&lt;=OF_ANIOS_INI_1),OF_TIN_1,MAX(0,EURIBOR+OF_DIF_1)),0)</f>
        <v/>
      </c>
      <c r="E159" s="58">
        <f>IF(AND(BANCO_OK_1,B159&lt;=MESES),IF(OR(B159=1,D159&lt;&gt;D158),PMT(D159/1200,MESES-B159+1,-H158),E158),0)</f>
        <v/>
      </c>
      <c r="F159" s="58">
        <f>H158*D159/1200</f>
        <v/>
      </c>
      <c r="G159" s="58">
        <f>IF(AND(BANCO_OK_1,B159&lt;=MESES),IF(OR(B159=MESES,E159-F159&gt;H158),H158,E159-F159),0)</f>
        <v/>
      </c>
      <c r="H159" s="58">
        <f>H158-G159</f>
        <v/>
      </c>
      <c r="I159" s="58">
        <f>IF(AND(BANCO_OK_1,B159&lt;=MESES),F159+G159+VINC_MES_1,0)</f>
        <v/>
      </c>
      <c r="J159" s="52">
        <f>IF(AND(BANCO_OK_2,B159&lt;=MESES),IF(OR(OF_TIPO_2="Fija",C159&lt;=OF_ANIOS_INI_2),OF_TIN_2,MAX(0,EURIBOR+OF_DIF_2)),0)</f>
        <v/>
      </c>
      <c r="K159" s="58">
        <f>IF(AND(BANCO_OK_2,B159&lt;=MESES),IF(OR(B159=1,J159&lt;&gt;J158),PMT(J159/1200,MESES-B159+1,-N158),K158),0)</f>
        <v/>
      </c>
      <c r="L159" s="58">
        <f>N158*J159/1200</f>
        <v/>
      </c>
      <c r="M159" s="58">
        <f>IF(AND(BANCO_OK_2,B159&lt;=MESES),IF(OR(B159=MESES,K159-L159&gt;N158),N158,K159-L159),0)</f>
        <v/>
      </c>
      <c r="N159" s="58">
        <f>N158-M159</f>
        <v/>
      </c>
      <c r="O159" s="58">
        <f>IF(AND(BANCO_OK_2,B159&lt;=MESES),L159+M159+VINC_MES_2,0)</f>
        <v/>
      </c>
      <c r="P159" s="52">
        <f>IF(AND(BANCO_OK_3,B159&lt;=MESES),IF(OR(OF_TIPO_3="Fija",C159&lt;=OF_ANIOS_INI_3),OF_TIN_3,MAX(0,EURIBOR+OF_DIF_3)),0)</f>
        <v/>
      </c>
      <c r="Q159" s="58">
        <f>IF(AND(BANCO_OK_3,B159&lt;=MESES),IF(OR(B159=1,P159&lt;&gt;P158),PMT(P159/1200,MESES-B159+1,-T158),Q158),0)</f>
        <v/>
      </c>
      <c r="R159" s="58">
        <f>T158*P159/1200</f>
        <v/>
      </c>
      <c r="S159" s="58">
        <f>IF(AND(BANCO_OK_3,B159&lt;=MESES),IF(OR(B159=MESES,Q159-R159&gt;T158),T158,Q159-R159),0)</f>
        <v/>
      </c>
      <c r="T159" s="58">
        <f>T158-S159</f>
        <v/>
      </c>
      <c r="U159" s="58">
        <f>IF(AND(BANCO_OK_3,B159&lt;=MESES),R159+S159+VINC_MES_3,0)</f>
        <v/>
      </c>
      <c r="V159" s="52">
        <f>IF(AND(BANCO_OK_4,B159&lt;=MESES),IF(OR(OF_TIPO_4="Fija",C159&lt;=OF_ANIOS_INI_4),OF_TIN_4,MAX(0,EURIBOR+OF_DIF_4)),0)</f>
        <v/>
      </c>
      <c r="W159" s="58">
        <f>IF(AND(BANCO_OK_4,B159&lt;=MESES),IF(OR(B159=1,V159&lt;&gt;V158),PMT(V159/1200,MESES-B159+1,-Z158),W158),0)</f>
        <v/>
      </c>
      <c r="X159" s="58">
        <f>Z158*V159/1200</f>
        <v/>
      </c>
      <c r="Y159" s="58">
        <f>IF(AND(BANCO_OK_4,B159&lt;=MESES),IF(OR(B159=MESES,W159-X159&gt;Z158),Z158,W159-X159),0)</f>
        <v/>
      </c>
      <c r="Z159" s="58">
        <f>Z158-Y159</f>
        <v/>
      </c>
      <c r="AA159" s="58">
        <f>IF(AND(BANCO_OK_4,B159&lt;=MESES),X159+Y159+VINC_MES_4,0)</f>
        <v/>
      </c>
    </row>
    <row r="160">
      <c r="B160" s="56" t="n">
        <v>152</v>
      </c>
      <c r="C160" s="56">
        <f>ROUNDUP(B160/12,0)</f>
        <v/>
      </c>
      <c r="D160" s="52">
        <f>IF(AND(BANCO_OK_1,B160&lt;=MESES),IF(OR(OF_TIPO_1="Fija",C160&lt;=OF_ANIOS_INI_1),OF_TIN_1,MAX(0,EURIBOR+OF_DIF_1)),0)</f>
        <v/>
      </c>
      <c r="E160" s="58">
        <f>IF(AND(BANCO_OK_1,B160&lt;=MESES),IF(OR(B160=1,D160&lt;&gt;D159),PMT(D160/1200,MESES-B160+1,-H159),E159),0)</f>
        <v/>
      </c>
      <c r="F160" s="58">
        <f>H159*D160/1200</f>
        <v/>
      </c>
      <c r="G160" s="58">
        <f>IF(AND(BANCO_OK_1,B160&lt;=MESES),IF(OR(B160=MESES,E160-F160&gt;H159),H159,E160-F160),0)</f>
        <v/>
      </c>
      <c r="H160" s="58">
        <f>H159-G160</f>
        <v/>
      </c>
      <c r="I160" s="58">
        <f>IF(AND(BANCO_OK_1,B160&lt;=MESES),F160+G160+VINC_MES_1,0)</f>
        <v/>
      </c>
      <c r="J160" s="52">
        <f>IF(AND(BANCO_OK_2,B160&lt;=MESES),IF(OR(OF_TIPO_2="Fija",C160&lt;=OF_ANIOS_INI_2),OF_TIN_2,MAX(0,EURIBOR+OF_DIF_2)),0)</f>
        <v/>
      </c>
      <c r="K160" s="58">
        <f>IF(AND(BANCO_OK_2,B160&lt;=MESES),IF(OR(B160=1,J160&lt;&gt;J159),PMT(J160/1200,MESES-B160+1,-N159),K159),0)</f>
        <v/>
      </c>
      <c r="L160" s="58">
        <f>N159*J160/1200</f>
        <v/>
      </c>
      <c r="M160" s="58">
        <f>IF(AND(BANCO_OK_2,B160&lt;=MESES),IF(OR(B160=MESES,K160-L160&gt;N159),N159,K160-L160),0)</f>
        <v/>
      </c>
      <c r="N160" s="58">
        <f>N159-M160</f>
        <v/>
      </c>
      <c r="O160" s="58">
        <f>IF(AND(BANCO_OK_2,B160&lt;=MESES),L160+M160+VINC_MES_2,0)</f>
        <v/>
      </c>
      <c r="P160" s="52">
        <f>IF(AND(BANCO_OK_3,B160&lt;=MESES),IF(OR(OF_TIPO_3="Fija",C160&lt;=OF_ANIOS_INI_3),OF_TIN_3,MAX(0,EURIBOR+OF_DIF_3)),0)</f>
        <v/>
      </c>
      <c r="Q160" s="58">
        <f>IF(AND(BANCO_OK_3,B160&lt;=MESES),IF(OR(B160=1,P160&lt;&gt;P159),PMT(P160/1200,MESES-B160+1,-T159),Q159),0)</f>
        <v/>
      </c>
      <c r="R160" s="58">
        <f>T159*P160/1200</f>
        <v/>
      </c>
      <c r="S160" s="58">
        <f>IF(AND(BANCO_OK_3,B160&lt;=MESES),IF(OR(B160=MESES,Q160-R160&gt;T159),T159,Q160-R160),0)</f>
        <v/>
      </c>
      <c r="T160" s="58">
        <f>T159-S160</f>
        <v/>
      </c>
      <c r="U160" s="58">
        <f>IF(AND(BANCO_OK_3,B160&lt;=MESES),R160+S160+VINC_MES_3,0)</f>
        <v/>
      </c>
      <c r="V160" s="52">
        <f>IF(AND(BANCO_OK_4,B160&lt;=MESES),IF(OR(OF_TIPO_4="Fija",C160&lt;=OF_ANIOS_INI_4),OF_TIN_4,MAX(0,EURIBOR+OF_DIF_4)),0)</f>
        <v/>
      </c>
      <c r="W160" s="58">
        <f>IF(AND(BANCO_OK_4,B160&lt;=MESES),IF(OR(B160=1,V160&lt;&gt;V159),PMT(V160/1200,MESES-B160+1,-Z159),W159),0)</f>
        <v/>
      </c>
      <c r="X160" s="58">
        <f>Z159*V160/1200</f>
        <v/>
      </c>
      <c r="Y160" s="58">
        <f>IF(AND(BANCO_OK_4,B160&lt;=MESES),IF(OR(B160=MESES,W160-X160&gt;Z159),Z159,W160-X160),0)</f>
        <v/>
      </c>
      <c r="Z160" s="58">
        <f>Z159-Y160</f>
        <v/>
      </c>
      <c r="AA160" s="58">
        <f>IF(AND(BANCO_OK_4,B160&lt;=MESES),X160+Y160+VINC_MES_4,0)</f>
        <v/>
      </c>
    </row>
    <row r="161">
      <c r="B161" s="56" t="n">
        <v>153</v>
      </c>
      <c r="C161" s="56">
        <f>ROUNDUP(B161/12,0)</f>
        <v/>
      </c>
      <c r="D161" s="52">
        <f>IF(AND(BANCO_OK_1,B161&lt;=MESES),IF(OR(OF_TIPO_1="Fija",C161&lt;=OF_ANIOS_INI_1),OF_TIN_1,MAX(0,EURIBOR+OF_DIF_1)),0)</f>
        <v/>
      </c>
      <c r="E161" s="58">
        <f>IF(AND(BANCO_OK_1,B161&lt;=MESES),IF(OR(B161=1,D161&lt;&gt;D160),PMT(D161/1200,MESES-B161+1,-H160),E160),0)</f>
        <v/>
      </c>
      <c r="F161" s="58">
        <f>H160*D161/1200</f>
        <v/>
      </c>
      <c r="G161" s="58">
        <f>IF(AND(BANCO_OK_1,B161&lt;=MESES),IF(OR(B161=MESES,E161-F161&gt;H160),H160,E161-F161),0)</f>
        <v/>
      </c>
      <c r="H161" s="58">
        <f>H160-G161</f>
        <v/>
      </c>
      <c r="I161" s="58">
        <f>IF(AND(BANCO_OK_1,B161&lt;=MESES),F161+G161+VINC_MES_1,0)</f>
        <v/>
      </c>
      <c r="J161" s="52">
        <f>IF(AND(BANCO_OK_2,B161&lt;=MESES),IF(OR(OF_TIPO_2="Fija",C161&lt;=OF_ANIOS_INI_2),OF_TIN_2,MAX(0,EURIBOR+OF_DIF_2)),0)</f>
        <v/>
      </c>
      <c r="K161" s="58">
        <f>IF(AND(BANCO_OK_2,B161&lt;=MESES),IF(OR(B161=1,J161&lt;&gt;J160),PMT(J161/1200,MESES-B161+1,-N160),K160),0)</f>
        <v/>
      </c>
      <c r="L161" s="58">
        <f>N160*J161/1200</f>
        <v/>
      </c>
      <c r="M161" s="58">
        <f>IF(AND(BANCO_OK_2,B161&lt;=MESES),IF(OR(B161=MESES,K161-L161&gt;N160),N160,K161-L161),0)</f>
        <v/>
      </c>
      <c r="N161" s="58">
        <f>N160-M161</f>
        <v/>
      </c>
      <c r="O161" s="58">
        <f>IF(AND(BANCO_OK_2,B161&lt;=MESES),L161+M161+VINC_MES_2,0)</f>
        <v/>
      </c>
      <c r="P161" s="52">
        <f>IF(AND(BANCO_OK_3,B161&lt;=MESES),IF(OR(OF_TIPO_3="Fija",C161&lt;=OF_ANIOS_INI_3),OF_TIN_3,MAX(0,EURIBOR+OF_DIF_3)),0)</f>
        <v/>
      </c>
      <c r="Q161" s="58">
        <f>IF(AND(BANCO_OK_3,B161&lt;=MESES),IF(OR(B161=1,P161&lt;&gt;P160),PMT(P161/1200,MESES-B161+1,-T160),Q160),0)</f>
        <v/>
      </c>
      <c r="R161" s="58">
        <f>T160*P161/1200</f>
        <v/>
      </c>
      <c r="S161" s="58">
        <f>IF(AND(BANCO_OK_3,B161&lt;=MESES),IF(OR(B161=MESES,Q161-R161&gt;T160),T160,Q161-R161),0)</f>
        <v/>
      </c>
      <c r="T161" s="58">
        <f>T160-S161</f>
        <v/>
      </c>
      <c r="U161" s="58">
        <f>IF(AND(BANCO_OK_3,B161&lt;=MESES),R161+S161+VINC_MES_3,0)</f>
        <v/>
      </c>
      <c r="V161" s="52">
        <f>IF(AND(BANCO_OK_4,B161&lt;=MESES),IF(OR(OF_TIPO_4="Fija",C161&lt;=OF_ANIOS_INI_4),OF_TIN_4,MAX(0,EURIBOR+OF_DIF_4)),0)</f>
        <v/>
      </c>
      <c r="W161" s="58">
        <f>IF(AND(BANCO_OK_4,B161&lt;=MESES),IF(OR(B161=1,V161&lt;&gt;V160),PMT(V161/1200,MESES-B161+1,-Z160),W160),0)</f>
        <v/>
      </c>
      <c r="X161" s="58">
        <f>Z160*V161/1200</f>
        <v/>
      </c>
      <c r="Y161" s="58">
        <f>IF(AND(BANCO_OK_4,B161&lt;=MESES),IF(OR(B161=MESES,W161-X161&gt;Z160),Z160,W161-X161),0)</f>
        <v/>
      </c>
      <c r="Z161" s="58">
        <f>Z160-Y161</f>
        <v/>
      </c>
      <c r="AA161" s="58">
        <f>IF(AND(BANCO_OK_4,B161&lt;=MESES),X161+Y161+VINC_MES_4,0)</f>
        <v/>
      </c>
    </row>
    <row r="162">
      <c r="B162" s="56" t="n">
        <v>154</v>
      </c>
      <c r="C162" s="56">
        <f>ROUNDUP(B162/12,0)</f>
        <v/>
      </c>
      <c r="D162" s="52">
        <f>IF(AND(BANCO_OK_1,B162&lt;=MESES),IF(OR(OF_TIPO_1="Fija",C162&lt;=OF_ANIOS_INI_1),OF_TIN_1,MAX(0,EURIBOR+OF_DIF_1)),0)</f>
        <v/>
      </c>
      <c r="E162" s="58">
        <f>IF(AND(BANCO_OK_1,B162&lt;=MESES),IF(OR(B162=1,D162&lt;&gt;D161),PMT(D162/1200,MESES-B162+1,-H161),E161),0)</f>
        <v/>
      </c>
      <c r="F162" s="58">
        <f>H161*D162/1200</f>
        <v/>
      </c>
      <c r="G162" s="58">
        <f>IF(AND(BANCO_OK_1,B162&lt;=MESES),IF(OR(B162=MESES,E162-F162&gt;H161),H161,E162-F162),0)</f>
        <v/>
      </c>
      <c r="H162" s="58">
        <f>H161-G162</f>
        <v/>
      </c>
      <c r="I162" s="58">
        <f>IF(AND(BANCO_OK_1,B162&lt;=MESES),F162+G162+VINC_MES_1,0)</f>
        <v/>
      </c>
      <c r="J162" s="52">
        <f>IF(AND(BANCO_OK_2,B162&lt;=MESES),IF(OR(OF_TIPO_2="Fija",C162&lt;=OF_ANIOS_INI_2),OF_TIN_2,MAX(0,EURIBOR+OF_DIF_2)),0)</f>
        <v/>
      </c>
      <c r="K162" s="58">
        <f>IF(AND(BANCO_OK_2,B162&lt;=MESES),IF(OR(B162=1,J162&lt;&gt;J161),PMT(J162/1200,MESES-B162+1,-N161),K161),0)</f>
        <v/>
      </c>
      <c r="L162" s="58">
        <f>N161*J162/1200</f>
        <v/>
      </c>
      <c r="M162" s="58">
        <f>IF(AND(BANCO_OK_2,B162&lt;=MESES),IF(OR(B162=MESES,K162-L162&gt;N161),N161,K162-L162),0)</f>
        <v/>
      </c>
      <c r="N162" s="58">
        <f>N161-M162</f>
        <v/>
      </c>
      <c r="O162" s="58">
        <f>IF(AND(BANCO_OK_2,B162&lt;=MESES),L162+M162+VINC_MES_2,0)</f>
        <v/>
      </c>
      <c r="P162" s="52">
        <f>IF(AND(BANCO_OK_3,B162&lt;=MESES),IF(OR(OF_TIPO_3="Fija",C162&lt;=OF_ANIOS_INI_3),OF_TIN_3,MAX(0,EURIBOR+OF_DIF_3)),0)</f>
        <v/>
      </c>
      <c r="Q162" s="58">
        <f>IF(AND(BANCO_OK_3,B162&lt;=MESES),IF(OR(B162=1,P162&lt;&gt;P161),PMT(P162/1200,MESES-B162+1,-T161),Q161),0)</f>
        <v/>
      </c>
      <c r="R162" s="58">
        <f>T161*P162/1200</f>
        <v/>
      </c>
      <c r="S162" s="58">
        <f>IF(AND(BANCO_OK_3,B162&lt;=MESES),IF(OR(B162=MESES,Q162-R162&gt;T161),T161,Q162-R162),0)</f>
        <v/>
      </c>
      <c r="T162" s="58">
        <f>T161-S162</f>
        <v/>
      </c>
      <c r="U162" s="58">
        <f>IF(AND(BANCO_OK_3,B162&lt;=MESES),R162+S162+VINC_MES_3,0)</f>
        <v/>
      </c>
      <c r="V162" s="52">
        <f>IF(AND(BANCO_OK_4,B162&lt;=MESES),IF(OR(OF_TIPO_4="Fija",C162&lt;=OF_ANIOS_INI_4),OF_TIN_4,MAX(0,EURIBOR+OF_DIF_4)),0)</f>
        <v/>
      </c>
      <c r="W162" s="58">
        <f>IF(AND(BANCO_OK_4,B162&lt;=MESES),IF(OR(B162=1,V162&lt;&gt;V161),PMT(V162/1200,MESES-B162+1,-Z161),W161),0)</f>
        <v/>
      </c>
      <c r="X162" s="58">
        <f>Z161*V162/1200</f>
        <v/>
      </c>
      <c r="Y162" s="58">
        <f>IF(AND(BANCO_OK_4,B162&lt;=MESES),IF(OR(B162=MESES,W162-X162&gt;Z161),Z161,W162-X162),0)</f>
        <v/>
      </c>
      <c r="Z162" s="58">
        <f>Z161-Y162</f>
        <v/>
      </c>
      <c r="AA162" s="58">
        <f>IF(AND(BANCO_OK_4,B162&lt;=MESES),X162+Y162+VINC_MES_4,0)</f>
        <v/>
      </c>
    </row>
    <row r="163">
      <c r="B163" s="56" t="n">
        <v>155</v>
      </c>
      <c r="C163" s="56">
        <f>ROUNDUP(B163/12,0)</f>
        <v/>
      </c>
      <c r="D163" s="52">
        <f>IF(AND(BANCO_OK_1,B163&lt;=MESES),IF(OR(OF_TIPO_1="Fija",C163&lt;=OF_ANIOS_INI_1),OF_TIN_1,MAX(0,EURIBOR+OF_DIF_1)),0)</f>
        <v/>
      </c>
      <c r="E163" s="58">
        <f>IF(AND(BANCO_OK_1,B163&lt;=MESES),IF(OR(B163=1,D163&lt;&gt;D162),PMT(D163/1200,MESES-B163+1,-H162),E162),0)</f>
        <v/>
      </c>
      <c r="F163" s="58">
        <f>H162*D163/1200</f>
        <v/>
      </c>
      <c r="G163" s="58">
        <f>IF(AND(BANCO_OK_1,B163&lt;=MESES),IF(OR(B163=MESES,E163-F163&gt;H162),H162,E163-F163),0)</f>
        <v/>
      </c>
      <c r="H163" s="58">
        <f>H162-G163</f>
        <v/>
      </c>
      <c r="I163" s="58">
        <f>IF(AND(BANCO_OK_1,B163&lt;=MESES),F163+G163+VINC_MES_1,0)</f>
        <v/>
      </c>
      <c r="J163" s="52">
        <f>IF(AND(BANCO_OK_2,B163&lt;=MESES),IF(OR(OF_TIPO_2="Fija",C163&lt;=OF_ANIOS_INI_2),OF_TIN_2,MAX(0,EURIBOR+OF_DIF_2)),0)</f>
        <v/>
      </c>
      <c r="K163" s="58">
        <f>IF(AND(BANCO_OK_2,B163&lt;=MESES),IF(OR(B163=1,J163&lt;&gt;J162),PMT(J163/1200,MESES-B163+1,-N162),K162),0)</f>
        <v/>
      </c>
      <c r="L163" s="58">
        <f>N162*J163/1200</f>
        <v/>
      </c>
      <c r="M163" s="58">
        <f>IF(AND(BANCO_OK_2,B163&lt;=MESES),IF(OR(B163=MESES,K163-L163&gt;N162),N162,K163-L163),0)</f>
        <v/>
      </c>
      <c r="N163" s="58">
        <f>N162-M163</f>
        <v/>
      </c>
      <c r="O163" s="58">
        <f>IF(AND(BANCO_OK_2,B163&lt;=MESES),L163+M163+VINC_MES_2,0)</f>
        <v/>
      </c>
      <c r="P163" s="52">
        <f>IF(AND(BANCO_OK_3,B163&lt;=MESES),IF(OR(OF_TIPO_3="Fija",C163&lt;=OF_ANIOS_INI_3),OF_TIN_3,MAX(0,EURIBOR+OF_DIF_3)),0)</f>
        <v/>
      </c>
      <c r="Q163" s="58">
        <f>IF(AND(BANCO_OK_3,B163&lt;=MESES),IF(OR(B163=1,P163&lt;&gt;P162),PMT(P163/1200,MESES-B163+1,-T162),Q162),0)</f>
        <v/>
      </c>
      <c r="R163" s="58">
        <f>T162*P163/1200</f>
        <v/>
      </c>
      <c r="S163" s="58">
        <f>IF(AND(BANCO_OK_3,B163&lt;=MESES),IF(OR(B163=MESES,Q163-R163&gt;T162),T162,Q163-R163),0)</f>
        <v/>
      </c>
      <c r="T163" s="58">
        <f>T162-S163</f>
        <v/>
      </c>
      <c r="U163" s="58">
        <f>IF(AND(BANCO_OK_3,B163&lt;=MESES),R163+S163+VINC_MES_3,0)</f>
        <v/>
      </c>
      <c r="V163" s="52">
        <f>IF(AND(BANCO_OK_4,B163&lt;=MESES),IF(OR(OF_TIPO_4="Fija",C163&lt;=OF_ANIOS_INI_4),OF_TIN_4,MAX(0,EURIBOR+OF_DIF_4)),0)</f>
        <v/>
      </c>
      <c r="W163" s="58">
        <f>IF(AND(BANCO_OK_4,B163&lt;=MESES),IF(OR(B163=1,V163&lt;&gt;V162),PMT(V163/1200,MESES-B163+1,-Z162),W162),0)</f>
        <v/>
      </c>
      <c r="X163" s="58">
        <f>Z162*V163/1200</f>
        <v/>
      </c>
      <c r="Y163" s="58">
        <f>IF(AND(BANCO_OK_4,B163&lt;=MESES),IF(OR(B163=MESES,W163-X163&gt;Z162),Z162,W163-X163),0)</f>
        <v/>
      </c>
      <c r="Z163" s="58">
        <f>Z162-Y163</f>
        <v/>
      </c>
      <c r="AA163" s="58">
        <f>IF(AND(BANCO_OK_4,B163&lt;=MESES),X163+Y163+VINC_MES_4,0)</f>
        <v/>
      </c>
    </row>
    <row r="164">
      <c r="B164" s="56" t="n">
        <v>156</v>
      </c>
      <c r="C164" s="56">
        <f>ROUNDUP(B164/12,0)</f>
        <v/>
      </c>
      <c r="D164" s="52">
        <f>IF(AND(BANCO_OK_1,B164&lt;=MESES),IF(OR(OF_TIPO_1="Fija",C164&lt;=OF_ANIOS_INI_1),OF_TIN_1,MAX(0,EURIBOR+OF_DIF_1)),0)</f>
        <v/>
      </c>
      <c r="E164" s="58">
        <f>IF(AND(BANCO_OK_1,B164&lt;=MESES),IF(OR(B164=1,D164&lt;&gt;D163),PMT(D164/1200,MESES-B164+1,-H163),E163),0)</f>
        <v/>
      </c>
      <c r="F164" s="58">
        <f>H163*D164/1200</f>
        <v/>
      </c>
      <c r="G164" s="58">
        <f>IF(AND(BANCO_OK_1,B164&lt;=MESES),IF(OR(B164=MESES,E164-F164&gt;H163),H163,E164-F164),0)</f>
        <v/>
      </c>
      <c r="H164" s="58">
        <f>H163-G164</f>
        <v/>
      </c>
      <c r="I164" s="58">
        <f>IF(AND(BANCO_OK_1,B164&lt;=MESES),F164+G164+VINC_MES_1,0)</f>
        <v/>
      </c>
      <c r="J164" s="52">
        <f>IF(AND(BANCO_OK_2,B164&lt;=MESES),IF(OR(OF_TIPO_2="Fija",C164&lt;=OF_ANIOS_INI_2),OF_TIN_2,MAX(0,EURIBOR+OF_DIF_2)),0)</f>
        <v/>
      </c>
      <c r="K164" s="58">
        <f>IF(AND(BANCO_OK_2,B164&lt;=MESES),IF(OR(B164=1,J164&lt;&gt;J163),PMT(J164/1200,MESES-B164+1,-N163),K163),0)</f>
        <v/>
      </c>
      <c r="L164" s="58">
        <f>N163*J164/1200</f>
        <v/>
      </c>
      <c r="M164" s="58">
        <f>IF(AND(BANCO_OK_2,B164&lt;=MESES),IF(OR(B164=MESES,K164-L164&gt;N163),N163,K164-L164),0)</f>
        <v/>
      </c>
      <c r="N164" s="58">
        <f>N163-M164</f>
        <v/>
      </c>
      <c r="O164" s="58">
        <f>IF(AND(BANCO_OK_2,B164&lt;=MESES),L164+M164+VINC_MES_2,0)</f>
        <v/>
      </c>
      <c r="P164" s="52">
        <f>IF(AND(BANCO_OK_3,B164&lt;=MESES),IF(OR(OF_TIPO_3="Fija",C164&lt;=OF_ANIOS_INI_3),OF_TIN_3,MAX(0,EURIBOR+OF_DIF_3)),0)</f>
        <v/>
      </c>
      <c r="Q164" s="58">
        <f>IF(AND(BANCO_OK_3,B164&lt;=MESES),IF(OR(B164=1,P164&lt;&gt;P163),PMT(P164/1200,MESES-B164+1,-T163),Q163),0)</f>
        <v/>
      </c>
      <c r="R164" s="58">
        <f>T163*P164/1200</f>
        <v/>
      </c>
      <c r="S164" s="58">
        <f>IF(AND(BANCO_OK_3,B164&lt;=MESES),IF(OR(B164=MESES,Q164-R164&gt;T163),T163,Q164-R164),0)</f>
        <v/>
      </c>
      <c r="T164" s="58">
        <f>T163-S164</f>
        <v/>
      </c>
      <c r="U164" s="58">
        <f>IF(AND(BANCO_OK_3,B164&lt;=MESES),R164+S164+VINC_MES_3,0)</f>
        <v/>
      </c>
      <c r="V164" s="52">
        <f>IF(AND(BANCO_OK_4,B164&lt;=MESES),IF(OR(OF_TIPO_4="Fija",C164&lt;=OF_ANIOS_INI_4),OF_TIN_4,MAX(0,EURIBOR+OF_DIF_4)),0)</f>
        <v/>
      </c>
      <c r="W164" s="58">
        <f>IF(AND(BANCO_OK_4,B164&lt;=MESES),IF(OR(B164=1,V164&lt;&gt;V163),PMT(V164/1200,MESES-B164+1,-Z163),W163),0)</f>
        <v/>
      </c>
      <c r="X164" s="58">
        <f>Z163*V164/1200</f>
        <v/>
      </c>
      <c r="Y164" s="58">
        <f>IF(AND(BANCO_OK_4,B164&lt;=MESES),IF(OR(B164=MESES,W164-X164&gt;Z163),Z163,W164-X164),0)</f>
        <v/>
      </c>
      <c r="Z164" s="58">
        <f>Z163-Y164</f>
        <v/>
      </c>
      <c r="AA164" s="58">
        <f>IF(AND(BANCO_OK_4,B164&lt;=MESES),X164+Y164+VINC_MES_4,0)</f>
        <v/>
      </c>
    </row>
    <row r="165">
      <c r="B165" s="56" t="n">
        <v>157</v>
      </c>
      <c r="C165" s="56">
        <f>ROUNDUP(B165/12,0)</f>
        <v/>
      </c>
      <c r="D165" s="52">
        <f>IF(AND(BANCO_OK_1,B165&lt;=MESES),IF(OR(OF_TIPO_1="Fija",C165&lt;=OF_ANIOS_INI_1),OF_TIN_1,MAX(0,EURIBOR+OF_DIF_1)),0)</f>
        <v/>
      </c>
      <c r="E165" s="58">
        <f>IF(AND(BANCO_OK_1,B165&lt;=MESES),IF(OR(B165=1,D165&lt;&gt;D164),PMT(D165/1200,MESES-B165+1,-H164),E164),0)</f>
        <v/>
      </c>
      <c r="F165" s="58">
        <f>H164*D165/1200</f>
        <v/>
      </c>
      <c r="G165" s="58">
        <f>IF(AND(BANCO_OK_1,B165&lt;=MESES),IF(OR(B165=MESES,E165-F165&gt;H164),H164,E165-F165),0)</f>
        <v/>
      </c>
      <c r="H165" s="58">
        <f>H164-G165</f>
        <v/>
      </c>
      <c r="I165" s="58">
        <f>IF(AND(BANCO_OK_1,B165&lt;=MESES),F165+G165+VINC_MES_1,0)</f>
        <v/>
      </c>
      <c r="J165" s="52">
        <f>IF(AND(BANCO_OK_2,B165&lt;=MESES),IF(OR(OF_TIPO_2="Fija",C165&lt;=OF_ANIOS_INI_2),OF_TIN_2,MAX(0,EURIBOR+OF_DIF_2)),0)</f>
        <v/>
      </c>
      <c r="K165" s="58">
        <f>IF(AND(BANCO_OK_2,B165&lt;=MESES),IF(OR(B165=1,J165&lt;&gt;J164),PMT(J165/1200,MESES-B165+1,-N164),K164),0)</f>
        <v/>
      </c>
      <c r="L165" s="58">
        <f>N164*J165/1200</f>
        <v/>
      </c>
      <c r="M165" s="58">
        <f>IF(AND(BANCO_OK_2,B165&lt;=MESES),IF(OR(B165=MESES,K165-L165&gt;N164),N164,K165-L165),0)</f>
        <v/>
      </c>
      <c r="N165" s="58">
        <f>N164-M165</f>
        <v/>
      </c>
      <c r="O165" s="58">
        <f>IF(AND(BANCO_OK_2,B165&lt;=MESES),L165+M165+VINC_MES_2,0)</f>
        <v/>
      </c>
      <c r="P165" s="52">
        <f>IF(AND(BANCO_OK_3,B165&lt;=MESES),IF(OR(OF_TIPO_3="Fija",C165&lt;=OF_ANIOS_INI_3),OF_TIN_3,MAX(0,EURIBOR+OF_DIF_3)),0)</f>
        <v/>
      </c>
      <c r="Q165" s="58">
        <f>IF(AND(BANCO_OK_3,B165&lt;=MESES),IF(OR(B165=1,P165&lt;&gt;P164),PMT(P165/1200,MESES-B165+1,-T164),Q164),0)</f>
        <v/>
      </c>
      <c r="R165" s="58">
        <f>T164*P165/1200</f>
        <v/>
      </c>
      <c r="S165" s="58">
        <f>IF(AND(BANCO_OK_3,B165&lt;=MESES),IF(OR(B165=MESES,Q165-R165&gt;T164),T164,Q165-R165),0)</f>
        <v/>
      </c>
      <c r="T165" s="58">
        <f>T164-S165</f>
        <v/>
      </c>
      <c r="U165" s="58">
        <f>IF(AND(BANCO_OK_3,B165&lt;=MESES),R165+S165+VINC_MES_3,0)</f>
        <v/>
      </c>
      <c r="V165" s="52">
        <f>IF(AND(BANCO_OK_4,B165&lt;=MESES),IF(OR(OF_TIPO_4="Fija",C165&lt;=OF_ANIOS_INI_4),OF_TIN_4,MAX(0,EURIBOR+OF_DIF_4)),0)</f>
        <v/>
      </c>
      <c r="W165" s="58">
        <f>IF(AND(BANCO_OK_4,B165&lt;=MESES),IF(OR(B165=1,V165&lt;&gt;V164),PMT(V165/1200,MESES-B165+1,-Z164),W164),0)</f>
        <v/>
      </c>
      <c r="X165" s="58">
        <f>Z164*V165/1200</f>
        <v/>
      </c>
      <c r="Y165" s="58">
        <f>IF(AND(BANCO_OK_4,B165&lt;=MESES),IF(OR(B165=MESES,W165-X165&gt;Z164),Z164,W165-X165),0)</f>
        <v/>
      </c>
      <c r="Z165" s="58">
        <f>Z164-Y165</f>
        <v/>
      </c>
      <c r="AA165" s="58">
        <f>IF(AND(BANCO_OK_4,B165&lt;=MESES),X165+Y165+VINC_MES_4,0)</f>
        <v/>
      </c>
    </row>
    <row r="166">
      <c r="B166" s="56" t="n">
        <v>158</v>
      </c>
      <c r="C166" s="56">
        <f>ROUNDUP(B166/12,0)</f>
        <v/>
      </c>
      <c r="D166" s="52">
        <f>IF(AND(BANCO_OK_1,B166&lt;=MESES),IF(OR(OF_TIPO_1="Fija",C166&lt;=OF_ANIOS_INI_1),OF_TIN_1,MAX(0,EURIBOR+OF_DIF_1)),0)</f>
        <v/>
      </c>
      <c r="E166" s="58">
        <f>IF(AND(BANCO_OK_1,B166&lt;=MESES),IF(OR(B166=1,D166&lt;&gt;D165),PMT(D166/1200,MESES-B166+1,-H165),E165),0)</f>
        <v/>
      </c>
      <c r="F166" s="58">
        <f>H165*D166/1200</f>
        <v/>
      </c>
      <c r="G166" s="58">
        <f>IF(AND(BANCO_OK_1,B166&lt;=MESES),IF(OR(B166=MESES,E166-F166&gt;H165),H165,E166-F166),0)</f>
        <v/>
      </c>
      <c r="H166" s="58">
        <f>H165-G166</f>
        <v/>
      </c>
      <c r="I166" s="58">
        <f>IF(AND(BANCO_OK_1,B166&lt;=MESES),F166+G166+VINC_MES_1,0)</f>
        <v/>
      </c>
      <c r="J166" s="52">
        <f>IF(AND(BANCO_OK_2,B166&lt;=MESES),IF(OR(OF_TIPO_2="Fija",C166&lt;=OF_ANIOS_INI_2),OF_TIN_2,MAX(0,EURIBOR+OF_DIF_2)),0)</f>
        <v/>
      </c>
      <c r="K166" s="58">
        <f>IF(AND(BANCO_OK_2,B166&lt;=MESES),IF(OR(B166=1,J166&lt;&gt;J165),PMT(J166/1200,MESES-B166+1,-N165),K165),0)</f>
        <v/>
      </c>
      <c r="L166" s="58">
        <f>N165*J166/1200</f>
        <v/>
      </c>
      <c r="M166" s="58">
        <f>IF(AND(BANCO_OK_2,B166&lt;=MESES),IF(OR(B166=MESES,K166-L166&gt;N165),N165,K166-L166),0)</f>
        <v/>
      </c>
      <c r="N166" s="58">
        <f>N165-M166</f>
        <v/>
      </c>
      <c r="O166" s="58">
        <f>IF(AND(BANCO_OK_2,B166&lt;=MESES),L166+M166+VINC_MES_2,0)</f>
        <v/>
      </c>
      <c r="P166" s="52">
        <f>IF(AND(BANCO_OK_3,B166&lt;=MESES),IF(OR(OF_TIPO_3="Fija",C166&lt;=OF_ANIOS_INI_3),OF_TIN_3,MAX(0,EURIBOR+OF_DIF_3)),0)</f>
        <v/>
      </c>
      <c r="Q166" s="58">
        <f>IF(AND(BANCO_OK_3,B166&lt;=MESES),IF(OR(B166=1,P166&lt;&gt;P165),PMT(P166/1200,MESES-B166+1,-T165),Q165),0)</f>
        <v/>
      </c>
      <c r="R166" s="58">
        <f>T165*P166/1200</f>
        <v/>
      </c>
      <c r="S166" s="58">
        <f>IF(AND(BANCO_OK_3,B166&lt;=MESES),IF(OR(B166=MESES,Q166-R166&gt;T165),T165,Q166-R166),0)</f>
        <v/>
      </c>
      <c r="T166" s="58">
        <f>T165-S166</f>
        <v/>
      </c>
      <c r="U166" s="58">
        <f>IF(AND(BANCO_OK_3,B166&lt;=MESES),R166+S166+VINC_MES_3,0)</f>
        <v/>
      </c>
      <c r="V166" s="52">
        <f>IF(AND(BANCO_OK_4,B166&lt;=MESES),IF(OR(OF_TIPO_4="Fija",C166&lt;=OF_ANIOS_INI_4),OF_TIN_4,MAX(0,EURIBOR+OF_DIF_4)),0)</f>
        <v/>
      </c>
      <c r="W166" s="58">
        <f>IF(AND(BANCO_OK_4,B166&lt;=MESES),IF(OR(B166=1,V166&lt;&gt;V165),PMT(V166/1200,MESES-B166+1,-Z165),W165),0)</f>
        <v/>
      </c>
      <c r="X166" s="58">
        <f>Z165*V166/1200</f>
        <v/>
      </c>
      <c r="Y166" s="58">
        <f>IF(AND(BANCO_OK_4,B166&lt;=MESES),IF(OR(B166=MESES,W166-X166&gt;Z165),Z165,W166-X166),0)</f>
        <v/>
      </c>
      <c r="Z166" s="58">
        <f>Z165-Y166</f>
        <v/>
      </c>
      <c r="AA166" s="58">
        <f>IF(AND(BANCO_OK_4,B166&lt;=MESES),X166+Y166+VINC_MES_4,0)</f>
        <v/>
      </c>
    </row>
    <row r="167">
      <c r="B167" s="56" t="n">
        <v>159</v>
      </c>
      <c r="C167" s="56">
        <f>ROUNDUP(B167/12,0)</f>
        <v/>
      </c>
      <c r="D167" s="52">
        <f>IF(AND(BANCO_OK_1,B167&lt;=MESES),IF(OR(OF_TIPO_1="Fija",C167&lt;=OF_ANIOS_INI_1),OF_TIN_1,MAX(0,EURIBOR+OF_DIF_1)),0)</f>
        <v/>
      </c>
      <c r="E167" s="58">
        <f>IF(AND(BANCO_OK_1,B167&lt;=MESES),IF(OR(B167=1,D167&lt;&gt;D166),PMT(D167/1200,MESES-B167+1,-H166),E166),0)</f>
        <v/>
      </c>
      <c r="F167" s="58">
        <f>H166*D167/1200</f>
        <v/>
      </c>
      <c r="G167" s="58">
        <f>IF(AND(BANCO_OK_1,B167&lt;=MESES),IF(OR(B167=MESES,E167-F167&gt;H166),H166,E167-F167),0)</f>
        <v/>
      </c>
      <c r="H167" s="58">
        <f>H166-G167</f>
        <v/>
      </c>
      <c r="I167" s="58">
        <f>IF(AND(BANCO_OK_1,B167&lt;=MESES),F167+G167+VINC_MES_1,0)</f>
        <v/>
      </c>
      <c r="J167" s="52">
        <f>IF(AND(BANCO_OK_2,B167&lt;=MESES),IF(OR(OF_TIPO_2="Fija",C167&lt;=OF_ANIOS_INI_2),OF_TIN_2,MAX(0,EURIBOR+OF_DIF_2)),0)</f>
        <v/>
      </c>
      <c r="K167" s="58">
        <f>IF(AND(BANCO_OK_2,B167&lt;=MESES),IF(OR(B167=1,J167&lt;&gt;J166),PMT(J167/1200,MESES-B167+1,-N166),K166),0)</f>
        <v/>
      </c>
      <c r="L167" s="58">
        <f>N166*J167/1200</f>
        <v/>
      </c>
      <c r="M167" s="58">
        <f>IF(AND(BANCO_OK_2,B167&lt;=MESES),IF(OR(B167=MESES,K167-L167&gt;N166),N166,K167-L167),0)</f>
        <v/>
      </c>
      <c r="N167" s="58">
        <f>N166-M167</f>
        <v/>
      </c>
      <c r="O167" s="58">
        <f>IF(AND(BANCO_OK_2,B167&lt;=MESES),L167+M167+VINC_MES_2,0)</f>
        <v/>
      </c>
      <c r="P167" s="52">
        <f>IF(AND(BANCO_OK_3,B167&lt;=MESES),IF(OR(OF_TIPO_3="Fija",C167&lt;=OF_ANIOS_INI_3),OF_TIN_3,MAX(0,EURIBOR+OF_DIF_3)),0)</f>
        <v/>
      </c>
      <c r="Q167" s="58">
        <f>IF(AND(BANCO_OK_3,B167&lt;=MESES),IF(OR(B167=1,P167&lt;&gt;P166),PMT(P167/1200,MESES-B167+1,-T166),Q166),0)</f>
        <v/>
      </c>
      <c r="R167" s="58">
        <f>T166*P167/1200</f>
        <v/>
      </c>
      <c r="S167" s="58">
        <f>IF(AND(BANCO_OK_3,B167&lt;=MESES),IF(OR(B167=MESES,Q167-R167&gt;T166),T166,Q167-R167),0)</f>
        <v/>
      </c>
      <c r="T167" s="58">
        <f>T166-S167</f>
        <v/>
      </c>
      <c r="U167" s="58">
        <f>IF(AND(BANCO_OK_3,B167&lt;=MESES),R167+S167+VINC_MES_3,0)</f>
        <v/>
      </c>
      <c r="V167" s="52">
        <f>IF(AND(BANCO_OK_4,B167&lt;=MESES),IF(OR(OF_TIPO_4="Fija",C167&lt;=OF_ANIOS_INI_4),OF_TIN_4,MAX(0,EURIBOR+OF_DIF_4)),0)</f>
        <v/>
      </c>
      <c r="W167" s="58">
        <f>IF(AND(BANCO_OK_4,B167&lt;=MESES),IF(OR(B167=1,V167&lt;&gt;V166),PMT(V167/1200,MESES-B167+1,-Z166),W166),0)</f>
        <v/>
      </c>
      <c r="X167" s="58">
        <f>Z166*V167/1200</f>
        <v/>
      </c>
      <c r="Y167" s="58">
        <f>IF(AND(BANCO_OK_4,B167&lt;=MESES),IF(OR(B167=MESES,W167-X167&gt;Z166),Z166,W167-X167),0)</f>
        <v/>
      </c>
      <c r="Z167" s="58">
        <f>Z166-Y167</f>
        <v/>
      </c>
      <c r="AA167" s="58">
        <f>IF(AND(BANCO_OK_4,B167&lt;=MESES),X167+Y167+VINC_MES_4,0)</f>
        <v/>
      </c>
    </row>
    <row r="168">
      <c r="B168" s="56" t="n">
        <v>160</v>
      </c>
      <c r="C168" s="56">
        <f>ROUNDUP(B168/12,0)</f>
        <v/>
      </c>
      <c r="D168" s="52">
        <f>IF(AND(BANCO_OK_1,B168&lt;=MESES),IF(OR(OF_TIPO_1="Fija",C168&lt;=OF_ANIOS_INI_1),OF_TIN_1,MAX(0,EURIBOR+OF_DIF_1)),0)</f>
        <v/>
      </c>
      <c r="E168" s="58">
        <f>IF(AND(BANCO_OK_1,B168&lt;=MESES),IF(OR(B168=1,D168&lt;&gt;D167),PMT(D168/1200,MESES-B168+1,-H167),E167),0)</f>
        <v/>
      </c>
      <c r="F168" s="58">
        <f>H167*D168/1200</f>
        <v/>
      </c>
      <c r="G168" s="58">
        <f>IF(AND(BANCO_OK_1,B168&lt;=MESES),IF(OR(B168=MESES,E168-F168&gt;H167),H167,E168-F168),0)</f>
        <v/>
      </c>
      <c r="H168" s="58">
        <f>H167-G168</f>
        <v/>
      </c>
      <c r="I168" s="58">
        <f>IF(AND(BANCO_OK_1,B168&lt;=MESES),F168+G168+VINC_MES_1,0)</f>
        <v/>
      </c>
      <c r="J168" s="52">
        <f>IF(AND(BANCO_OK_2,B168&lt;=MESES),IF(OR(OF_TIPO_2="Fija",C168&lt;=OF_ANIOS_INI_2),OF_TIN_2,MAX(0,EURIBOR+OF_DIF_2)),0)</f>
        <v/>
      </c>
      <c r="K168" s="58">
        <f>IF(AND(BANCO_OK_2,B168&lt;=MESES),IF(OR(B168=1,J168&lt;&gt;J167),PMT(J168/1200,MESES-B168+1,-N167),K167),0)</f>
        <v/>
      </c>
      <c r="L168" s="58">
        <f>N167*J168/1200</f>
        <v/>
      </c>
      <c r="M168" s="58">
        <f>IF(AND(BANCO_OK_2,B168&lt;=MESES),IF(OR(B168=MESES,K168-L168&gt;N167),N167,K168-L168),0)</f>
        <v/>
      </c>
      <c r="N168" s="58">
        <f>N167-M168</f>
        <v/>
      </c>
      <c r="O168" s="58">
        <f>IF(AND(BANCO_OK_2,B168&lt;=MESES),L168+M168+VINC_MES_2,0)</f>
        <v/>
      </c>
      <c r="P168" s="52">
        <f>IF(AND(BANCO_OK_3,B168&lt;=MESES),IF(OR(OF_TIPO_3="Fija",C168&lt;=OF_ANIOS_INI_3),OF_TIN_3,MAX(0,EURIBOR+OF_DIF_3)),0)</f>
        <v/>
      </c>
      <c r="Q168" s="58">
        <f>IF(AND(BANCO_OK_3,B168&lt;=MESES),IF(OR(B168=1,P168&lt;&gt;P167),PMT(P168/1200,MESES-B168+1,-T167),Q167),0)</f>
        <v/>
      </c>
      <c r="R168" s="58">
        <f>T167*P168/1200</f>
        <v/>
      </c>
      <c r="S168" s="58">
        <f>IF(AND(BANCO_OK_3,B168&lt;=MESES),IF(OR(B168=MESES,Q168-R168&gt;T167),T167,Q168-R168),0)</f>
        <v/>
      </c>
      <c r="T168" s="58">
        <f>T167-S168</f>
        <v/>
      </c>
      <c r="U168" s="58">
        <f>IF(AND(BANCO_OK_3,B168&lt;=MESES),R168+S168+VINC_MES_3,0)</f>
        <v/>
      </c>
      <c r="V168" s="52">
        <f>IF(AND(BANCO_OK_4,B168&lt;=MESES),IF(OR(OF_TIPO_4="Fija",C168&lt;=OF_ANIOS_INI_4),OF_TIN_4,MAX(0,EURIBOR+OF_DIF_4)),0)</f>
        <v/>
      </c>
      <c r="W168" s="58">
        <f>IF(AND(BANCO_OK_4,B168&lt;=MESES),IF(OR(B168=1,V168&lt;&gt;V167),PMT(V168/1200,MESES-B168+1,-Z167),W167),0)</f>
        <v/>
      </c>
      <c r="X168" s="58">
        <f>Z167*V168/1200</f>
        <v/>
      </c>
      <c r="Y168" s="58">
        <f>IF(AND(BANCO_OK_4,B168&lt;=MESES),IF(OR(B168=MESES,W168-X168&gt;Z167),Z167,W168-X168),0)</f>
        <v/>
      </c>
      <c r="Z168" s="58">
        <f>Z167-Y168</f>
        <v/>
      </c>
      <c r="AA168" s="58">
        <f>IF(AND(BANCO_OK_4,B168&lt;=MESES),X168+Y168+VINC_MES_4,0)</f>
        <v/>
      </c>
    </row>
    <row r="169">
      <c r="B169" s="56" t="n">
        <v>161</v>
      </c>
      <c r="C169" s="56">
        <f>ROUNDUP(B169/12,0)</f>
        <v/>
      </c>
      <c r="D169" s="52">
        <f>IF(AND(BANCO_OK_1,B169&lt;=MESES),IF(OR(OF_TIPO_1="Fija",C169&lt;=OF_ANIOS_INI_1),OF_TIN_1,MAX(0,EURIBOR+OF_DIF_1)),0)</f>
        <v/>
      </c>
      <c r="E169" s="58">
        <f>IF(AND(BANCO_OK_1,B169&lt;=MESES),IF(OR(B169=1,D169&lt;&gt;D168),PMT(D169/1200,MESES-B169+1,-H168),E168),0)</f>
        <v/>
      </c>
      <c r="F169" s="58">
        <f>H168*D169/1200</f>
        <v/>
      </c>
      <c r="G169" s="58">
        <f>IF(AND(BANCO_OK_1,B169&lt;=MESES),IF(OR(B169=MESES,E169-F169&gt;H168),H168,E169-F169),0)</f>
        <v/>
      </c>
      <c r="H169" s="58">
        <f>H168-G169</f>
        <v/>
      </c>
      <c r="I169" s="58">
        <f>IF(AND(BANCO_OK_1,B169&lt;=MESES),F169+G169+VINC_MES_1,0)</f>
        <v/>
      </c>
      <c r="J169" s="52">
        <f>IF(AND(BANCO_OK_2,B169&lt;=MESES),IF(OR(OF_TIPO_2="Fija",C169&lt;=OF_ANIOS_INI_2),OF_TIN_2,MAX(0,EURIBOR+OF_DIF_2)),0)</f>
        <v/>
      </c>
      <c r="K169" s="58">
        <f>IF(AND(BANCO_OK_2,B169&lt;=MESES),IF(OR(B169=1,J169&lt;&gt;J168),PMT(J169/1200,MESES-B169+1,-N168),K168),0)</f>
        <v/>
      </c>
      <c r="L169" s="58">
        <f>N168*J169/1200</f>
        <v/>
      </c>
      <c r="M169" s="58">
        <f>IF(AND(BANCO_OK_2,B169&lt;=MESES),IF(OR(B169=MESES,K169-L169&gt;N168),N168,K169-L169),0)</f>
        <v/>
      </c>
      <c r="N169" s="58">
        <f>N168-M169</f>
        <v/>
      </c>
      <c r="O169" s="58">
        <f>IF(AND(BANCO_OK_2,B169&lt;=MESES),L169+M169+VINC_MES_2,0)</f>
        <v/>
      </c>
      <c r="P169" s="52">
        <f>IF(AND(BANCO_OK_3,B169&lt;=MESES),IF(OR(OF_TIPO_3="Fija",C169&lt;=OF_ANIOS_INI_3),OF_TIN_3,MAX(0,EURIBOR+OF_DIF_3)),0)</f>
        <v/>
      </c>
      <c r="Q169" s="58">
        <f>IF(AND(BANCO_OK_3,B169&lt;=MESES),IF(OR(B169=1,P169&lt;&gt;P168),PMT(P169/1200,MESES-B169+1,-T168),Q168),0)</f>
        <v/>
      </c>
      <c r="R169" s="58">
        <f>T168*P169/1200</f>
        <v/>
      </c>
      <c r="S169" s="58">
        <f>IF(AND(BANCO_OK_3,B169&lt;=MESES),IF(OR(B169=MESES,Q169-R169&gt;T168),T168,Q169-R169),0)</f>
        <v/>
      </c>
      <c r="T169" s="58">
        <f>T168-S169</f>
        <v/>
      </c>
      <c r="U169" s="58">
        <f>IF(AND(BANCO_OK_3,B169&lt;=MESES),R169+S169+VINC_MES_3,0)</f>
        <v/>
      </c>
      <c r="V169" s="52">
        <f>IF(AND(BANCO_OK_4,B169&lt;=MESES),IF(OR(OF_TIPO_4="Fija",C169&lt;=OF_ANIOS_INI_4),OF_TIN_4,MAX(0,EURIBOR+OF_DIF_4)),0)</f>
        <v/>
      </c>
      <c r="W169" s="58">
        <f>IF(AND(BANCO_OK_4,B169&lt;=MESES),IF(OR(B169=1,V169&lt;&gt;V168),PMT(V169/1200,MESES-B169+1,-Z168),W168),0)</f>
        <v/>
      </c>
      <c r="X169" s="58">
        <f>Z168*V169/1200</f>
        <v/>
      </c>
      <c r="Y169" s="58">
        <f>IF(AND(BANCO_OK_4,B169&lt;=MESES),IF(OR(B169=MESES,W169-X169&gt;Z168),Z168,W169-X169),0)</f>
        <v/>
      </c>
      <c r="Z169" s="58">
        <f>Z168-Y169</f>
        <v/>
      </c>
      <c r="AA169" s="58">
        <f>IF(AND(BANCO_OK_4,B169&lt;=MESES),X169+Y169+VINC_MES_4,0)</f>
        <v/>
      </c>
    </row>
    <row r="170">
      <c r="B170" s="56" t="n">
        <v>162</v>
      </c>
      <c r="C170" s="56">
        <f>ROUNDUP(B170/12,0)</f>
        <v/>
      </c>
      <c r="D170" s="52">
        <f>IF(AND(BANCO_OK_1,B170&lt;=MESES),IF(OR(OF_TIPO_1="Fija",C170&lt;=OF_ANIOS_INI_1),OF_TIN_1,MAX(0,EURIBOR+OF_DIF_1)),0)</f>
        <v/>
      </c>
      <c r="E170" s="58">
        <f>IF(AND(BANCO_OK_1,B170&lt;=MESES),IF(OR(B170=1,D170&lt;&gt;D169),PMT(D170/1200,MESES-B170+1,-H169),E169),0)</f>
        <v/>
      </c>
      <c r="F170" s="58">
        <f>H169*D170/1200</f>
        <v/>
      </c>
      <c r="G170" s="58">
        <f>IF(AND(BANCO_OK_1,B170&lt;=MESES),IF(OR(B170=MESES,E170-F170&gt;H169),H169,E170-F170),0)</f>
        <v/>
      </c>
      <c r="H170" s="58">
        <f>H169-G170</f>
        <v/>
      </c>
      <c r="I170" s="58">
        <f>IF(AND(BANCO_OK_1,B170&lt;=MESES),F170+G170+VINC_MES_1,0)</f>
        <v/>
      </c>
      <c r="J170" s="52">
        <f>IF(AND(BANCO_OK_2,B170&lt;=MESES),IF(OR(OF_TIPO_2="Fija",C170&lt;=OF_ANIOS_INI_2),OF_TIN_2,MAX(0,EURIBOR+OF_DIF_2)),0)</f>
        <v/>
      </c>
      <c r="K170" s="58">
        <f>IF(AND(BANCO_OK_2,B170&lt;=MESES),IF(OR(B170=1,J170&lt;&gt;J169),PMT(J170/1200,MESES-B170+1,-N169),K169),0)</f>
        <v/>
      </c>
      <c r="L170" s="58">
        <f>N169*J170/1200</f>
        <v/>
      </c>
      <c r="M170" s="58">
        <f>IF(AND(BANCO_OK_2,B170&lt;=MESES),IF(OR(B170=MESES,K170-L170&gt;N169),N169,K170-L170),0)</f>
        <v/>
      </c>
      <c r="N170" s="58">
        <f>N169-M170</f>
        <v/>
      </c>
      <c r="O170" s="58">
        <f>IF(AND(BANCO_OK_2,B170&lt;=MESES),L170+M170+VINC_MES_2,0)</f>
        <v/>
      </c>
      <c r="P170" s="52">
        <f>IF(AND(BANCO_OK_3,B170&lt;=MESES),IF(OR(OF_TIPO_3="Fija",C170&lt;=OF_ANIOS_INI_3),OF_TIN_3,MAX(0,EURIBOR+OF_DIF_3)),0)</f>
        <v/>
      </c>
      <c r="Q170" s="58">
        <f>IF(AND(BANCO_OK_3,B170&lt;=MESES),IF(OR(B170=1,P170&lt;&gt;P169),PMT(P170/1200,MESES-B170+1,-T169),Q169),0)</f>
        <v/>
      </c>
      <c r="R170" s="58">
        <f>T169*P170/1200</f>
        <v/>
      </c>
      <c r="S170" s="58">
        <f>IF(AND(BANCO_OK_3,B170&lt;=MESES),IF(OR(B170=MESES,Q170-R170&gt;T169),T169,Q170-R170),0)</f>
        <v/>
      </c>
      <c r="T170" s="58">
        <f>T169-S170</f>
        <v/>
      </c>
      <c r="U170" s="58">
        <f>IF(AND(BANCO_OK_3,B170&lt;=MESES),R170+S170+VINC_MES_3,0)</f>
        <v/>
      </c>
      <c r="V170" s="52">
        <f>IF(AND(BANCO_OK_4,B170&lt;=MESES),IF(OR(OF_TIPO_4="Fija",C170&lt;=OF_ANIOS_INI_4),OF_TIN_4,MAX(0,EURIBOR+OF_DIF_4)),0)</f>
        <v/>
      </c>
      <c r="W170" s="58">
        <f>IF(AND(BANCO_OK_4,B170&lt;=MESES),IF(OR(B170=1,V170&lt;&gt;V169),PMT(V170/1200,MESES-B170+1,-Z169),W169),0)</f>
        <v/>
      </c>
      <c r="X170" s="58">
        <f>Z169*V170/1200</f>
        <v/>
      </c>
      <c r="Y170" s="58">
        <f>IF(AND(BANCO_OK_4,B170&lt;=MESES),IF(OR(B170=MESES,W170-X170&gt;Z169),Z169,W170-X170),0)</f>
        <v/>
      </c>
      <c r="Z170" s="58">
        <f>Z169-Y170</f>
        <v/>
      </c>
      <c r="AA170" s="58">
        <f>IF(AND(BANCO_OK_4,B170&lt;=MESES),X170+Y170+VINC_MES_4,0)</f>
        <v/>
      </c>
    </row>
    <row r="171">
      <c r="B171" s="56" t="n">
        <v>163</v>
      </c>
      <c r="C171" s="56">
        <f>ROUNDUP(B171/12,0)</f>
        <v/>
      </c>
      <c r="D171" s="52">
        <f>IF(AND(BANCO_OK_1,B171&lt;=MESES),IF(OR(OF_TIPO_1="Fija",C171&lt;=OF_ANIOS_INI_1),OF_TIN_1,MAX(0,EURIBOR+OF_DIF_1)),0)</f>
        <v/>
      </c>
      <c r="E171" s="58">
        <f>IF(AND(BANCO_OK_1,B171&lt;=MESES),IF(OR(B171=1,D171&lt;&gt;D170),PMT(D171/1200,MESES-B171+1,-H170),E170),0)</f>
        <v/>
      </c>
      <c r="F171" s="58">
        <f>H170*D171/1200</f>
        <v/>
      </c>
      <c r="G171" s="58">
        <f>IF(AND(BANCO_OK_1,B171&lt;=MESES),IF(OR(B171=MESES,E171-F171&gt;H170),H170,E171-F171),0)</f>
        <v/>
      </c>
      <c r="H171" s="58">
        <f>H170-G171</f>
        <v/>
      </c>
      <c r="I171" s="58">
        <f>IF(AND(BANCO_OK_1,B171&lt;=MESES),F171+G171+VINC_MES_1,0)</f>
        <v/>
      </c>
      <c r="J171" s="52">
        <f>IF(AND(BANCO_OK_2,B171&lt;=MESES),IF(OR(OF_TIPO_2="Fija",C171&lt;=OF_ANIOS_INI_2),OF_TIN_2,MAX(0,EURIBOR+OF_DIF_2)),0)</f>
        <v/>
      </c>
      <c r="K171" s="58">
        <f>IF(AND(BANCO_OK_2,B171&lt;=MESES),IF(OR(B171=1,J171&lt;&gt;J170),PMT(J171/1200,MESES-B171+1,-N170),K170),0)</f>
        <v/>
      </c>
      <c r="L171" s="58">
        <f>N170*J171/1200</f>
        <v/>
      </c>
      <c r="M171" s="58">
        <f>IF(AND(BANCO_OK_2,B171&lt;=MESES),IF(OR(B171=MESES,K171-L171&gt;N170),N170,K171-L171),0)</f>
        <v/>
      </c>
      <c r="N171" s="58">
        <f>N170-M171</f>
        <v/>
      </c>
      <c r="O171" s="58">
        <f>IF(AND(BANCO_OK_2,B171&lt;=MESES),L171+M171+VINC_MES_2,0)</f>
        <v/>
      </c>
      <c r="P171" s="52">
        <f>IF(AND(BANCO_OK_3,B171&lt;=MESES),IF(OR(OF_TIPO_3="Fija",C171&lt;=OF_ANIOS_INI_3),OF_TIN_3,MAX(0,EURIBOR+OF_DIF_3)),0)</f>
        <v/>
      </c>
      <c r="Q171" s="58">
        <f>IF(AND(BANCO_OK_3,B171&lt;=MESES),IF(OR(B171=1,P171&lt;&gt;P170),PMT(P171/1200,MESES-B171+1,-T170),Q170),0)</f>
        <v/>
      </c>
      <c r="R171" s="58">
        <f>T170*P171/1200</f>
        <v/>
      </c>
      <c r="S171" s="58">
        <f>IF(AND(BANCO_OK_3,B171&lt;=MESES),IF(OR(B171=MESES,Q171-R171&gt;T170),T170,Q171-R171),0)</f>
        <v/>
      </c>
      <c r="T171" s="58">
        <f>T170-S171</f>
        <v/>
      </c>
      <c r="U171" s="58">
        <f>IF(AND(BANCO_OK_3,B171&lt;=MESES),R171+S171+VINC_MES_3,0)</f>
        <v/>
      </c>
      <c r="V171" s="52">
        <f>IF(AND(BANCO_OK_4,B171&lt;=MESES),IF(OR(OF_TIPO_4="Fija",C171&lt;=OF_ANIOS_INI_4),OF_TIN_4,MAX(0,EURIBOR+OF_DIF_4)),0)</f>
        <v/>
      </c>
      <c r="W171" s="58">
        <f>IF(AND(BANCO_OK_4,B171&lt;=MESES),IF(OR(B171=1,V171&lt;&gt;V170),PMT(V171/1200,MESES-B171+1,-Z170),W170),0)</f>
        <v/>
      </c>
      <c r="X171" s="58">
        <f>Z170*V171/1200</f>
        <v/>
      </c>
      <c r="Y171" s="58">
        <f>IF(AND(BANCO_OK_4,B171&lt;=MESES),IF(OR(B171=MESES,W171-X171&gt;Z170),Z170,W171-X171),0)</f>
        <v/>
      </c>
      <c r="Z171" s="58">
        <f>Z170-Y171</f>
        <v/>
      </c>
      <c r="AA171" s="58">
        <f>IF(AND(BANCO_OK_4,B171&lt;=MESES),X171+Y171+VINC_MES_4,0)</f>
        <v/>
      </c>
    </row>
    <row r="172">
      <c r="B172" s="56" t="n">
        <v>164</v>
      </c>
      <c r="C172" s="56">
        <f>ROUNDUP(B172/12,0)</f>
        <v/>
      </c>
      <c r="D172" s="52">
        <f>IF(AND(BANCO_OK_1,B172&lt;=MESES),IF(OR(OF_TIPO_1="Fija",C172&lt;=OF_ANIOS_INI_1),OF_TIN_1,MAX(0,EURIBOR+OF_DIF_1)),0)</f>
        <v/>
      </c>
      <c r="E172" s="58">
        <f>IF(AND(BANCO_OK_1,B172&lt;=MESES),IF(OR(B172=1,D172&lt;&gt;D171),PMT(D172/1200,MESES-B172+1,-H171),E171),0)</f>
        <v/>
      </c>
      <c r="F172" s="58">
        <f>H171*D172/1200</f>
        <v/>
      </c>
      <c r="G172" s="58">
        <f>IF(AND(BANCO_OK_1,B172&lt;=MESES),IF(OR(B172=MESES,E172-F172&gt;H171),H171,E172-F172),0)</f>
        <v/>
      </c>
      <c r="H172" s="58">
        <f>H171-G172</f>
        <v/>
      </c>
      <c r="I172" s="58">
        <f>IF(AND(BANCO_OK_1,B172&lt;=MESES),F172+G172+VINC_MES_1,0)</f>
        <v/>
      </c>
      <c r="J172" s="52">
        <f>IF(AND(BANCO_OK_2,B172&lt;=MESES),IF(OR(OF_TIPO_2="Fija",C172&lt;=OF_ANIOS_INI_2),OF_TIN_2,MAX(0,EURIBOR+OF_DIF_2)),0)</f>
        <v/>
      </c>
      <c r="K172" s="58">
        <f>IF(AND(BANCO_OK_2,B172&lt;=MESES),IF(OR(B172=1,J172&lt;&gt;J171),PMT(J172/1200,MESES-B172+1,-N171),K171),0)</f>
        <v/>
      </c>
      <c r="L172" s="58">
        <f>N171*J172/1200</f>
        <v/>
      </c>
      <c r="M172" s="58">
        <f>IF(AND(BANCO_OK_2,B172&lt;=MESES),IF(OR(B172=MESES,K172-L172&gt;N171),N171,K172-L172),0)</f>
        <v/>
      </c>
      <c r="N172" s="58">
        <f>N171-M172</f>
        <v/>
      </c>
      <c r="O172" s="58">
        <f>IF(AND(BANCO_OK_2,B172&lt;=MESES),L172+M172+VINC_MES_2,0)</f>
        <v/>
      </c>
      <c r="P172" s="52">
        <f>IF(AND(BANCO_OK_3,B172&lt;=MESES),IF(OR(OF_TIPO_3="Fija",C172&lt;=OF_ANIOS_INI_3),OF_TIN_3,MAX(0,EURIBOR+OF_DIF_3)),0)</f>
        <v/>
      </c>
      <c r="Q172" s="58">
        <f>IF(AND(BANCO_OK_3,B172&lt;=MESES),IF(OR(B172=1,P172&lt;&gt;P171),PMT(P172/1200,MESES-B172+1,-T171),Q171),0)</f>
        <v/>
      </c>
      <c r="R172" s="58">
        <f>T171*P172/1200</f>
        <v/>
      </c>
      <c r="S172" s="58">
        <f>IF(AND(BANCO_OK_3,B172&lt;=MESES),IF(OR(B172=MESES,Q172-R172&gt;T171),T171,Q172-R172),0)</f>
        <v/>
      </c>
      <c r="T172" s="58">
        <f>T171-S172</f>
        <v/>
      </c>
      <c r="U172" s="58">
        <f>IF(AND(BANCO_OK_3,B172&lt;=MESES),R172+S172+VINC_MES_3,0)</f>
        <v/>
      </c>
      <c r="V172" s="52">
        <f>IF(AND(BANCO_OK_4,B172&lt;=MESES),IF(OR(OF_TIPO_4="Fija",C172&lt;=OF_ANIOS_INI_4),OF_TIN_4,MAX(0,EURIBOR+OF_DIF_4)),0)</f>
        <v/>
      </c>
      <c r="W172" s="58">
        <f>IF(AND(BANCO_OK_4,B172&lt;=MESES),IF(OR(B172=1,V172&lt;&gt;V171),PMT(V172/1200,MESES-B172+1,-Z171),W171),0)</f>
        <v/>
      </c>
      <c r="X172" s="58">
        <f>Z171*V172/1200</f>
        <v/>
      </c>
      <c r="Y172" s="58">
        <f>IF(AND(BANCO_OK_4,B172&lt;=MESES),IF(OR(B172=MESES,W172-X172&gt;Z171),Z171,W172-X172),0)</f>
        <v/>
      </c>
      <c r="Z172" s="58">
        <f>Z171-Y172</f>
        <v/>
      </c>
      <c r="AA172" s="58">
        <f>IF(AND(BANCO_OK_4,B172&lt;=MESES),X172+Y172+VINC_MES_4,0)</f>
        <v/>
      </c>
    </row>
    <row r="173">
      <c r="B173" s="56" t="n">
        <v>165</v>
      </c>
      <c r="C173" s="56">
        <f>ROUNDUP(B173/12,0)</f>
        <v/>
      </c>
      <c r="D173" s="52">
        <f>IF(AND(BANCO_OK_1,B173&lt;=MESES),IF(OR(OF_TIPO_1="Fija",C173&lt;=OF_ANIOS_INI_1),OF_TIN_1,MAX(0,EURIBOR+OF_DIF_1)),0)</f>
        <v/>
      </c>
      <c r="E173" s="58">
        <f>IF(AND(BANCO_OK_1,B173&lt;=MESES),IF(OR(B173=1,D173&lt;&gt;D172),PMT(D173/1200,MESES-B173+1,-H172),E172),0)</f>
        <v/>
      </c>
      <c r="F173" s="58">
        <f>H172*D173/1200</f>
        <v/>
      </c>
      <c r="G173" s="58">
        <f>IF(AND(BANCO_OK_1,B173&lt;=MESES),IF(OR(B173=MESES,E173-F173&gt;H172),H172,E173-F173),0)</f>
        <v/>
      </c>
      <c r="H173" s="58">
        <f>H172-G173</f>
        <v/>
      </c>
      <c r="I173" s="58">
        <f>IF(AND(BANCO_OK_1,B173&lt;=MESES),F173+G173+VINC_MES_1,0)</f>
        <v/>
      </c>
      <c r="J173" s="52">
        <f>IF(AND(BANCO_OK_2,B173&lt;=MESES),IF(OR(OF_TIPO_2="Fija",C173&lt;=OF_ANIOS_INI_2),OF_TIN_2,MAX(0,EURIBOR+OF_DIF_2)),0)</f>
        <v/>
      </c>
      <c r="K173" s="58">
        <f>IF(AND(BANCO_OK_2,B173&lt;=MESES),IF(OR(B173=1,J173&lt;&gt;J172),PMT(J173/1200,MESES-B173+1,-N172),K172),0)</f>
        <v/>
      </c>
      <c r="L173" s="58">
        <f>N172*J173/1200</f>
        <v/>
      </c>
      <c r="M173" s="58">
        <f>IF(AND(BANCO_OK_2,B173&lt;=MESES),IF(OR(B173=MESES,K173-L173&gt;N172),N172,K173-L173),0)</f>
        <v/>
      </c>
      <c r="N173" s="58">
        <f>N172-M173</f>
        <v/>
      </c>
      <c r="O173" s="58">
        <f>IF(AND(BANCO_OK_2,B173&lt;=MESES),L173+M173+VINC_MES_2,0)</f>
        <v/>
      </c>
      <c r="P173" s="52">
        <f>IF(AND(BANCO_OK_3,B173&lt;=MESES),IF(OR(OF_TIPO_3="Fija",C173&lt;=OF_ANIOS_INI_3),OF_TIN_3,MAX(0,EURIBOR+OF_DIF_3)),0)</f>
        <v/>
      </c>
      <c r="Q173" s="58">
        <f>IF(AND(BANCO_OK_3,B173&lt;=MESES),IF(OR(B173=1,P173&lt;&gt;P172),PMT(P173/1200,MESES-B173+1,-T172),Q172),0)</f>
        <v/>
      </c>
      <c r="R173" s="58">
        <f>T172*P173/1200</f>
        <v/>
      </c>
      <c r="S173" s="58">
        <f>IF(AND(BANCO_OK_3,B173&lt;=MESES),IF(OR(B173=MESES,Q173-R173&gt;T172),T172,Q173-R173),0)</f>
        <v/>
      </c>
      <c r="T173" s="58">
        <f>T172-S173</f>
        <v/>
      </c>
      <c r="U173" s="58">
        <f>IF(AND(BANCO_OK_3,B173&lt;=MESES),R173+S173+VINC_MES_3,0)</f>
        <v/>
      </c>
      <c r="V173" s="52">
        <f>IF(AND(BANCO_OK_4,B173&lt;=MESES),IF(OR(OF_TIPO_4="Fija",C173&lt;=OF_ANIOS_INI_4),OF_TIN_4,MAX(0,EURIBOR+OF_DIF_4)),0)</f>
        <v/>
      </c>
      <c r="W173" s="58">
        <f>IF(AND(BANCO_OK_4,B173&lt;=MESES),IF(OR(B173=1,V173&lt;&gt;V172),PMT(V173/1200,MESES-B173+1,-Z172),W172),0)</f>
        <v/>
      </c>
      <c r="X173" s="58">
        <f>Z172*V173/1200</f>
        <v/>
      </c>
      <c r="Y173" s="58">
        <f>IF(AND(BANCO_OK_4,B173&lt;=MESES),IF(OR(B173=MESES,W173-X173&gt;Z172),Z172,W173-X173),0)</f>
        <v/>
      </c>
      <c r="Z173" s="58">
        <f>Z172-Y173</f>
        <v/>
      </c>
      <c r="AA173" s="58">
        <f>IF(AND(BANCO_OK_4,B173&lt;=MESES),X173+Y173+VINC_MES_4,0)</f>
        <v/>
      </c>
    </row>
    <row r="174">
      <c r="B174" s="56" t="n">
        <v>166</v>
      </c>
      <c r="C174" s="56">
        <f>ROUNDUP(B174/12,0)</f>
        <v/>
      </c>
      <c r="D174" s="52">
        <f>IF(AND(BANCO_OK_1,B174&lt;=MESES),IF(OR(OF_TIPO_1="Fija",C174&lt;=OF_ANIOS_INI_1),OF_TIN_1,MAX(0,EURIBOR+OF_DIF_1)),0)</f>
        <v/>
      </c>
      <c r="E174" s="58">
        <f>IF(AND(BANCO_OK_1,B174&lt;=MESES),IF(OR(B174=1,D174&lt;&gt;D173),PMT(D174/1200,MESES-B174+1,-H173),E173),0)</f>
        <v/>
      </c>
      <c r="F174" s="58">
        <f>H173*D174/1200</f>
        <v/>
      </c>
      <c r="G174" s="58">
        <f>IF(AND(BANCO_OK_1,B174&lt;=MESES),IF(OR(B174=MESES,E174-F174&gt;H173),H173,E174-F174),0)</f>
        <v/>
      </c>
      <c r="H174" s="58">
        <f>H173-G174</f>
        <v/>
      </c>
      <c r="I174" s="58">
        <f>IF(AND(BANCO_OK_1,B174&lt;=MESES),F174+G174+VINC_MES_1,0)</f>
        <v/>
      </c>
      <c r="J174" s="52">
        <f>IF(AND(BANCO_OK_2,B174&lt;=MESES),IF(OR(OF_TIPO_2="Fija",C174&lt;=OF_ANIOS_INI_2),OF_TIN_2,MAX(0,EURIBOR+OF_DIF_2)),0)</f>
        <v/>
      </c>
      <c r="K174" s="58">
        <f>IF(AND(BANCO_OK_2,B174&lt;=MESES),IF(OR(B174=1,J174&lt;&gt;J173),PMT(J174/1200,MESES-B174+1,-N173),K173),0)</f>
        <v/>
      </c>
      <c r="L174" s="58">
        <f>N173*J174/1200</f>
        <v/>
      </c>
      <c r="M174" s="58">
        <f>IF(AND(BANCO_OK_2,B174&lt;=MESES),IF(OR(B174=MESES,K174-L174&gt;N173),N173,K174-L174),0)</f>
        <v/>
      </c>
      <c r="N174" s="58">
        <f>N173-M174</f>
        <v/>
      </c>
      <c r="O174" s="58">
        <f>IF(AND(BANCO_OK_2,B174&lt;=MESES),L174+M174+VINC_MES_2,0)</f>
        <v/>
      </c>
      <c r="P174" s="52">
        <f>IF(AND(BANCO_OK_3,B174&lt;=MESES),IF(OR(OF_TIPO_3="Fija",C174&lt;=OF_ANIOS_INI_3),OF_TIN_3,MAX(0,EURIBOR+OF_DIF_3)),0)</f>
        <v/>
      </c>
      <c r="Q174" s="58">
        <f>IF(AND(BANCO_OK_3,B174&lt;=MESES),IF(OR(B174=1,P174&lt;&gt;P173),PMT(P174/1200,MESES-B174+1,-T173),Q173),0)</f>
        <v/>
      </c>
      <c r="R174" s="58">
        <f>T173*P174/1200</f>
        <v/>
      </c>
      <c r="S174" s="58">
        <f>IF(AND(BANCO_OK_3,B174&lt;=MESES),IF(OR(B174=MESES,Q174-R174&gt;T173),T173,Q174-R174),0)</f>
        <v/>
      </c>
      <c r="T174" s="58">
        <f>T173-S174</f>
        <v/>
      </c>
      <c r="U174" s="58">
        <f>IF(AND(BANCO_OK_3,B174&lt;=MESES),R174+S174+VINC_MES_3,0)</f>
        <v/>
      </c>
      <c r="V174" s="52">
        <f>IF(AND(BANCO_OK_4,B174&lt;=MESES),IF(OR(OF_TIPO_4="Fija",C174&lt;=OF_ANIOS_INI_4),OF_TIN_4,MAX(0,EURIBOR+OF_DIF_4)),0)</f>
        <v/>
      </c>
      <c r="W174" s="58">
        <f>IF(AND(BANCO_OK_4,B174&lt;=MESES),IF(OR(B174=1,V174&lt;&gt;V173),PMT(V174/1200,MESES-B174+1,-Z173),W173),0)</f>
        <v/>
      </c>
      <c r="X174" s="58">
        <f>Z173*V174/1200</f>
        <v/>
      </c>
      <c r="Y174" s="58">
        <f>IF(AND(BANCO_OK_4,B174&lt;=MESES),IF(OR(B174=MESES,W174-X174&gt;Z173),Z173,W174-X174),0)</f>
        <v/>
      </c>
      <c r="Z174" s="58">
        <f>Z173-Y174</f>
        <v/>
      </c>
      <c r="AA174" s="58">
        <f>IF(AND(BANCO_OK_4,B174&lt;=MESES),X174+Y174+VINC_MES_4,0)</f>
        <v/>
      </c>
    </row>
    <row r="175">
      <c r="B175" s="56" t="n">
        <v>167</v>
      </c>
      <c r="C175" s="56">
        <f>ROUNDUP(B175/12,0)</f>
        <v/>
      </c>
      <c r="D175" s="52">
        <f>IF(AND(BANCO_OK_1,B175&lt;=MESES),IF(OR(OF_TIPO_1="Fija",C175&lt;=OF_ANIOS_INI_1),OF_TIN_1,MAX(0,EURIBOR+OF_DIF_1)),0)</f>
        <v/>
      </c>
      <c r="E175" s="58">
        <f>IF(AND(BANCO_OK_1,B175&lt;=MESES),IF(OR(B175=1,D175&lt;&gt;D174),PMT(D175/1200,MESES-B175+1,-H174),E174),0)</f>
        <v/>
      </c>
      <c r="F175" s="58">
        <f>H174*D175/1200</f>
        <v/>
      </c>
      <c r="G175" s="58">
        <f>IF(AND(BANCO_OK_1,B175&lt;=MESES),IF(OR(B175=MESES,E175-F175&gt;H174),H174,E175-F175),0)</f>
        <v/>
      </c>
      <c r="H175" s="58">
        <f>H174-G175</f>
        <v/>
      </c>
      <c r="I175" s="58">
        <f>IF(AND(BANCO_OK_1,B175&lt;=MESES),F175+G175+VINC_MES_1,0)</f>
        <v/>
      </c>
      <c r="J175" s="52">
        <f>IF(AND(BANCO_OK_2,B175&lt;=MESES),IF(OR(OF_TIPO_2="Fija",C175&lt;=OF_ANIOS_INI_2),OF_TIN_2,MAX(0,EURIBOR+OF_DIF_2)),0)</f>
        <v/>
      </c>
      <c r="K175" s="58">
        <f>IF(AND(BANCO_OK_2,B175&lt;=MESES),IF(OR(B175=1,J175&lt;&gt;J174),PMT(J175/1200,MESES-B175+1,-N174),K174),0)</f>
        <v/>
      </c>
      <c r="L175" s="58">
        <f>N174*J175/1200</f>
        <v/>
      </c>
      <c r="M175" s="58">
        <f>IF(AND(BANCO_OK_2,B175&lt;=MESES),IF(OR(B175=MESES,K175-L175&gt;N174),N174,K175-L175),0)</f>
        <v/>
      </c>
      <c r="N175" s="58">
        <f>N174-M175</f>
        <v/>
      </c>
      <c r="O175" s="58">
        <f>IF(AND(BANCO_OK_2,B175&lt;=MESES),L175+M175+VINC_MES_2,0)</f>
        <v/>
      </c>
      <c r="P175" s="52">
        <f>IF(AND(BANCO_OK_3,B175&lt;=MESES),IF(OR(OF_TIPO_3="Fija",C175&lt;=OF_ANIOS_INI_3),OF_TIN_3,MAX(0,EURIBOR+OF_DIF_3)),0)</f>
        <v/>
      </c>
      <c r="Q175" s="58">
        <f>IF(AND(BANCO_OK_3,B175&lt;=MESES),IF(OR(B175=1,P175&lt;&gt;P174),PMT(P175/1200,MESES-B175+1,-T174),Q174),0)</f>
        <v/>
      </c>
      <c r="R175" s="58">
        <f>T174*P175/1200</f>
        <v/>
      </c>
      <c r="S175" s="58">
        <f>IF(AND(BANCO_OK_3,B175&lt;=MESES),IF(OR(B175=MESES,Q175-R175&gt;T174),T174,Q175-R175),0)</f>
        <v/>
      </c>
      <c r="T175" s="58">
        <f>T174-S175</f>
        <v/>
      </c>
      <c r="U175" s="58">
        <f>IF(AND(BANCO_OK_3,B175&lt;=MESES),R175+S175+VINC_MES_3,0)</f>
        <v/>
      </c>
      <c r="V175" s="52">
        <f>IF(AND(BANCO_OK_4,B175&lt;=MESES),IF(OR(OF_TIPO_4="Fija",C175&lt;=OF_ANIOS_INI_4),OF_TIN_4,MAX(0,EURIBOR+OF_DIF_4)),0)</f>
        <v/>
      </c>
      <c r="W175" s="58">
        <f>IF(AND(BANCO_OK_4,B175&lt;=MESES),IF(OR(B175=1,V175&lt;&gt;V174),PMT(V175/1200,MESES-B175+1,-Z174),W174),0)</f>
        <v/>
      </c>
      <c r="X175" s="58">
        <f>Z174*V175/1200</f>
        <v/>
      </c>
      <c r="Y175" s="58">
        <f>IF(AND(BANCO_OK_4,B175&lt;=MESES),IF(OR(B175=MESES,W175-X175&gt;Z174),Z174,W175-X175),0)</f>
        <v/>
      </c>
      <c r="Z175" s="58">
        <f>Z174-Y175</f>
        <v/>
      </c>
      <c r="AA175" s="58">
        <f>IF(AND(BANCO_OK_4,B175&lt;=MESES),X175+Y175+VINC_MES_4,0)</f>
        <v/>
      </c>
    </row>
    <row r="176">
      <c r="B176" s="56" t="n">
        <v>168</v>
      </c>
      <c r="C176" s="56">
        <f>ROUNDUP(B176/12,0)</f>
        <v/>
      </c>
      <c r="D176" s="52">
        <f>IF(AND(BANCO_OK_1,B176&lt;=MESES),IF(OR(OF_TIPO_1="Fija",C176&lt;=OF_ANIOS_INI_1),OF_TIN_1,MAX(0,EURIBOR+OF_DIF_1)),0)</f>
        <v/>
      </c>
      <c r="E176" s="58">
        <f>IF(AND(BANCO_OK_1,B176&lt;=MESES),IF(OR(B176=1,D176&lt;&gt;D175),PMT(D176/1200,MESES-B176+1,-H175),E175),0)</f>
        <v/>
      </c>
      <c r="F176" s="58">
        <f>H175*D176/1200</f>
        <v/>
      </c>
      <c r="G176" s="58">
        <f>IF(AND(BANCO_OK_1,B176&lt;=MESES),IF(OR(B176=MESES,E176-F176&gt;H175),H175,E176-F176),0)</f>
        <v/>
      </c>
      <c r="H176" s="58">
        <f>H175-G176</f>
        <v/>
      </c>
      <c r="I176" s="58">
        <f>IF(AND(BANCO_OK_1,B176&lt;=MESES),F176+G176+VINC_MES_1,0)</f>
        <v/>
      </c>
      <c r="J176" s="52">
        <f>IF(AND(BANCO_OK_2,B176&lt;=MESES),IF(OR(OF_TIPO_2="Fija",C176&lt;=OF_ANIOS_INI_2),OF_TIN_2,MAX(0,EURIBOR+OF_DIF_2)),0)</f>
        <v/>
      </c>
      <c r="K176" s="58">
        <f>IF(AND(BANCO_OK_2,B176&lt;=MESES),IF(OR(B176=1,J176&lt;&gt;J175),PMT(J176/1200,MESES-B176+1,-N175),K175),0)</f>
        <v/>
      </c>
      <c r="L176" s="58">
        <f>N175*J176/1200</f>
        <v/>
      </c>
      <c r="M176" s="58">
        <f>IF(AND(BANCO_OK_2,B176&lt;=MESES),IF(OR(B176=MESES,K176-L176&gt;N175),N175,K176-L176),0)</f>
        <v/>
      </c>
      <c r="N176" s="58">
        <f>N175-M176</f>
        <v/>
      </c>
      <c r="O176" s="58">
        <f>IF(AND(BANCO_OK_2,B176&lt;=MESES),L176+M176+VINC_MES_2,0)</f>
        <v/>
      </c>
      <c r="P176" s="52">
        <f>IF(AND(BANCO_OK_3,B176&lt;=MESES),IF(OR(OF_TIPO_3="Fija",C176&lt;=OF_ANIOS_INI_3),OF_TIN_3,MAX(0,EURIBOR+OF_DIF_3)),0)</f>
        <v/>
      </c>
      <c r="Q176" s="58">
        <f>IF(AND(BANCO_OK_3,B176&lt;=MESES),IF(OR(B176=1,P176&lt;&gt;P175),PMT(P176/1200,MESES-B176+1,-T175),Q175),0)</f>
        <v/>
      </c>
      <c r="R176" s="58">
        <f>T175*P176/1200</f>
        <v/>
      </c>
      <c r="S176" s="58">
        <f>IF(AND(BANCO_OK_3,B176&lt;=MESES),IF(OR(B176=MESES,Q176-R176&gt;T175),T175,Q176-R176),0)</f>
        <v/>
      </c>
      <c r="T176" s="58">
        <f>T175-S176</f>
        <v/>
      </c>
      <c r="U176" s="58">
        <f>IF(AND(BANCO_OK_3,B176&lt;=MESES),R176+S176+VINC_MES_3,0)</f>
        <v/>
      </c>
      <c r="V176" s="52">
        <f>IF(AND(BANCO_OK_4,B176&lt;=MESES),IF(OR(OF_TIPO_4="Fija",C176&lt;=OF_ANIOS_INI_4),OF_TIN_4,MAX(0,EURIBOR+OF_DIF_4)),0)</f>
        <v/>
      </c>
      <c r="W176" s="58">
        <f>IF(AND(BANCO_OK_4,B176&lt;=MESES),IF(OR(B176=1,V176&lt;&gt;V175),PMT(V176/1200,MESES-B176+1,-Z175),W175),0)</f>
        <v/>
      </c>
      <c r="X176" s="58">
        <f>Z175*V176/1200</f>
        <v/>
      </c>
      <c r="Y176" s="58">
        <f>IF(AND(BANCO_OK_4,B176&lt;=MESES),IF(OR(B176=MESES,W176-X176&gt;Z175),Z175,W176-X176),0)</f>
        <v/>
      </c>
      <c r="Z176" s="58">
        <f>Z175-Y176</f>
        <v/>
      </c>
      <c r="AA176" s="58">
        <f>IF(AND(BANCO_OK_4,B176&lt;=MESES),X176+Y176+VINC_MES_4,0)</f>
        <v/>
      </c>
    </row>
    <row r="177">
      <c r="B177" s="56" t="n">
        <v>169</v>
      </c>
      <c r="C177" s="56">
        <f>ROUNDUP(B177/12,0)</f>
        <v/>
      </c>
      <c r="D177" s="52">
        <f>IF(AND(BANCO_OK_1,B177&lt;=MESES),IF(OR(OF_TIPO_1="Fija",C177&lt;=OF_ANIOS_INI_1),OF_TIN_1,MAX(0,EURIBOR+OF_DIF_1)),0)</f>
        <v/>
      </c>
      <c r="E177" s="58">
        <f>IF(AND(BANCO_OK_1,B177&lt;=MESES),IF(OR(B177=1,D177&lt;&gt;D176),PMT(D177/1200,MESES-B177+1,-H176),E176),0)</f>
        <v/>
      </c>
      <c r="F177" s="58">
        <f>H176*D177/1200</f>
        <v/>
      </c>
      <c r="G177" s="58">
        <f>IF(AND(BANCO_OK_1,B177&lt;=MESES),IF(OR(B177=MESES,E177-F177&gt;H176),H176,E177-F177),0)</f>
        <v/>
      </c>
      <c r="H177" s="58">
        <f>H176-G177</f>
        <v/>
      </c>
      <c r="I177" s="58">
        <f>IF(AND(BANCO_OK_1,B177&lt;=MESES),F177+G177+VINC_MES_1,0)</f>
        <v/>
      </c>
      <c r="J177" s="52">
        <f>IF(AND(BANCO_OK_2,B177&lt;=MESES),IF(OR(OF_TIPO_2="Fija",C177&lt;=OF_ANIOS_INI_2),OF_TIN_2,MAX(0,EURIBOR+OF_DIF_2)),0)</f>
        <v/>
      </c>
      <c r="K177" s="58">
        <f>IF(AND(BANCO_OK_2,B177&lt;=MESES),IF(OR(B177=1,J177&lt;&gt;J176),PMT(J177/1200,MESES-B177+1,-N176),K176),0)</f>
        <v/>
      </c>
      <c r="L177" s="58">
        <f>N176*J177/1200</f>
        <v/>
      </c>
      <c r="M177" s="58">
        <f>IF(AND(BANCO_OK_2,B177&lt;=MESES),IF(OR(B177=MESES,K177-L177&gt;N176),N176,K177-L177),0)</f>
        <v/>
      </c>
      <c r="N177" s="58">
        <f>N176-M177</f>
        <v/>
      </c>
      <c r="O177" s="58">
        <f>IF(AND(BANCO_OK_2,B177&lt;=MESES),L177+M177+VINC_MES_2,0)</f>
        <v/>
      </c>
      <c r="P177" s="52">
        <f>IF(AND(BANCO_OK_3,B177&lt;=MESES),IF(OR(OF_TIPO_3="Fija",C177&lt;=OF_ANIOS_INI_3),OF_TIN_3,MAX(0,EURIBOR+OF_DIF_3)),0)</f>
        <v/>
      </c>
      <c r="Q177" s="58">
        <f>IF(AND(BANCO_OK_3,B177&lt;=MESES),IF(OR(B177=1,P177&lt;&gt;P176),PMT(P177/1200,MESES-B177+1,-T176),Q176),0)</f>
        <v/>
      </c>
      <c r="R177" s="58">
        <f>T176*P177/1200</f>
        <v/>
      </c>
      <c r="S177" s="58">
        <f>IF(AND(BANCO_OK_3,B177&lt;=MESES),IF(OR(B177=MESES,Q177-R177&gt;T176),T176,Q177-R177),0)</f>
        <v/>
      </c>
      <c r="T177" s="58">
        <f>T176-S177</f>
        <v/>
      </c>
      <c r="U177" s="58">
        <f>IF(AND(BANCO_OK_3,B177&lt;=MESES),R177+S177+VINC_MES_3,0)</f>
        <v/>
      </c>
      <c r="V177" s="52">
        <f>IF(AND(BANCO_OK_4,B177&lt;=MESES),IF(OR(OF_TIPO_4="Fija",C177&lt;=OF_ANIOS_INI_4),OF_TIN_4,MAX(0,EURIBOR+OF_DIF_4)),0)</f>
        <v/>
      </c>
      <c r="W177" s="58">
        <f>IF(AND(BANCO_OK_4,B177&lt;=MESES),IF(OR(B177=1,V177&lt;&gt;V176),PMT(V177/1200,MESES-B177+1,-Z176),W176),0)</f>
        <v/>
      </c>
      <c r="X177" s="58">
        <f>Z176*V177/1200</f>
        <v/>
      </c>
      <c r="Y177" s="58">
        <f>IF(AND(BANCO_OK_4,B177&lt;=MESES),IF(OR(B177=MESES,W177-X177&gt;Z176),Z176,W177-X177),0)</f>
        <v/>
      </c>
      <c r="Z177" s="58">
        <f>Z176-Y177</f>
        <v/>
      </c>
      <c r="AA177" s="58">
        <f>IF(AND(BANCO_OK_4,B177&lt;=MESES),X177+Y177+VINC_MES_4,0)</f>
        <v/>
      </c>
    </row>
    <row r="178">
      <c r="B178" s="56" t="n">
        <v>170</v>
      </c>
      <c r="C178" s="56">
        <f>ROUNDUP(B178/12,0)</f>
        <v/>
      </c>
      <c r="D178" s="52">
        <f>IF(AND(BANCO_OK_1,B178&lt;=MESES),IF(OR(OF_TIPO_1="Fija",C178&lt;=OF_ANIOS_INI_1),OF_TIN_1,MAX(0,EURIBOR+OF_DIF_1)),0)</f>
        <v/>
      </c>
      <c r="E178" s="58">
        <f>IF(AND(BANCO_OK_1,B178&lt;=MESES),IF(OR(B178=1,D178&lt;&gt;D177),PMT(D178/1200,MESES-B178+1,-H177),E177),0)</f>
        <v/>
      </c>
      <c r="F178" s="58">
        <f>H177*D178/1200</f>
        <v/>
      </c>
      <c r="G178" s="58">
        <f>IF(AND(BANCO_OK_1,B178&lt;=MESES),IF(OR(B178=MESES,E178-F178&gt;H177),H177,E178-F178),0)</f>
        <v/>
      </c>
      <c r="H178" s="58">
        <f>H177-G178</f>
        <v/>
      </c>
      <c r="I178" s="58">
        <f>IF(AND(BANCO_OK_1,B178&lt;=MESES),F178+G178+VINC_MES_1,0)</f>
        <v/>
      </c>
      <c r="J178" s="52">
        <f>IF(AND(BANCO_OK_2,B178&lt;=MESES),IF(OR(OF_TIPO_2="Fija",C178&lt;=OF_ANIOS_INI_2),OF_TIN_2,MAX(0,EURIBOR+OF_DIF_2)),0)</f>
        <v/>
      </c>
      <c r="K178" s="58">
        <f>IF(AND(BANCO_OK_2,B178&lt;=MESES),IF(OR(B178=1,J178&lt;&gt;J177),PMT(J178/1200,MESES-B178+1,-N177),K177),0)</f>
        <v/>
      </c>
      <c r="L178" s="58">
        <f>N177*J178/1200</f>
        <v/>
      </c>
      <c r="M178" s="58">
        <f>IF(AND(BANCO_OK_2,B178&lt;=MESES),IF(OR(B178=MESES,K178-L178&gt;N177),N177,K178-L178),0)</f>
        <v/>
      </c>
      <c r="N178" s="58">
        <f>N177-M178</f>
        <v/>
      </c>
      <c r="O178" s="58">
        <f>IF(AND(BANCO_OK_2,B178&lt;=MESES),L178+M178+VINC_MES_2,0)</f>
        <v/>
      </c>
      <c r="P178" s="52">
        <f>IF(AND(BANCO_OK_3,B178&lt;=MESES),IF(OR(OF_TIPO_3="Fija",C178&lt;=OF_ANIOS_INI_3),OF_TIN_3,MAX(0,EURIBOR+OF_DIF_3)),0)</f>
        <v/>
      </c>
      <c r="Q178" s="58">
        <f>IF(AND(BANCO_OK_3,B178&lt;=MESES),IF(OR(B178=1,P178&lt;&gt;P177),PMT(P178/1200,MESES-B178+1,-T177),Q177),0)</f>
        <v/>
      </c>
      <c r="R178" s="58">
        <f>T177*P178/1200</f>
        <v/>
      </c>
      <c r="S178" s="58">
        <f>IF(AND(BANCO_OK_3,B178&lt;=MESES),IF(OR(B178=MESES,Q178-R178&gt;T177),T177,Q178-R178),0)</f>
        <v/>
      </c>
      <c r="T178" s="58">
        <f>T177-S178</f>
        <v/>
      </c>
      <c r="U178" s="58">
        <f>IF(AND(BANCO_OK_3,B178&lt;=MESES),R178+S178+VINC_MES_3,0)</f>
        <v/>
      </c>
      <c r="V178" s="52">
        <f>IF(AND(BANCO_OK_4,B178&lt;=MESES),IF(OR(OF_TIPO_4="Fija",C178&lt;=OF_ANIOS_INI_4),OF_TIN_4,MAX(0,EURIBOR+OF_DIF_4)),0)</f>
        <v/>
      </c>
      <c r="W178" s="58">
        <f>IF(AND(BANCO_OK_4,B178&lt;=MESES),IF(OR(B178=1,V178&lt;&gt;V177),PMT(V178/1200,MESES-B178+1,-Z177),W177),0)</f>
        <v/>
      </c>
      <c r="X178" s="58">
        <f>Z177*V178/1200</f>
        <v/>
      </c>
      <c r="Y178" s="58">
        <f>IF(AND(BANCO_OK_4,B178&lt;=MESES),IF(OR(B178=MESES,W178-X178&gt;Z177),Z177,W178-X178),0)</f>
        <v/>
      </c>
      <c r="Z178" s="58">
        <f>Z177-Y178</f>
        <v/>
      </c>
      <c r="AA178" s="58">
        <f>IF(AND(BANCO_OK_4,B178&lt;=MESES),X178+Y178+VINC_MES_4,0)</f>
        <v/>
      </c>
    </row>
    <row r="179">
      <c r="B179" s="56" t="n">
        <v>171</v>
      </c>
      <c r="C179" s="56">
        <f>ROUNDUP(B179/12,0)</f>
        <v/>
      </c>
      <c r="D179" s="52">
        <f>IF(AND(BANCO_OK_1,B179&lt;=MESES),IF(OR(OF_TIPO_1="Fija",C179&lt;=OF_ANIOS_INI_1),OF_TIN_1,MAX(0,EURIBOR+OF_DIF_1)),0)</f>
        <v/>
      </c>
      <c r="E179" s="58">
        <f>IF(AND(BANCO_OK_1,B179&lt;=MESES),IF(OR(B179=1,D179&lt;&gt;D178),PMT(D179/1200,MESES-B179+1,-H178),E178),0)</f>
        <v/>
      </c>
      <c r="F179" s="58">
        <f>H178*D179/1200</f>
        <v/>
      </c>
      <c r="G179" s="58">
        <f>IF(AND(BANCO_OK_1,B179&lt;=MESES),IF(OR(B179=MESES,E179-F179&gt;H178),H178,E179-F179),0)</f>
        <v/>
      </c>
      <c r="H179" s="58">
        <f>H178-G179</f>
        <v/>
      </c>
      <c r="I179" s="58">
        <f>IF(AND(BANCO_OK_1,B179&lt;=MESES),F179+G179+VINC_MES_1,0)</f>
        <v/>
      </c>
      <c r="J179" s="52">
        <f>IF(AND(BANCO_OK_2,B179&lt;=MESES),IF(OR(OF_TIPO_2="Fija",C179&lt;=OF_ANIOS_INI_2),OF_TIN_2,MAX(0,EURIBOR+OF_DIF_2)),0)</f>
        <v/>
      </c>
      <c r="K179" s="58">
        <f>IF(AND(BANCO_OK_2,B179&lt;=MESES),IF(OR(B179=1,J179&lt;&gt;J178),PMT(J179/1200,MESES-B179+1,-N178),K178),0)</f>
        <v/>
      </c>
      <c r="L179" s="58">
        <f>N178*J179/1200</f>
        <v/>
      </c>
      <c r="M179" s="58">
        <f>IF(AND(BANCO_OK_2,B179&lt;=MESES),IF(OR(B179=MESES,K179-L179&gt;N178),N178,K179-L179),0)</f>
        <v/>
      </c>
      <c r="N179" s="58">
        <f>N178-M179</f>
        <v/>
      </c>
      <c r="O179" s="58">
        <f>IF(AND(BANCO_OK_2,B179&lt;=MESES),L179+M179+VINC_MES_2,0)</f>
        <v/>
      </c>
      <c r="P179" s="52">
        <f>IF(AND(BANCO_OK_3,B179&lt;=MESES),IF(OR(OF_TIPO_3="Fija",C179&lt;=OF_ANIOS_INI_3),OF_TIN_3,MAX(0,EURIBOR+OF_DIF_3)),0)</f>
        <v/>
      </c>
      <c r="Q179" s="58">
        <f>IF(AND(BANCO_OK_3,B179&lt;=MESES),IF(OR(B179=1,P179&lt;&gt;P178),PMT(P179/1200,MESES-B179+1,-T178),Q178),0)</f>
        <v/>
      </c>
      <c r="R179" s="58">
        <f>T178*P179/1200</f>
        <v/>
      </c>
      <c r="S179" s="58">
        <f>IF(AND(BANCO_OK_3,B179&lt;=MESES),IF(OR(B179=MESES,Q179-R179&gt;T178),T178,Q179-R179),0)</f>
        <v/>
      </c>
      <c r="T179" s="58">
        <f>T178-S179</f>
        <v/>
      </c>
      <c r="U179" s="58">
        <f>IF(AND(BANCO_OK_3,B179&lt;=MESES),R179+S179+VINC_MES_3,0)</f>
        <v/>
      </c>
      <c r="V179" s="52">
        <f>IF(AND(BANCO_OK_4,B179&lt;=MESES),IF(OR(OF_TIPO_4="Fija",C179&lt;=OF_ANIOS_INI_4),OF_TIN_4,MAX(0,EURIBOR+OF_DIF_4)),0)</f>
        <v/>
      </c>
      <c r="W179" s="58">
        <f>IF(AND(BANCO_OK_4,B179&lt;=MESES),IF(OR(B179=1,V179&lt;&gt;V178),PMT(V179/1200,MESES-B179+1,-Z178),W178),0)</f>
        <v/>
      </c>
      <c r="X179" s="58">
        <f>Z178*V179/1200</f>
        <v/>
      </c>
      <c r="Y179" s="58">
        <f>IF(AND(BANCO_OK_4,B179&lt;=MESES),IF(OR(B179=MESES,W179-X179&gt;Z178),Z178,W179-X179),0)</f>
        <v/>
      </c>
      <c r="Z179" s="58">
        <f>Z178-Y179</f>
        <v/>
      </c>
      <c r="AA179" s="58">
        <f>IF(AND(BANCO_OK_4,B179&lt;=MESES),X179+Y179+VINC_MES_4,0)</f>
        <v/>
      </c>
    </row>
    <row r="180">
      <c r="B180" s="56" t="n">
        <v>172</v>
      </c>
      <c r="C180" s="56">
        <f>ROUNDUP(B180/12,0)</f>
        <v/>
      </c>
      <c r="D180" s="52">
        <f>IF(AND(BANCO_OK_1,B180&lt;=MESES),IF(OR(OF_TIPO_1="Fija",C180&lt;=OF_ANIOS_INI_1),OF_TIN_1,MAX(0,EURIBOR+OF_DIF_1)),0)</f>
        <v/>
      </c>
      <c r="E180" s="58">
        <f>IF(AND(BANCO_OK_1,B180&lt;=MESES),IF(OR(B180=1,D180&lt;&gt;D179),PMT(D180/1200,MESES-B180+1,-H179),E179),0)</f>
        <v/>
      </c>
      <c r="F180" s="58">
        <f>H179*D180/1200</f>
        <v/>
      </c>
      <c r="G180" s="58">
        <f>IF(AND(BANCO_OK_1,B180&lt;=MESES),IF(OR(B180=MESES,E180-F180&gt;H179),H179,E180-F180),0)</f>
        <v/>
      </c>
      <c r="H180" s="58">
        <f>H179-G180</f>
        <v/>
      </c>
      <c r="I180" s="58">
        <f>IF(AND(BANCO_OK_1,B180&lt;=MESES),F180+G180+VINC_MES_1,0)</f>
        <v/>
      </c>
      <c r="J180" s="52">
        <f>IF(AND(BANCO_OK_2,B180&lt;=MESES),IF(OR(OF_TIPO_2="Fija",C180&lt;=OF_ANIOS_INI_2),OF_TIN_2,MAX(0,EURIBOR+OF_DIF_2)),0)</f>
        <v/>
      </c>
      <c r="K180" s="58">
        <f>IF(AND(BANCO_OK_2,B180&lt;=MESES),IF(OR(B180=1,J180&lt;&gt;J179),PMT(J180/1200,MESES-B180+1,-N179),K179),0)</f>
        <v/>
      </c>
      <c r="L180" s="58">
        <f>N179*J180/1200</f>
        <v/>
      </c>
      <c r="M180" s="58">
        <f>IF(AND(BANCO_OK_2,B180&lt;=MESES),IF(OR(B180=MESES,K180-L180&gt;N179),N179,K180-L180),0)</f>
        <v/>
      </c>
      <c r="N180" s="58">
        <f>N179-M180</f>
        <v/>
      </c>
      <c r="O180" s="58">
        <f>IF(AND(BANCO_OK_2,B180&lt;=MESES),L180+M180+VINC_MES_2,0)</f>
        <v/>
      </c>
      <c r="P180" s="52">
        <f>IF(AND(BANCO_OK_3,B180&lt;=MESES),IF(OR(OF_TIPO_3="Fija",C180&lt;=OF_ANIOS_INI_3),OF_TIN_3,MAX(0,EURIBOR+OF_DIF_3)),0)</f>
        <v/>
      </c>
      <c r="Q180" s="58">
        <f>IF(AND(BANCO_OK_3,B180&lt;=MESES),IF(OR(B180=1,P180&lt;&gt;P179),PMT(P180/1200,MESES-B180+1,-T179),Q179),0)</f>
        <v/>
      </c>
      <c r="R180" s="58">
        <f>T179*P180/1200</f>
        <v/>
      </c>
      <c r="S180" s="58">
        <f>IF(AND(BANCO_OK_3,B180&lt;=MESES),IF(OR(B180=MESES,Q180-R180&gt;T179),T179,Q180-R180),0)</f>
        <v/>
      </c>
      <c r="T180" s="58">
        <f>T179-S180</f>
        <v/>
      </c>
      <c r="U180" s="58">
        <f>IF(AND(BANCO_OK_3,B180&lt;=MESES),R180+S180+VINC_MES_3,0)</f>
        <v/>
      </c>
      <c r="V180" s="52">
        <f>IF(AND(BANCO_OK_4,B180&lt;=MESES),IF(OR(OF_TIPO_4="Fija",C180&lt;=OF_ANIOS_INI_4),OF_TIN_4,MAX(0,EURIBOR+OF_DIF_4)),0)</f>
        <v/>
      </c>
      <c r="W180" s="58">
        <f>IF(AND(BANCO_OK_4,B180&lt;=MESES),IF(OR(B180=1,V180&lt;&gt;V179),PMT(V180/1200,MESES-B180+1,-Z179),W179),0)</f>
        <v/>
      </c>
      <c r="X180" s="58">
        <f>Z179*V180/1200</f>
        <v/>
      </c>
      <c r="Y180" s="58">
        <f>IF(AND(BANCO_OK_4,B180&lt;=MESES),IF(OR(B180=MESES,W180-X180&gt;Z179),Z179,W180-X180),0)</f>
        <v/>
      </c>
      <c r="Z180" s="58">
        <f>Z179-Y180</f>
        <v/>
      </c>
      <c r="AA180" s="58">
        <f>IF(AND(BANCO_OK_4,B180&lt;=MESES),X180+Y180+VINC_MES_4,0)</f>
        <v/>
      </c>
    </row>
    <row r="181">
      <c r="B181" s="56" t="n">
        <v>173</v>
      </c>
      <c r="C181" s="56">
        <f>ROUNDUP(B181/12,0)</f>
        <v/>
      </c>
      <c r="D181" s="52">
        <f>IF(AND(BANCO_OK_1,B181&lt;=MESES),IF(OR(OF_TIPO_1="Fija",C181&lt;=OF_ANIOS_INI_1),OF_TIN_1,MAX(0,EURIBOR+OF_DIF_1)),0)</f>
        <v/>
      </c>
      <c r="E181" s="58">
        <f>IF(AND(BANCO_OK_1,B181&lt;=MESES),IF(OR(B181=1,D181&lt;&gt;D180),PMT(D181/1200,MESES-B181+1,-H180),E180),0)</f>
        <v/>
      </c>
      <c r="F181" s="58">
        <f>H180*D181/1200</f>
        <v/>
      </c>
      <c r="G181" s="58">
        <f>IF(AND(BANCO_OK_1,B181&lt;=MESES),IF(OR(B181=MESES,E181-F181&gt;H180),H180,E181-F181),0)</f>
        <v/>
      </c>
      <c r="H181" s="58">
        <f>H180-G181</f>
        <v/>
      </c>
      <c r="I181" s="58">
        <f>IF(AND(BANCO_OK_1,B181&lt;=MESES),F181+G181+VINC_MES_1,0)</f>
        <v/>
      </c>
      <c r="J181" s="52">
        <f>IF(AND(BANCO_OK_2,B181&lt;=MESES),IF(OR(OF_TIPO_2="Fija",C181&lt;=OF_ANIOS_INI_2),OF_TIN_2,MAX(0,EURIBOR+OF_DIF_2)),0)</f>
        <v/>
      </c>
      <c r="K181" s="58">
        <f>IF(AND(BANCO_OK_2,B181&lt;=MESES),IF(OR(B181=1,J181&lt;&gt;J180),PMT(J181/1200,MESES-B181+1,-N180),K180),0)</f>
        <v/>
      </c>
      <c r="L181" s="58">
        <f>N180*J181/1200</f>
        <v/>
      </c>
      <c r="M181" s="58">
        <f>IF(AND(BANCO_OK_2,B181&lt;=MESES),IF(OR(B181=MESES,K181-L181&gt;N180),N180,K181-L181),0)</f>
        <v/>
      </c>
      <c r="N181" s="58">
        <f>N180-M181</f>
        <v/>
      </c>
      <c r="O181" s="58">
        <f>IF(AND(BANCO_OK_2,B181&lt;=MESES),L181+M181+VINC_MES_2,0)</f>
        <v/>
      </c>
      <c r="P181" s="52">
        <f>IF(AND(BANCO_OK_3,B181&lt;=MESES),IF(OR(OF_TIPO_3="Fija",C181&lt;=OF_ANIOS_INI_3),OF_TIN_3,MAX(0,EURIBOR+OF_DIF_3)),0)</f>
        <v/>
      </c>
      <c r="Q181" s="58">
        <f>IF(AND(BANCO_OK_3,B181&lt;=MESES),IF(OR(B181=1,P181&lt;&gt;P180),PMT(P181/1200,MESES-B181+1,-T180),Q180),0)</f>
        <v/>
      </c>
      <c r="R181" s="58">
        <f>T180*P181/1200</f>
        <v/>
      </c>
      <c r="S181" s="58">
        <f>IF(AND(BANCO_OK_3,B181&lt;=MESES),IF(OR(B181=MESES,Q181-R181&gt;T180),T180,Q181-R181),0)</f>
        <v/>
      </c>
      <c r="T181" s="58">
        <f>T180-S181</f>
        <v/>
      </c>
      <c r="U181" s="58">
        <f>IF(AND(BANCO_OK_3,B181&lt;=MESES),R181+S181+VINC_MES_3,0)</f>
        <v/>
      </c>
      <c r="V181" s="52">
        <f>IF(AND(BANCO_OK_4,B181&lt;=MESES),IF(OR(OF_TIPO_4="Fija",C181&lt;=OF_ANIOS_INI_4),OF_TIN_4,MAX(0,EURIBOR+OF_DIF_4)),0)</f>
        <v/>
      </c>
      <c r="W181" s="58">
        <f>IF(AND(BANCO_OK_4,B181&lt;=MESES),IF(OR(B181=1,V181&lt;&gt;V180),PMT(V181/1200,MESES-B181+1,-Z180),W180),0)</f>
        <v/>
      </c>
      <c r="X181" s="58">
        <f>Z180*V181/1200</f>
        <v/>
      </c>
      <c r="Y181" s="58">
        <f>IF(AND(BANCO_OK_4,B181&lt;=MESES),IF(OR(B181=MESES,W181-X181&gt;Z180),Z180,W181-X181),0)</f>
        <v/>
      </c>
      <c r="Z181" s="58">
        <f>Z180-Y181</f>
        <v/>
      </c>
      <c r="AA181" s="58">
        <f>IF(AND(BANCO_OK_4,B181&lt;=MESES),X181+Y181+VINC_MES_4,0)</f>
        <v/>
      </c>
    </row>
    <row r="182">
      <c r="B182" s="56" t="n">
        <v>174</v>
      </c>
      <c r="C182" s="56">
        <f>ROUNDUP(B182/12,0)</f>
        <v/>
      </c>
      <c r="D182" s="52">
        <f>IF(AND(BANCO_OK_1,B182&lt;=MESES),IF(OR(OF_TIPO_1="Fija",C182&lt;=OF_ANIOS_INI_1),OF_TIN_1,MAX(0,EURIBOR+OF_DIF_1)),0)</f>
        <v/>
      </c>
      <c r="E182" s="58">
        <f>IF(AND(BANCO_OK_1,B182&lt;=MESES),IF(OR(B182=1,D182&lt;&gt;D181),PMT(D182/1200,MESES-B182+1,-H181),E181),0)</f>
        <v/>
      </c>
      <c r="F182" s="58">
        <f>H181*D182/1200</f>
        <v/>
      </c>
      <c r="G182" s="58">
        <f>IF(AND(BANCO_OK_1,B182&lt;=MESES),IF(OR(B182=MESES,E182-F182&gt;H181),H181,E182-F182),0)</f>
        <v/>
      </c>
      <c r="H182" s="58">
        <f>H181-G182</f>
        <v/>
      </c>
      <c r="I182" s="58">
        <f>IF(AND(BANCO_OK_1,B182&lt;=MESES),F182+G182+VINC_MES_1,0)</f>
        <v/>
      </c>
      <c r="J182" s="52">
        <f>IF(AND(BANCO_OK_2,B182&lt;=MESES),IF(OR(OF_TIPO_2="Fija",C182&lt;=OF_ANIOS_INI_2),OF_TIN_2,MAX(0,EURIBOR+OF_DIF_2)),0)</f>
        <v/>
      </c>
      <c r="K182" s="58">
        <f>IF(AND(BANCO_OK_2,B182&lt;=MESES),IF(OR(B182=1,J182&lt;&gt;J181),PMT(J182/1200,MESES-B182+1,-N181),K181),0)</f>
        <v/>
      </c>
      <c r="L182" s="58">
        <f>N181*J182/1200</f>
        <v/>
      </c>
      <c r="M182" s="58">
        <f>IF(AND(BANCO_OK_2,B182&lt;=MESES),IF(OR(B182=MESES,K182-L182&gt;N181),N181,K182-L182),0)</f>
        <v/>
      </c>
      <c r="N182" s="58">
        <f>N181-M182</f>
        <v/>
      </c>
      <c r="O182" s="58">
        <f>IF(AND(BANCO_OK_2,B182&lt;=MESES),L182+M182+VINC_MES_2,0)</f>
        <v/>
      </c>
      <c r="P182" s="52">
        <f>IF(AND(BANCO_OK_3,B182&lt;=MESES),IF(OR(OF_TIPO_3="Fija",C182&lt;=OF_ANIOS_INI_3),OF_TIN_3,MAX(0,EURIBOR+OF_DIF_3)),0)</f>
        <v/>
      </c>
      <c r="Q182" s="58">
        <f>IF(AND(BANCO_OK_3,B182&lt;=MESES),IF(OR(B182=1,P182&lt;&gt;P181),PMT(P182/1200,MESES-B182+1,-T181),Q181),0)</f>
        <v/>
      </c>
      <c r="R182" s="58">
        <f>T181*P182/1200</f>
        <v/>
      </c>
      <c r="S182" s="58">
        <f>IF(AND(BANCO_OK_3,B182&lt;=MESES),IF(OR(B182=MESES,Q182-R182&gt;T181),T181,Q182-R182),0)</f>
        <v/>
      </c>
      <c r="T182" s="58">
        <f>T181-S182</f>
        <v/>
      </c>
      <c r="U182" s="58">
        <f>IF(AND(BANCO_OK_3,B182&lt;=MESES),R182+S182+VINC_MES_3,0)</f>
        <v/>
      </c>
      <c r="V182" s="52">
        <f>IF(AND(BANCO_OK_4,B182&lt;=MESES),IF(OR(OF_TIPO_4="Fija",C182&lt;=OF_ANIOS_INI_4),OF_TIN_4,MAX(0,EURIBOR+OF_DIF_4)),0)</f>
        <v/>
      </c>
      <c r="W182" s="58">
        <f>IF(AND(BANCO_OK_4,B182&lt;=MESES),IF(OR(B182=1,V182&lt;&gt;V181),PMT(V182/1200,MESES-B182+1,-Z181),W181),0)</f>
        <v/>
      </c>
      <c r="X182" s="58">
        <f>Z181*V182/1200</f>
        <v/>
      </c>
      <c r="Y182" s="58">
        <f>IF(AND(BANCO_OK_4,B182&lt;=MESES),IF(OR(B182=MESES,W182-X182&gt;Z181),Z181,W182-X182),0)</f>
        <v/>
      </c>
      <c r="Z182" s="58">
        <f>Z181-Y182</f>
        <v/>
      </c>
      <c r="AA182" s="58">
        <f>IF(AND(BANCO_OK_4,B182&lt;=MESES),X182+Y182+VINC_MES_4,0)</f>
        <v/>
      </c>
    </row>
    <row r="183">
      <c r="B183" s="56" t="n">
        <v>175</v>
      </c>
      <c r="C183" s="56">
        <f>ROUNDUP(B183/12,0)</f>
        <v/>
      </c>
      <c r="D183" s="52">
        <f>IF(AND(BANCO_OK_1,B183&lt;=MESES),IF(OR(OF_TIPO_1="Fija",C183&lt;=OF_ANIOS_INI_1),OF_TIN_1,MAX(0,EURIBOR+OF_DIF_1)),0)</f>
        <v/>
      </c>
      <c r="E183" s="58">
        <f>IF(AND(BANCO_OK_1,B183&lt;=MESES),IF(OR(B183=1,D183&lt;&gt;D182),PMT(D183/1200,MESES-B183+1,-H182),E182),0)</f>
        <v/>
      </c>
      <c r="F183" s="58">
        <f>H182*D183/1200</f>
        <v/>
      </c>
      <c r="G183" s="58">
        <f>IF(AND(BANCO_OK_1,B183&lt;=MESES),IF(OR(B183=MESES,E183-F183&gt;H182),H182,E183-F183),0)</f>
        <v/>
      </c>
      <c r="H183" s="58">
        <f>H182-G183</f>
        <v/>
      </c>
      <c r="I183" s="58">
        <f>IF(AND(BANCO_OK_1,B183&lt;=MESES),F183+G183+VINC_MES_1,0)</f>
        <v/>
      </c>
      <c r="J183" s="52">
        <f>IF(AND(BANCO_OK_2,B183&lt;=MESES),IF(OR(OF_TIPO_2="Fija",C183&lt;=OF_ANIOS_INI_2),OF_TIN_2,MAX(0,EURIBOR+OF_DIF_2)),0)</f>
        <v/>
      </c>
      <c r="K183" s="58">
        <f>IF(AND(BANCO_OK_2,B183&lt;=MESES),IF(OR(B183=1,J183&lt;&gt;J182),PMT(J183/1200,MESES-B183+1,-N182),K182),0)</f>
        <v/>
      </c>
      <c r="L183" s="58">
        <f>N182*J183/1200</f>
        <v/>
      </c>
      <c r="M183" s="58">
        <f>IF(AND(BANCO_OK_2,B183&lt;=MESES),IF(OR(B183=MESES,K183-L183&gt;N182),N182,K183-L183),0)</f>
        <v/>
      </c>
      <c r="N183" s="58">
        <f>N182-M183</f>
        <v/>
      </c>
      <c r="O183" s="58">
        <f>IF(AND(BANCO_OK_2,B183&lt;=MESES),L183+M183+VINC_MES_2,0)</f>
        <v/>
      </c>
      <c r="P183" s="52">
        <f>IF(AND(BANCO_OK_3,B183&lt;=MESES),IF(OR(OF_TIPO_3="Fija",C183&lt;=OF_ANIOS_INI_3),OF_TIN_3,MAX(0,EURIBOR+OF_DIF_3)),0)</f>
        <v/>
      </c>
      <c r="Q183" s="58">
        <f>IF(AND(BANCO_OK_3,B183&lt;=MESES),IF(OR(B183=1,P183&lt;&gt;P182),PMT(P183/1200,MESES-B183+1,-T182),Q182),0)</f>
        <v/>
      </c>
      <c r="R183" s="58">
        <f>T182*P183/1200</f>
        <v/>
      </c>
      <c r="S183" s="58">
        <f>IF(AND(BANCO_OK_3,B183&lt;=MESES),IF(OR(B183=MESES,Q183-R183&gt;T182),T182,Q183-R183),0)</f>
        <v/>
      </c>
      <c r="T183" s="58">
        <f>T182-S183</f>
        <v/>
      </c>
      <c r="U183" s="58">
        <f>IF(AND(BANCO_OK_3,B183&lt;=MESES),R183+S183+VINC_MES_3,0)</f>
        <v/>
      </c>
      <c r="V183" s="52">
        <f>IF(AND(BANCO_OK_4,B183&lt;=MESES),IF(OR(OF_TIPO_4="Fija",C183&lt;=OF_ANIOS_INI_4),OF_TIN_4,MAX(0,EURIBOR+OF_DIF_4)),0)</f>
        <v/>
      </c>
      <c r="W183" s="58">
        <f>IF(AND(BANCO_OK_4,B183&lt;=MESES),IF(OR(B183=1,V183&lt;&gt;V182),PMT(V183/1200,MESES-B183+1,-Z182),W182),0)</f>
        <v/>
      </c>
      <c r="X183" s="58">
        <f>Z182*V183/1200</f>
        <v/>
      </c>
      <c r="Y183" s="58">
        <f>IF(AND(BANCO_OK_4,B183&lt;=MESES),IF(OR(B183=MESES,W183-X183&gt;Z182),Z182,W183-X183),0)</f>
        <v/>
      </c>
      <c r="Z183" s="58">
        <f>Z182-Y183</f>
        <v/>
      </c>
      <c r="AA183" s="58">
        <f>IF(AND(BANCO_OK_4,B183&lt;=MESES),X183+Y183+VINC_MES_4,0)</f>
        <v/>
      </c>
    </row>
    <row r="184">
      <c r="B184" s="56" t="n">
        <v>176</v>
      </c>
      <c r="C184" s="56">
        <f>ROUNDUP(B184/12,0)</f>
        <v/>
      </c>
      <c r="D184" s="52">
        <f>IF(AND(BANCO_OK_1,B184&lt;=MESES),IF(OR(OF_TIPO_1="Fija",C184&lt;=OF_ANIOS_INI_1),OF_TIN_1,MAX(0,EURIBOR+OF_DIF_1)),0)</f>
        <v/>
      </c>
      <c r="E184" s="58">
        <f>IF(AND(BANCO_OK_1,B184&lt;=MESES),IF(OR(B184=1,D184&lt;&gt;D183),PMT(D184/1200,MESES-B184+1,-H183),E183),0)</f>
        <v/>
      </c>
      <c r="F184" s="58">
        <f>H183*D184/1200</f>
        <v/>
      </c>
      <c r="G184" s="58">
        <f>IF(AND(BANCO_OK_1,B184&lt;=MESES),IF(OR(B184=MESES,E184-F184&gt;H183),H183,E184-F184),0)</f>
        <v/>
      </c>
      <c r="H184" s="58">
        <f>H183-G184</f>
        <v/>
      </c>
      <c r="I184" s="58">
        <f>IF(AND(BANCO_OK_1,B184&lt;=MESES),F184+G184+VINC_MES_1,0)</f>
        <v/>
      </c>
      <c r="J184" s="52">
        <f>IF(AND(BANCO_OK_2,B184&lt;=MESES),IF(OR(OF_TIPO_2="Fija",C184&lt;=OF_ANIOS_INI_2),OF_TIN_2,MAX(0,EURIBOR+OF_DIF_2)),0)</f>
        <v/>
      </c>
      <c r="K184" s="58">
        <f>IF(AND(BANCO_OK_2,B184&lt;=MESES),IF(OR(B184=1,J184&lt;&gt;J183),PMT(J184/1200,MESES-B184+1,-N183),K183),0)</f>
        <v/>
      </c>
      <c r="L184" s="58">
        <f>N183*J184/1200</f>
        <v/>
      </c>
      <c r="M184" s="58">
        <f>IF(AND(BANCO_OK_2,B184&lt;=MESES),IF(OR(B184=MESES,K184-L184&gt;N183),N183,K184-L184),0)</f>
        <v/>
      </c>
      <c r="N184" s="58">
        <f>N183-M184</f>
        <v/>
      </c>
      <c r="O184" s="58">
        <f>IF(AND(BANCO_OK_2,B184&lt;=MESES),L184+M184+VINC_MES_2,0)</f>
        <v/>
      </c>
      <c r="P184" s="52">
        <f>IF(AND(BANCO_OK_3,B184&lt;=MESES),IF(OR(OF_TIPO_3="Fija",C184&lt;=OF_ANIOS_INI_3),OF_TIN_3,MAX(0,EURIBOR+OF_DIF_3)),0)</f>
        <v/>
      </c>
      <c r="Q184" s="58">
        <f>IF(AND(BANCO_OK_3,B184&lt;=MESES),IF(OR(B184=1,P184&lt;&gt;P183),PMT(P184/1200,MESES-B184+1,-T183),Q183),0)</f>
        <v/>
      </c>
      <c r="R184" s="58">
        <f>T183*P184/1200</f>
        <v/>
      </c>
      <c r="S184" s="58">
        <f>IF(AND(BANCO_OK_3,B184&lt;=MESES),IF(OR(B184=MESES,Q184-R184&gt;T183),T183,Q184-R184),0)</f>
        <v/>
      </c>
      <c r="T184" s="58">
        <f>T183-S184</f>
        <v/>
      </c>
      <c r="U184" s="58">
        <f>IF(AND(BANCO_OK_3,B184&lt;=MESES),R184+S184+VINC_MES_3,0)</f>
        <v/>
      </c>
      <c r="V184" s="52">
        <f>IF(AND(BANCO_OK_4,B184&lt;=MESES),IF(OR(OF_TIPO_4="Fija",C184&lt;=OF_ANIOS_INI_4),OF_TIN_4,MAX(0,EURIBOR+OF_DIF_4)),0)</f>
        <v/>
      </c>
      <c r="W184" s="58">
        <f>IF(AND(BANCO_OK_4,B184&lt;=MESES),IF(OR(B184=1,V184&lt;&gt;V183),PMT(V184/1200,MESES-B184+1,-Z183),W183),0)</f>
        <v/>
      </c>
      <c r="X184" s="58">
        <f>Z183*V184/1200</f>
        <v/>
      </c>
      <c r="Y184" s="58">
        <f>IF(AND(BANCO_OK_4,B184&lt;=MESES),IF(OR(B184=MESES,W184-X184&gt;Z183),Z183,W184-X184),0)</f>
        <v/>
      </c>
      <c r="Z184" s="58">
        <f>Z183-Y184</f>
        <v/>
      </c>
      <c r="AA184" s="58">
        <f>IF(AND(BANCO_OK_4,B184&lt;=MESES),X184+Y184+VINC_MES_4,0)</f>
        <v/>
      </c>
    </row>
    <row r="185">
      <c r="B185" s="56" t="n">
        <v>177</v>
      </c>
      <c r="C185" s="56">
        <f>ROUNDUP(B185/12,0)</f>
        <v/>
      </c>
      <c r="D185" s="52">
        <f>IF(AND(BANCO_OK_1,B185&lt;=MESES),IF(OR(OF_TIPO_1="Fija",C185&lt;=OF_ANIOS_INI_1),OF_TIN_1,MAX(0,EURIBOR+OF_DIF_1)),0)</f>
        <v/>
      </c>
      <c r="E185" s="58">
        <f>IF(AND(BANCO_OK_1,B185&lt;=MESES),IF(OR(B185=1,D185&lt;&gt;D184),PMT(D185/1200,MESES-B185+1,-H184),E184),0)</f>
        <v/>
      </c>
      <c r="F185" s="58">
        <f>H184*D185/1200</f>
        <v/>
      </c>
      <c r="G185" s="58">
        <f>IF(AND(BANCO_OK_1,B185&lt;=MESES),IF(OR(B185=MESES,E185-F185&gt;H184),H184,E185-F185),0)</f>
        <v/>
      </c>
      <c r="H185" s="58">
        <f>H184-G185</f>
        <v/>
      </c>
      <c r="I185" s="58">
        <f>IF(AND(BANCO_OK_1,B185&lt;=MESES),F185+G185+VINC_MES_1,0)</f>
        <v/>
      </c>
      <c r="J185" s="52">
        <f>IF(AND(BANCO_OK_2,B185&lt;=MESES),IF(OR(OF_TIPO_2="Fija",C185&lt;=OF_ANIOS_INI_2),OF_TIN_2,MAX(0,EURIBOR+OF_DIF_2)),0)</f>
        <v/>
      </c>
      <c r="K185" s="58">
        <f>IF(AND(BANCO_OK_2,B185&lt;=MESES),IF(OR(B185=1,J185&lt;&gt;J184),PMT(J185/1200,MESES-B185+1,-N184),K184),0)</f>
        <v/>
      </c>
      <c r="L185" s="58">
        <f>N184*J185/1200</f>
        <v/>
      </c>
      <c r="M185" s="58">
        <f>IF(AND(BANCO_OK_2,B185&lt;=MESES),IF(OR(B185=MESES,K185-L185&gt;N184),N184,K185-L185),0)</f>
        <v/>
      </c>
      <c r="N185" s="58">
        <f>N184-M185</f>
        <v/>
      </c>
      <c r="O185" s="58">
        <f>IF(AND(BANCO_OK_2,B185&lt;=MESES),L185+M185+VINC_MES_2,0)</f>
        <v/>
      </c>
      <c r="P185" s="52">
        <f>IF(AND(BANCO_OK_3,B185&lt;=MESES),IF(OR(OF_TIPO_3="Fija",C185&lt;=OF_ANIOS_INI_3),OF_TIN_3,MAX(0,EURIBOR+OF_DIF_3)),0)</f>
        <v/>
      </c>
      <c r="Q185" s="58">
        <f>IF(AND(BANCO_OK_3,B185&lt;=MESES),IF(OR(B185=1,P185&lt;&gt;P184),PMT(P185/1200,MESES-B185+1,-T184),Q184),0)</f>
        <v/>
      </c>
      <c r="R185" s="58">
        <f>T184*P185/1200</f>
        <v/>
      </c>
      <c r="S185" s="58">
        <f>IF(AND(BANCO_OK_3,B185&lt;=MESES),IF(OR(B185=MESES,Q185-R185&gt;T184),T184,Q185-R185),0)</f>
        <v/>
      </c>
      <c r="T185" s="58">
        <f>T184-S185</f>
        <v/>
      </c>
      <c r="U185" s="58">
        <f>IF(AND(BANCO_OK_3,B185&lt;=MESES),R185+S185+VINC_MES_3,0)</f>
        <v/>
      </c>
      <c r="V185" s="52">
        <f>IF(AND(BANCO_OK_4,B185&lt;=MESES),IF(OR(OF_TIPO_4="Fija",C185&lt;=OF_ANIOS_INI_4),OF_TIN_4,MAX(0,EURIBOR+OF_DIF_4)),0)</f>
        <v/>
      </c>
      <c r="W185" s="58">
        <f>IF(AND(BANCO_OK_4,B185&lt;=MESES),IF(OR(B185=1,V185&lt;&gt;V184),PMT(V185/1200,MESES-B185+1,-Z184),W184),0)</f>
        <v/>
      </c>
      <c r="X185" s="58">
        <f>Z184*V185/1200</f>
        <v/>
      </c>
      <c r="Y185" s="58">
        <f>IF(AND(BANCO_OK_4,B185&lt;=MESES),IF(OR(B185=MESES,W185-X185&gt;Z184),Z184,W185-X185),0)</f>
        <v/>
      </c>
      <c r="Z185" s="58">
        <f>Z184-Y185</f>
        <v/>
      </c>
      <c r="AA185" s="58">
        <f>IF(AND(BANCO_OK_4,B185&lt;=MESES),X185+Y185+VINC_MES_4,0)</f>
        <v/>
      </c>
    </row>
    <row r="186">
      <c r="B186" s="56" t="n">
        <v>178</v>
      </c>
      <c r="C186" s="56">
        <f>ROUNDUP(B186/12,0)</f>
        <v/>
      </c>
      <c r="D186" s="52">
        <f>IF(AND(BANCO_OK_1,B186&lt;=MESES),IF(OR(OF_TIPO_1="Fija",C186&lt;=OF_ANIOS_INI_1),OF_TIN_1,MAX(0,EURIBOR+OF_DIF_1)),0)</f>
        <v/>
      </c>
      <c r="E186" s="58">
        <f>IF(AND(BANCO_OK_1,B186&lt;=MESES),IF(OR(B186=1,D186&lt;&gt;D185),PMT(D186/1200,MESES-B186+1,-H185),E185),0)</f>
        <v/>
      </c>
      <c r="F186" s="58">
        <f>H185*D186/1200</f>
        <v/>
      </c>
      <c r="G186" s="58">
        <f>IF(AND(BANCO_OK_1,B186&lt;=MESES),IF(OR(B186=MESES,E186-F186&gt;H185),H185,E186-F186),0)</f>
        <v/>
      </c>
      <c r="H186" s="58">
        <f>H185-G186</f>
        <v/>
      </c>
      <c r="I186" s="58">
        <f>IF(AND(BANCO_OK_1,B186&lt;=MESES),F186+G186+VINC_MES_1,0)</f>
        <v/>
      </c>
      <c r="J186" s="52">
        <f>IF(AND(BANCO_OK_2,B186&lt;=MESES),IF(OR(OF_TIPO_2="Fija",C186&lt;=OF_ANIOS_INI_2),OF_TIN_2,MAX(0,EURIBOR+OF_DIF_2)),0)</f>
        <v/>
      </c>
      <c r="K186" s="58">
        <f>IF(AND(BANCO_OK_2,B186&lt;=MESES),IF(OR(B186=1,J186&lt;&gt;J185),PMT(J186/1200,MESES-B186+1,-N185),K185),0)</f>
        <v/>
      </c>
      <c r="L186" s="58">
        <f>N185*J186/1200</f>
        <v/>
      </c>
      <c r="M186" s="58">
        <f>IF(AND(BANCO_OK_2,B186&lt;=MESES),IF(OR(B186=MESES,K186-L186&gt;N185),N185,K186-L186),0)</f>
        <v/>
      </c>
      <c r="N186" s="58">
        <f>N185-M186</f>
        <v/>
      </c>
      <c r="O186" s="58">
        <f>IF(AND(BANCO_OK_2,B186&lt;=MESES),L186+M186+VINC_MES_2,0)</f>
        <v/>
      </c>
      <c r="P186" s="52">
        <f>IF(AND(BANCO_OK_3,B186&lt;=MESES),IF(OR(OF_TIPO_3="Fija",C186&lt;=OF_ANIOS_INI_3),OF_TIN_3,MAX(0,EURIBOR+OF_DIF_3)),0)</f>
        <v/>
      </c>
      <c r="Q186" s="58">
        <f>IF(AND(BANCO_OK_3,B186&lt;=MESES),IF(OR(B186=1,P186&lt;&gt;P185),PMT(P186/1200,MESES-B186+1,-T185),Q185),0)</f>
        <v/>
      </c>
      <c r="R186" s="58">
        <f>T185*P186/1200</f>
        <v/>
      </c>
      <c r="S186" s="58">
        <f>IF(AND(BANCO_OK_3,B186&lt;=MESES),IF(OR(B186=MESES,Q186-R186&gt;T185),T185,Q186-R186),0)</f>
        <v/>
      </c>
      <c r="T186" s="58">
        <f>T185-S186</f>
        <v/>
      </c>
      <c r="U186" s="58">
        <f>IF(AND(BANCO_OK_3,B186&lt;=MESES),R186+S186+VINC_MES_3,0)</f>
        <v/>
      </c>
      <c r="V186" s="52">
        <f>IF(AND(BANCO_OK_4,B186&lt;=MESES),IF(OR(OF_TIPO_4="Fija",C186&lt;=OF_ANIOS_INI_4),OF_TIN_4,MAX(0,EURIBOR+OF_DIF_4)),0)</f>
        <v/>
      </c>
      <c r="W186" s="58">
        <f>IF(AND(BANCO_OK_4,B186&lt;=MESES),IF(OR(B186=1,V186&lt;&gt;V185),PMT(V186/1200,MESES-B186+1,-Z185),W185),0)</f>
        <v/>
      </c>
      <c r="X186" s="58">
        <f>Z185*V186/1200</f>
        <v/>
      </c>
      <c r="Y186" s="58">
        <f>IF(AND(BANCO_OK_4,B186&lt;=MESES),IF(OR(B186=MESES,W186-X186&gt;Z185),Z185,W186-X186),0)</f>
        <v/>
      </c>
      <c r="Z186" s="58">
        <f>Z185-Y186</f>
        <v/>
      </c>
      <c r="AA186" s="58">
        <f>IF(AND(BANCO_OK_4,B186&lt;=MESES),X186+Y186+VINC_MES_4,0)</f>
        <v/>
      </c>
    </row>
    <row r="187">
      <c r="B187" s="56" t="n">
        <v>179</v>
      </c>
      <c r="C187" s="56">
        <f>ROUNDUP(B187/12,0)</f>
        <v/>
      </c>
      <c r="D187" s="52">
        <f>IF(AND(BANCO_OK_1,B187&lt;=MESES),IF(OR(OF_TIPO_1="Fija",C187&lt;=OF_ANIOS_INI_1),OF_TIN_1,MAX(0,EURIBOR+OF_DIF_1)),0)</f>
        <v/>
      </c>
      <c r="E187" s="58">
        <f>IF(AND(BANCO_OK_1,B187&lt;=MESES),IF(OR(B187=1,D187&lt;&gt;D186),PMT(D187/1200,MESES-B187+1,-H186),E186),0)</f>
        <v/>
      </c>
      <c r="F187" s="58">
        <f>H186*D187/1200</f>
        <v/>
      </c>
      <c r="G187" s="58">
        <f>IF(AND(BANCO_OK_1,B187&lt;=MESES),IF(OR(B187=MESES,E187-F187&gt;H186),H186,E187-F187),0)</f>
        <v/>
      </c>
      <c r="H187" s="58">
        <f>H186-G187</f>
        <v/>
      </c>
      <c r="I187" s="58">
        <f>IF(AND(BANCO_OK_1,B187&lt;=MESES),F187+G187+VINC_MES_1,0)</f>
        <v/>
      </c>
      <c r="J187" s="52">
        <f>IF(AND(BANCO_OK_2,B187&lt;=MESES),IF(OR(OF_TIPO_2="Fija",C187&lt;=OF_ANIOS_INI_2),OF_TIN_2,MAX(0,EURIBOR+OF_DIF_2)),0)</f>
        <v/>
      </c>
      <c r="K187" s="58">
        <f>IF(AND(BANCO_OK_2,B187&lt;=MESES),IF(OR(B187=1,J187&lt;&gt;J186),PMT(J187/1200,MESES-B187+1,-N186),K186),0)</f>
        <v/>
      </c>
      <c r="L187" s="58">
        <f>N186*J187/1200</f>
        <v/>
      </c>
      <c r="M187" s="58">
        <f>IF(AND(BANCO_OK_2,B187&lt;=MESES),IF(OR(B187=MESES,K187-L187&gt;N186),N186,K187-L187),0)</f>
        <v/>
      </c>
      <c r="N187" s="58">
        <f>N186-M187</f>
        <v/>
      </c>
      <c r="O187" s="58">
        <f>IF(AND(BANCO_OK_2,B187&lt;=MESES),L187+M187+VINC_MES_2,0)</f>
        <v/>
      </c>
      <c r="P187" s="52">
        <f>IF(AND(BANCO_OK_3,B187&lt;=MESES),IF(OR(OF_TIPO_3="Fija",C187&lt;=OF_ANIOS_INI_3),OF_TIN_3,MAX(0,EURIBOR+OF_DIF_3)),0)</f>
        <v/>
      </c>
      <c r="Q187" s="58">
        <f>IF(AND(BANCO_OK_3,B187&lt;=MESES),IF(OR(B187=1,P187&lt;&gt;P186),PMT(P187/1200,MESES-B187+1,-T186),Q186),0)</f>
        <v/>
      </c>
      <c r="R187" s="58">
        <f>T186*P187/1200</f>
        <v/>
      </c>
      <c r="S187" s="58">
        <f>IF(AND(BANCO_OK_3,B187&lt;=MESES),IF(OR(B187=MESES,Q187-R187&gt;T186),T186,Q187-R187),0)</f>
        <v/>
      </c>
      <c r="T187" s="58">
        <f>T186-S187</f>
        <v/>
      </c>
      <c r="U187" s="58">
        <f>IF(AND(BANCO_OK_3,B187&lt;=MESES),R187+S187+VINC_MES_3,0)</f>
        <v/>
      </c>
      <c r="V187" s="52">
        <f>IF(AND(BANCO_OK_4,B187&lt;=MESES),IF(OR(OF_TIPO_4="Fija",C187&lt;=OF_ANIOS_INI_4),OF_TIN_4,MAX(0,EURIBOR+OF_DIF_4)),0)</f>
        <v/>
      </c>
      <c r="W187" s="58">
        <f>IF(AND(BANCO_OK_4,B187&lt;=MESES),IF(OR(B187=1,V187&lt;&gt;V186),PMT(V187/1200,MESES-B187+1,-Z186),W186),0)</f>
        <v/>
      </c>
      <c r="X187" s="58">
        <f>Z186*V187/1200</f>
        <v/>
      </c>
      <c r="Y187" s="58">
        <f>IF(AND(BANCO_OK_4,B187&lt;=MESES),IF(OR(B187=MESES,W187-X187&gt;Z186),Z186,W187-X187),0)</f>
        <v/>
      </c>
      <c r="Z187" s="58">
        <f>Z186-Y187</f>
        <v/>
      </c>
      <c r="AA187" s="58">
        <f>IF(AND(BANCO_OK_4,B187&lt;=MESES),X187+Y187+VINC_MES_4,0)</f>
        <v/>
      </c>
    </row>
    <row r="188">
      <c r="B188" s="56" t="n">
        <v>180</v>
      </c>
      <c r="C188" s="56">
        <f>ROUNDUP(B188/12,0)</f>
        <v/>
      </c>
      <c r="D188" s="52">
        <f>IF(AND(BANCO_OK_1,B188&lt;=MESES),IF(OR(OF_TIPO_1="Fija",C188&lt;=OF_ANIOS_INI_1),OF_TIN_1,MAX(0,EURIBOR+OF_DIF_1)),0)</f>
        <v/>
      </c>
      <c r="E188" s="58">
        <f>IF(AND(BANCO_OK_1,B188&lt;=MESES),IF(OR(B188=1,D188&lt;&gt;D187),PMT(D188/1200,MESES-B188+1,-H187),E187),0)</f>
        <v/>
      </c>
      <c r="F188" s="58">
        <f>H187*D188/1200</f>
        <v/>
      </c>
      <c r="G188" s="58">
        <f>IF(AND(BANCO_OK_1,B188&lt;=MESES),IF(OR(B188=MESES,E188-F188&gt;H187),H187,E188-F188),0)</f>
        <v/>
      </c>
      <c r="H188" s="58">
        <f>H187-G188</f>
        <v/>
      </c>
      <c r="I188" s="58">
        <f>IF(AND(BANCO_OK_1,B188&lt;=MESES),F188+G188+VINC_MES_1,0)</f>
        <v/>
      </c>
      <c r="J188" s="52">
        <f>IF(AND(BANCO_OK_2,B188&lt;=MESES),IF(OR(OF_TIPO_2="Fija",C188&lt;=OF_ANIOS_INI_2),OF_TIN_2,MAX(0,EURIBOR+OF_DIF_2)),0)</f>
        <v/>
      </c>
      <c r="K188" s="58">
        <f>IF(AND(BANCO_OK_2,B188&lt;=MESES),IF(OR(B188=1,J188&lt;&gt;J187),PMT(J188/1200,MESES-B188+1,-N187),K187),0)</f>
        <v/>
      </c>
      <c r="L188" s="58">
        <f>N187*J188/1200</f>
        <v/>
      </c>
      <c r="M188" s="58">
        <f>IF(AND(BANCO_OK_2,B188&lt;=MESES),IF(OR(B188=MESES,K188-L188&gt;N187),N187,K188-L188),0)</f>
        <v/>
      </c>
      <c r="N188" s="58">
        <f>N187-M188</f>
        <v/>
      </c>
      <c r="O188" s="58">
        <f>IF(AND(BANCO_OK_2,B188&lt;=MESES),L188+M188+VINC_MES_2,0)</f>
        <v/>
      </c>
      <c r="P188" s="52">
        <f>IF(AND(BANCO_OK_3,B188&lt;=MESES),IF(OR(OF_TIPO_3="Fija",C188&lt;=OF_ANIOS_INI_3),OF_TIN_3,MAX(0,EURIBOR+OF_DIF_3)),0)</f>
        <v/>
      </c>
      <c r="Q188" s="58">
        <f>IF(AND(BANCO_OK_3,B188&lt;=MESES),IF(OR(B188=1,P188&lt;&gt;P187),PMT(P188/1200,MESES-B188+1,-T187),Q187),0)</f>
        <v/>
      </c>
      <c r="R188" s="58">
        <f>T187*P188/1200</f>
        <v/>
      </c>
      <c r="S188" s="58">
        <f>IF(AND(BANCO_OK_3,B188&lt;=MESES),IF(OR(B188=MESES,Q188-R188&gt;T187),T187,Q188-R188),0)</f>
        <v/>
      </c>
      <c r="T188" s="58">
        <f>T187-S188</f>
        <v/>
      </c>
      <c r="U188" s="58">
        <f>IF(AND(BANCO_OK_3,B188&lt;=MESES),R188+S188+VINC_MES_3,0)</f>
        <v/>
      </c>
      <c r="V188" s="52">
        <f>IF(AND(BANCO_OK_4,B188&lt;=MESES),IF(OR(OF_TIPO_4="Fija",C188&lt;=OF_ANIOS_INI_4),OF_TIN_4,MAX(0,EURIBOR+OF_DIF_4)),0)</f>
        <v/>
      </c>
      <c r="W188" s="58">
        <f>IF(AND(BANCO_OK_4,B188&lt;=MESES),IF(OR(B188=1,V188&lt;&gt;V187),PMT(V188/1200,MESES-B188+1,-Z187),W187),0)</f>
        <v/>
      </c>
      <c r="X188" s="58">
        <f>Z187*V188/1200</f>
        <v/>
      </c>
      <c r="Y188" s="58">
        <f>IF(AND(BANCO_OK_4,B188&lt;=MESES),IF(OR(B188=MESES,W188-X188&gt;Z187),Z187,W188-X188),0)</f>
        <v/>
      </c>
      <c r="Z188" s="58">
        <f>Z187-Y188</f>
        <v/>
      </c>
      <c r="AA188" s="58">
        <f>IF(AND(BANCO_OK_4,B188&lt;=MESES),X188+Y188+VINC_MES_4,0)</f>
        <v/>
      </c>
    </row>
    <row r="189">
      <c r="B189" s="56" t="n">
        <v>181</v>
      </c>
      <c r="C189" s="56">
        <f>ROUNDUP(B189/12,0)</f>
        <v/>
      </c>
      <c r="D189" s="52">
        <f>IF(AND(BANCO_OK_1,B189&lt;=MESES),IF(OR(OF_TIPO_1="Fija",C189&lt;=OF_ANIOS_INI_1),OF_TIN_1,MAX(0,EURIBOR+OF_DIF_1)),0)</f>
        <v/>
      </c>
      <c r="E189" s="58">
        <f>IF(AND(BANCO_OK_1,B189&lt;=MESES),IF(OR(B189=1,D189&lt;&gt;D188),PMT(D189/1200,MESES-B189+1,-H188),E188),0)</f>
        <v/>
      </c>
      <c r="F189" s="58">
        <f>H188*D189/1200</f>
        <v/>
      </c>
      <c r="G189" s="58">
        <f>IF(AND(BANCO_OK_1,B189&lt;=MESES),IF(OR(B189=MESES,E189-F189&gt;H188),H188,E189-F189),0)</f>
        <v/>
      </c>
      <c r="H189" s="58">
        <f>H188-G189</f>
        <v/>
      </c>
      <c r="I189" s="58">
        <f>IF(AND(BANCO_OK_1,B189&lt;=MESES),F189+G189+VINC_MES_1,0)</f>
        <v/>
      </c>
      <c r="J189" s="52">
        <f>IF(AND(BANCO_OK_2,B189&lt;=MESES),IF(OR(OF_TIPO_2="Fija",C189&lt;=OF_ANIOS_INI_2),OF_TIN_2,MAX(0,EURIBOR+OF_DIF_2)),0)</f>
        <v/>
      </c>
      <c r="K189" s="58">
        <f>IF(AND(BANCO_OK_2,B189&lt;=MESES),IF(OR(B189=1,J189&lt;&gt;J188),PMT(J189/1200,MESES-B189+1,-N188),K188),0)</f>
        <v/>
      </c>
      <c r="L189" s="58">
        <f>N188*J189/1200</f>
        <v/>
      </c>
      <c r="M189" s="58">
        <f>IF(AND(BANCO_OK_2,B189&lt;=MESES),IF(OR(B189=MESES,K189-L189&gt;N188),N188,K189-L189),0)</f>
        <v/>
      </c>
      <c r="N189" s="58">
        <f>N188-M189</f>
        <v/>
      </c>
      <c r="O189" s="58">
        <f>IF(AND(BANCO_OK_2,B189&lt;=MESES),L189+M189+VINC_MES_2,0)</f>
        <v/>
      </c>
      <c r="P189" s="52">
        <f>IF(AND(BANCO_OK_3,B189&lt;=MESES),IF(OR(OF_TIPO_3="Fija",C189&lt;=OF_ANIOS_INI_3),OF_TIN_3,MAX(0,EURIBOR+OF_DIF_3)),0)</f>
        <v/>
      </c>
      <c r="Q189" s="58">
        <f>IF(AND(BANCO_OK_3,B189&lt;=MESES),IF(OR(B189=1,P189&lt;&gt;P188),PMT(P189/1200,MESES-B189+1,-T188),Q188),0)</f>
        <v/>
      </c>
      <c r="R189" s="58">
        <f>T188*P189/1200</f>
        <v/>
      </c>
      <c r="S189" s="58">
        <f>IF(AND(BANCO_OK_3,B189&lt;=MESES),IF(OR(B189=MESES,Q189-R189&gt;T188),T188,Q189-R189),0)</f>
        <v/>
      </c>
      <c r="T189" s="58">
        <f>T188-S189</f>
        <v/>
      </c>
      <c r="U189" s="58">
        <f>IF(AND(BANCO_OK_3,B189&lt;=MESES),R189+S189+VINC_MES_3,0)</f>
        <v/>
      </c>
      <c r="V189" s="52">
        <f>IF(AND(BANCO_OK_4,B189&lt;=MESES),IF(OR(OF_TIPO_4="Fija",C189&lt;=OF_ANIOS_INI_4),OF_TIN_4,MAX(0,EURIBOR+OF_DIF_4)),0)</f>
        <v/>
      </c>
      <c r="W189" s="58">
        <f>IF(AND(BANCO_OK_4,B189&lt;=MESES),IF(OR(B189=1,V189&lt;&gt;V188),PMT(V189/1200,MESES-B189+1,-Z188),W188),0)</f>
        <v/>
      </c>
      <c r="X189" s="58">
        <f>Z188*V189/1200</f>
        <v/>
      </c>
      <c r="Y189" s="58">
        <f>IF(AND(BANCO_OK_4,B189&lt;=MESES),IF(OR(B189=MESES,W189-X189&gt;Z188),Z188,W189-X189),0)</f>
        <v/>
      </c>
      <c r="Z189" s="58">
        <f>Z188-Y189</f>
        <v/>
      </c>
      <c r="AA189" s="58">
        <f>IF(AND(BANCO_OK_4,B189&lt;=MESES),X189+Y189+VINC_MES_4,0)</f>
        <v/>
      </c>
    </row>
    <row r="190">
      <c r="B190" s="56" t="n">
        <v>182</v>
      </c>
      <c r="C190" s="56">
        <f>ROUNDUP(B190/12,0)</f>
        <v/>
      </c>
      <c r="D190" s="52">
        <f>IF(AND(BANCO_OK_1,B190&lt;=MESES),IF(OR(OF_TIPO_1="Fija",C190&lt;=OF_ANIOS_INI_1),OF_TIN_1,MAX(0,EURIBOR+OF_DIF_1)),0)</f>
        <v/>
      </c>
      <c r="E190" s="58">
        <f>IF(AND(BANCO_OK_1,B190&lt;=MESES),IF(OR(B190=1,D190&lt;&gt;D189),PMT(D190/1200,MESES-B190+1,-H189),E189),0)</f>
        <v/>
      </c>
      <c r="F190" s="58">
        <f>H189*D190/1200</f>
        <v/>
      </c>
      <c r="G190" s="58">
        <f>IF(AND(BANCO_OK_1,B190&lt;=MESES),IF(OR(B190=MESES,E190-F190&gt;H189),H189,E190-F190),0)</f>
        <v/>
      </c>
      <c r="H190" s="58">
        <f>H189-G190</f>
        <v/>
      </c>
      <c r="I190" s="58">
        <f>IF(AND(BANCO_OK_1,B190&lt;=MESES),F190+G190+VINC_MES_1,0)</f>
        <v/>
      </c>
      <c r="J190" s="52">
        <f>IF(AND(BANCO_OK_2,B190&lt;=MESES),IF(OR(OF_TIPO_2="Fija",C190&lt;=OF_ANIOS_INI_2),OF_TIN_2,MAX(0,EURIBOR+OF_DIF_2)),0)</f>
        <v/>
      </c>
      <c r="K190" s="58">
        <f>IF(AND(BANCO_OK_2,B190&lt;=MESES),IF(OR(B190=1,J190&lt;&gt;J189),PMT(J190/1200,MESES-B190+1,-N189),K189),0)</f>
        <v/>
      </c>
      <c r="L190" s="58">
        <f>N189*J190/1200</f>
        <v/>
      </c>
      <c r="M190" s="58">
        <f>IF(AND(BANCO_OK_2,B190&lt;=MESES),IF(OR(B190=MESES,K190-L190&gt;N189),N189,K190-L190),0)</f>
        <v/>
      </c>
      <c r="N190" s="58">
        <f>N189-M190</f>
        <v/>
      </c>
      <c r="O190" s="58">
        <f>IF(AND(BANCO_OK_2,B190&lt;=MESES),L190+M190+VINC_MES_2,0)</f>
        <v/>
      </c>
      <c r="P190" s="52">
        <f>IF(AND(BANCO_OK_3,B190&lt;=MESES),IF(OR(OF_TIPO_3="Fija",C190&lt;=OF_ANIOS_INI_3),OF_TIN_3,MAX(0,EURIBOR+OF_DIF_3)),0)</f>
        <v/>
      </c>
      <c r="Q190" s="58">
        <f>IF(AND(BANCO_OK_3,B190&lt;=MESES),IF(OR(B190=1,P190&lt;&gt;P189),PMT(P190/1200,MESES-B190+1,-T189),Q189),0)</f>
        <v/>
      </c>
      <c r="R190" s="58">
        <f>T189*P190/1200</f>
        <v/>
      </c>
      <c r="S190" s="58">
        <f>IF(AND(BANCO_OK_3,B190&lt;=MESES),IF(OR(B190=MESES,Q190-R190&gt;T189),T189,Q190-R190),0)</f>
        <v/>
      </c>
      <c r="T190" s="58">
        <f>T189-S190</f>
        <v/>
      </c>
      <c r="U190" s="58">
        <f>IF(AND(BANCO_OK_3,B190&lt;=MESES),R190+S190+VINC_MES_3,0)</f>
        <v/>
      </c>
      <c r="V190" s="52">
        <f>IF(AND(BANCO_OK_4,B190&lt;=MESES),IF(OR(OF_TIPO_4="Fija",C190&lt;=OF_ANIOS_INI_4),OF_TIN_4,MAX(0,EURIBOR+OF_DIF_4)),0)</f>
        <v/>
      </c>
      <c r="W190" s="58">
        <f>IF(AND(BANCO_OK_4,B190&lt;=MESES),IF(OR(B190=1,V190&lt;&gt;V189),PMT(V190/1200,MESES-B190+1,-Z189),W189),0)</f>
        <v/>
      </c>
      <c r="X190" s="58">
        <f>Z189*V190/1200</f>
        <v/>
      </c>
      <c r="Y190" s="58">
        <f>IF(AND(BANCO_OK_4,B190&lt;=MESES),IF(OR(B190=MESES,W190-X190&gt;Z189),Z189,W190-X190),0)</f>
        <v/>
      </c>
      <c r="Z190" s="58">
        <f>Z189-Y190</f>
        <v/>
      </c>
      <c r="AA190" s="58">
        <f>IF(AND(BANCO_OK_4,B190&lt;=MESES),X190+Y190+VINC_MES_4,0)</f>
        <v/>
      </c>
    </row>
    <row r="191">
      <c r="B191" s="56" t="n">
        <v>183</v>
      </c>
      <c r="C191" s="56">
        <f>ROUNDUP(B191/12,0)</f>
        <v/>
      </c>
      <c r="D191" s="52">
        <f>IF(AND(BANCO_OK_1,B191&lt;=MESES),IF(OR(OF_TIPO_1="Fija",C191&lt;=OF_ANIOS_INI_1),OF_TIN_1,MAX(0,EURIBOR+OF_DIF_1)),0)</f>
        <v/>
      </c>
      <c r="E191" s="58">
        <f>IF(AND(BANCO_OK_1,B191&lt;=MESES),IF(OR(B191=1,D191&lt;&gt;D190),PMT(D191/1200,MESES-B191+1,-H190),E190),0)</f>
        <v/>
      </c>
      <c r="F191" s="58">
        <f>H190*D191/1200</f>
        <v/>
      </c>
      <c r="G191" s="58">
        <f>IF(AND(BANCO_OK_1,B191&lt;=MESES),IF(OR(B191=MESES,E191-F191&gt;H190),H190,E191-F191),0)</f>
        <v/>
      </c>
      <c r="H191" s="58">
        <f>H190-G191</f>
        <v/>
      </c>
      <c r="I191" s="58">
        <f>IF(AND(BANCO_OK_1,B191&lt;=MESES),F191+G191+VINC_MES_1,0)</f>
        <v/>
      </c>
      <c r="J191" s="52">
        <f>IF(AND(BANCO_OK_2,B191&lt;=MESES),IF(OR(OF_TIPO_2="Fija",C191&lt;=OF_ANIOS_INI_2),OF_TIN_2,MAX(0,EURIBOR+OF_DIF_2)),0)</f>
        <v/>
      </c>
      <c r="K191" s="58">
        <f>IF(AND(BANCO_OK_2,B191&lt;=MESES),IF(OR(B191=1,J191&lt;&gt;J190),PMT(J191/1200,MESES-B191+1,-N190),K190),0)</f>
        <v/>
      </c>
      <c r="L191" s="58">
        <f>N190*J191/1200</f>
        <v/>
      </c>
      <c r="M191" s="58">
        <f>IF(AND(BANCO_OK_2,B191&lt;=MESES),IF(OR(B191=MESES,K191-L191&gt;N190),N190,K191-L191),0)</f>
        <v/>
      </c>
      <c r="N191" s="58">
        <f>N190-M191</f>
        <v/>
      </c>
      <c r="O191" s="58">
        <f>IF(AND(BANCO_OK_2,B191&lt;=MESES),L191+M191+VINC_MES_2,0)</f>
        <v/>
      </c>
      <c r="P191" s="52">
        <f>IF(AND(BANCO_OK_3,B191&lt;=MESES),IF(OR(OF_TIPO_3="Fija",C191&lt;=OF_ANIOS_INI_3),OF_TIN_3,MAX(0,EURIBOR+OF_DIF_3)),0)</f>
        <v/>
      </c>
      <c r="Q191" s="58">
        <f>IF(AND(BANCO_OK_3,B191&lt;=MESES),IF(OR(B191=1,P191&lt;&gt;P190),PMT(P191/1200,MESES-B191+1,-T190),Q190),0)</f>
        <v/>
      </c>
      <c r="R191" s="58">
        <f>T190*P191/1200</f>
        <v/>
      </c>
      <c r="S191" s="58">
        <f>IF(AND(BANCO_OK_3,B191&lt;=MESES),IF(OR(B191=MESES,Q191-R191&gt;T190),T190,Q191-R191),0)</f>
        <v/>
      </c>
      <c r="T191" s="58">
        <f>T190-S191</f>
        <v/>
      </c>
      <c r="U191" s="58">
        <f>IF(AND(BANCO_OK_3,B191&lt;=MESES),R191+S191+VINC_MES_3,0)</f>
        <v/>
      </c>
      <c r="V191" s="52">
        <f>IF(AND(BANCO_OK_4,B191&lt;=MESES),IF(OR(OF_TIPO_4="Fija",C191&lt;=OF_ANIOS_INI_4),OF_TIN_4,MAX(0,EURIBOR+OF_DIF_4)),0)</f>
        <v/>
      </c>
      <c r="W191" s="58">
        <f>IF(AND(BANCO_OK_4,B191&lt;=MESES),IF(OR(B191=1,V191&lt;&gt;V190),PMT(V191/1200,MESES-B191+1,-Z190),W190),0)</f>
        <v/>
      </c>
      <c r="X191" s="58">
        <f>Z190*V191/1200</f>
        <v/>
      </c>
      <c r="Y191" s="58">
        <f>IF(AND(BANCO_OK_4,B191&lt;=MESES),IF(OR(B191=MESES,W191-X191&gt;Z190),Z190,W191-X191),0)</f>
        <v/>
      </c>
      <c r="Z191" s="58">
        <f>Z190-Y191</f>
        <v/>
      </c>
      <c r="AA191" s="58">
        <f>IF(AND(BANCO_OK_4,B191&lt;=MESES),X191+Y191+VINC_MES_4,0)</f>
        <v/>
      </c>
    </row>
    <row r="192">
      <c r="B192" s="56" t="n">
        <v>184</v>
      </c>
      <c r="C192" s="56">
        <f>ROUNDUP(B192/12,0)</f>
        <v/>
      </c>
      <c r="D192" s="52">
        <f>IF(AND(BANCO_OK_1,B192&lt;=MESES),IF(OR(OF_TIPO_1="Fija",C192&lt;=OF_ANIOS_INI_1),OF_TIN_1,MAX(0,EURIBOR+OF_DIF_1)),0)</f>
        <v/>
      </c>
      <c r="E192" s="58">
        <f>IF(AND(BANCO_OK_1,B192&lt;=MESES),IF(OR(B192=1,D192&lt;&gt;D191),PMT(D192/1200,MESES-B192+1,-H191),E191),0)</f>
        <v/>
      </c>
      <c r="F192" s="58">
        <f>H191*D192/1200</f>
        <v/>
      </c>
      <c r="G192" s="58">
        <f>IF(AND(BANCO_OK_1,B192&lt;=MESES),IF(OR(B192=MESES,E192-F192&gt;H191),H191,E192-F192),0)</f>
        <v/>
      </c>
      <c r="H192" s="58">
        <f>H191-G192</f>
        <v/>
      </c>
      <c r="I192" s="58">
        <f>IF(AND(BANCO_OK_1,B192&lt;=MESES),F192+G192+VINC_MES_1,0)</f>
        <v/>
      </c>
      <c r="J192" s="52">
        <f>IF(AND(BANCO_OK_2,B192&lt;=MESES),IF(OR(OF_TIPO_2="Fija",C192&lt;=OF_ANIOS_INI_2),OF_TIN_2,MAX(0,EURIBOR+OF_DIF_2)),0)</f>
        <v/>
      </c>
      <c r="K192" s="58">
        <f>IF(AND(BANCO_OK_2,B192&lt;=MESES),IF(OR(B192=1,J192&lt;&gt;J191),PMT(J192/1200,MESES-B192+1,-N191),K191),0)</f>
        <v/>
      </c>
      <c r="L192" s="58">
        <f>N191*J192/1200</f>
        <v/>
      </c>
      <c r="M192" s="58">
        <f>IF(AND(BANCO_OK_2,B192&lt;=MESES),IF(OR(B192=MESES,K192-L192&gt;N191),N191,K192-L192),0)</f>
        <v/>
      </c>
      <c r="N192" s="58">
        <f>N191-M192</f>
        <v/>
      </c>
      <c r="O192" s="58">
        <f>IF(AND(BANCO_OK_2,B192&lt;=MESES),L192+M192+VINC_MES_2,0)</f>
        <v/>
      </c>
      <c r="P192" s="52">
        <f>IF(AND(BANCO_OK_3,B192&lt;=MESES),IF(OR(OF_TIPO_3="Fija",C192&lt;=OF_ANIOS_INI_3),OF_TIN_3,MAX(0,EURIBOR+OF_DIF_3)),0)</f>
        <v/>
      </c>
      <c r="Q192" s="58">
        <f>IF(AND(BANCO_OK_3,B192&lt;=MESES),IF(OR(B192=1,P192&lt;&gt;P191),PMT(P192/1200,MESES-B192+1,-T191),Q191),0)</f>
        <v/>
      </c>
      <c r="R192" s="58">
        <f>T191*P192/1200</f>
        <v/>
      </c>
      <c r="S192" s="58">
        <f>IF(AND(BANCO_OK_3,B192&lt;=MESES),IF(OR(B192=MESES,Q192-R192&gt;T191),T191,Q192-R192),0)</f>
        <v/>
      </c>
      <c r="T192" s="58">
        <f>T191-S192</f>
        <v/>
      </c>
      <c r="U192" s="58">
        <f>IF(AND(BANCO_OK_3,B192&lt;=MESES),R192+S192+VINC_MES_3,0)</f>
        <v/>
      </c>
      <c r="V192" s="52">
        <f>IF(AND(BANCO_OK_4,B192&lt;=MESES),IF(OR(OF_TIPO_4="Fija",C192&lt;=OF_ANIOS_INI_4),OF_TIN_4,MAX(0,EURIBOR+OF_DIF_4)),0)</f>
        <v/>
      </c>
      <c r="W192" s="58">
        <f>IF(AND(BANCO_OK_4,B192&lt;=MESES),IF(OR(B192=1,V192&lt;&gt;V191),PMT(V192/1200,MESES-B192+1,-Z191),W191),0)</f>
        <v/>
      </c>
      <c r="X192" s="58">
        <f>Z191*V192/1200</f>
        <v/>
      </c>
      <c r="Y192" s="58">
        <f>IF(AND(BANCO_OK_4,B192&lt;=MESES),IF(OR(B192=MESES,W192-X192&gt;Z191),Z191,W192-X192),0)</f>
        <v/>
      </c>
      <c r="Z192" s="58">
        <f>Z191-Y192</f>
        <v/>
      </c>
      <c r="AA192" s="58">
        <f>IF(AND(BANCO_OK_4,B192&lt;=MESES),X192+Y192+VINC_MES_4,0)</f>
        <v/>
      </c>
    </row>
    <row r="193">
      <c r="B193" s="56" t="n">
        <v>185</v>
      </c>
      <c r="C193" s="56">
        <f>ROUNDUP(B193/12,0)</f>
        <v/>
      </c>
      <c r="D193" s="52">
        <f>IF(AND(BANCO_OK_1,B193&lt;=MESES),IF(OR(OF_TIPO_1="Fija",C193&lt;=OF_ANIOS_INI_1),OF_TIN_1,MAX(0,EURIBOR+OF_DIF_1)),0)</f>
        <v/>
      </c>
      <c r="E193" s="58">
        <f>IF(AND(BANCO_OK_1,B193&lt;=MESES),IF(OR(B193=1,D193&lt;&gt;D192),PMT(D193/1200,MESES-B193+1,-H192),E192),0)</f>
        <v/>
      </c>
      <c r="F193" s="58">
        <f>H192*D193/1200</f>
        <v/>
      </c>
      <c r="G193" s="58">
        <f>IF(AND(BANCO_OK_1,B193&lt;=MESES),IF(OR(B193=MESES,E193-F193&gt;H192),H192,E193-F193),0)</f>
        <v/>
      </c>
      <c r="H193" s="58">
        <f>H192-G193</f>
        <v/>
      </c>
      <c r="I193" s="58">
        <f>IF(AND(BANCO_OK_1,B193&lt;=MESES),F193+G193+VINC_MES_1,0)</f>
        <v/>
      </c>
      <c r="J193" s="52">
        <f>IF(AND(BANCO_OK_2,B193&lt;=MESES),IF(OR(OF_TIPO_2="Fija",C193&lt;=OF_ANIOS_INI_2),OF_TIN_2,MAX(0,EURIBOR+OF_DIF_2)),0)</f>
        <v/>
      </c>
      <c r="K193" s="58">
        <f>IF(AND(BANCO_OK_2,B193&lt;=MESES),IF(OR(B193=1,J193&lt;&gt;J192),PMT(J193/1200,MESES-B193+1,-N192),K192),0)</f>
        <v/>
      </c>
      <c r="L193" s="58">
        <f>N192*J193/1200</f>
        <v/>
      </c>
      <c r="M193" s="58">
        <f>IF(AND(BANCO_OK_2,B193&lt;=MESES),IF(OR(B193=MESES,K193-L193&gt;N192),N192,K193-L193),0)</f>
        <v/>
      </c>
      <c r="N193" s="58">
        <f>N192-M193</f>
        <v/>
      </c>
      <c r="O193" s="58">
        <f>IF(AND(BANCO_OK_2,B193&lt;=MESES),L193+M193+VINC_MES_2,0)</f>
        <v/>
      </c>
      <c r="P193" s="52">
        <f>IF(AND(BANCO_OK_3,B193&lt;=MESES),IF(OR(OF_TIPO_3="Fija",C193&lt;=OF_ANIOS_INI_3),OF_TIN_3,MAX(0,EURIBOR+OF_DIF_3)),0)</f>
        <v/>
      </c>
      <c r="Q193" s="58">
        <f>IF(AND(BANCO_OK_3,B193&lt;=MESES),IF(OR(B193=1,P193&lt;&gt;P192),PMT(P193/1200,MESES-B193+1,-T192),Q192),0)</f>
        <v/>
      </c>
      <c r="R193" s="58">
        <f>T192*P193/1200</f>
        <v/>
      </c>
      <c r="S193" s="58">
        <f>IF(AND(BANCO_OK_3,B193&lt;=MESES),IF(OR(B193=MESES,Q193-R193&gt;T192),T192,Q193-R193),0)</f>
        <v/>
      </c>
      <c r="T193" s="58">
        <f>T192-S193</f>
        <v/>
      </c>
      <c r="U193" s="58">
        <f>IF(AND(BANCO_OK_3,B193&lt;=MESES),R193+S193+VINC_MES_3,0)</f>
        <v/>
      </c>
      <c r="V193" s="52">
        <f>IF(AND(BANCO_OK_4,B193&lt;=MESES),IF(OR(OF_TIPO_4="Fija",C193&lt;=OF_ANIOS_INI_4),OF_TIN_4,MAX(0,EURIBOR+OF_DIF_4)),0)</f>
        <v/>
      </c>
      <c r="W193" s="58">
        <f>IF(AND(BANCO_OK_4,B193&lt;=MESES),IF(OR(B193=1,V193&lt;&gt;V192),PMT(V193/1200,MESES-B193+1,-Z192),W192),0)</f>
        <v/>
      </c>
      <c r="X193" s="58">
        <f>Z192*V193/1200</f>
        <v/>
      </c>
      <c r="Y193" s="58">
        <f>IF(AND(BANCO_OK_4,B193&lt;=MESES),IF(OR(B193=MESES,W193-X193&gt;Z192),Z192,W193-X193),0)</f>
        <v/>
      </c>
      <c r="Z193" s="58">
        <f>Z192-Y193</f>
        <v/>
      </c>
      <c r="AA193" s="58">
        <f>IF(AND(BANCO_OK_4,B193&lt;=MESES),X193+Y193+VINC_MES_4,0)</f>
        <v/>
      </c>
    </row>
    <row r="194">
      <c r="B194" s="56" t="n">
        <v>186</v>
      </c>
      <c r="C194" s="56">
        <f>ROUNDUP(B194/12,0)</f>
        <v/>
      </c>
      <c r="D194" s="52">
        <f>IF(AND(BANCO_OK_1,B194&lt;=MESES),IF(OR(OF_TIPO_1="Fija",C194&lt;=OF_ANIOS_INI_1),OF_TIN_1,MAX(0,EURIBOR+OF_DIF_1)),0)</f>
        <v/>
      </c>
      <c r="E194" s="58">
        <f>IF(AND(BANCO_OK_1,B194&lt;=MESES),IF(OR(B194=1,D194&lt;&gt;D193),PMT(D194/1200,MESES-B194+1,-H193),E193),0)</f>
        <v/>
      </c>
      <c r="F194" s="58">
        <f>H193*D194/1200</f>
        <v/>
      </c>
      <c r="G194" s="58">
        <f>IF(AND(BANCO_OK_1,B194&lt;=MESES),IF(OR(B194=MESES,E194-F194&gt;H193),H193,E194-F194),0)</f>
        <v/>
      </c>
      <c r="H194" s="58">
        <f>H193-G194</f>
        <v/>
      </c>
      <c r="I194" s="58">
        <f>IF(AND(BANCO_OK_1,B194&lt;=MESES),F194+G194+VINC_MES_1,0)</f>
        <v/>
      </c>
      <c r="J194" s="52">
        <f>IF(AND(BANCO_OK_2,B194&lt;=MESES),IF(OR(OF_TIPO_2="Fija",C194&lt;=OF_ANIOS_INI_2),OF_TIN_2,MAX(0,EURIBOR+OF_DIF_2)),0)</f>
        <v/>
      </c>
      <c r="K194" s="58">
        <f>IF(AND(BANCO_OK_2,B194&lt;=MESES),IF(OR(B194=1,J194&lt;&gt;J193),PMT(J194/1200,MESES-B194+1,-N193),K193),0)</f>
        <v/>
      </c>
      <c r="L194" s="58">
        <f>N193*J194/1200</f>
        <v/>
      </c>
      <c r="M194" s="58">
        <f>IF(AND(BANCO_OK_2,B194&lt;=MESES),IF(OR(B194=MESES,K194-L194&gt;N193),N193,K194-L194),0)</f>
        <v/>
      </c>
      <c r="N194" s="58">
        <f>N193-M194</f>
        <v/>
      </c>
      <c r="O194" s="58">
        <f>IF(AND(BANCO_OK_2,B194&lt;=MESES),L194+M194+VINC_MES_2,0)</f>
        <v/>
      </c>
      <c r="P194" s="52">
        <f>IF(AND(BANCO_OK_3,B194&lt;=MESES),IF(OR(OF_TIPO_3="Fija",C194&lt;=OF_ANIOS_INI_3),OF_TIN_3,MAX(0,EURIBOR+OF_DIF_3)),0)</f>
        <v/>
      </c>
      <c r="Q194" s="58">
        <f>IF(AND(BANCO_OK_3,B194&lt;=MESES),IF(OR(B194=1,P194&lt;&gt;P193),PMT(P194/1200,MESES-B194+1,-T193),Q193),0)</f>
        <v/>
      </c>
      <c r="R194" s="58">
        <f>T193*P194/1200</f>
        <v/>
      </c>
      <c r="S194" s="58">
        <f>IF(AND(BANCO_OK_3,B194&lt;=MESES),IF(OR(B194=MESES,Q194-R194&gt;T193),T193,Q194-R194),0)</f>
        <v/>
      </c>
      <c r="T194" s="58">
        <f>T193-S194</f>
        <v/>
      </c>
      <c r="U194" s="58">
        <f>IF(AND(BANCO_OK_3,B194&lt;=MESES),R194+S194+VINC_MES_3,0)</f>
        <v/>
      </c>
      <c r="V194" s="52">
        <f>IF(AND(BANCO_OK_4,B194&lt;=MESES),IF(OR(OF_TIPO_4="Fija",C194&lt;=OF_ANIOS_INI_4),OF_TIN_4,MAX(0,EURIBOR+OF_DIF_4)),0)</f>
        <v/>
      </c>
      <c r="W194" s="58">
        <f>IF(AND(BANCO_OK_4,B194&lt;=MESES),IF(OR(B194=1,V194&lt;&gt;V193),PMT(V194/1200,MESES-B194+1,-Z193),W193),0)</f>
        <v/>
      </c>
      <c r="X194" s="58">
        <f>Z193*V194/1200</f>
        <v/>
      </c>
      <c r="Y194" s="58">
        <f>IF(AND(BANCO_OK_4,B194&lt;=MESES),IF(OR(B194=MESES,W194-X194&gt;Z193),Z193,W194-X194),0)</f>
        <v/>
      </c>
      <c r="Z194" s="58">
        <f>Z193-Y194</f>
        <v/>
      </c>
      <c r="AA194" s="58">
        <f>IF(AND(BANCO_OK_4,B194&lt;=MESES),X194+Y194+VINC_MES_4,0)</f>
        <v/>
      </c>
    </row>
    <row r="195">
      <c r="B195" s="56" t="n">
        <v>187</v>
      </c>
      <c r="C195" s="56">
        <f>ROUNDUP(B195/12,0)</f>
        <v/>
      </c>
      <c r="D195" s="52">
        <f>IF(AND(BANCO_OK_1,B195&lt;=MESES),IF(OR(OF_TIPO_1="Fija",C195&lt;=OF_ANIOS_INI_1),OF_TIN_1,MAX(0,EURIBOR+OF_DIF_1)),0)</f>
        <v/>
      </c>
      <c r="E195" s="58">
        <f>IF(AND(BANCO_OK_1,B195&lt;=MESES),IF(OR(B195=1,D195&lt;&gt;D194),PMT(D195/1200,MESES-B195+1,-H194),E194),0)</f>
        <v/>
      </c>
      <c r="F195" s="58">
        <f>H194*D195/1200</f>
        <v/>
      </c>
      <c r="G195" s="58">
        <f>IF(AND(BANCO_OK_1,B195&lt;=MESES),IF(OR(B195=MESES,E195-F195&gt;H194),H194,E195-F195),0)</f>
        <v/>
      </c>
      <c r="H195" s="58">
        <f>H194-G195</f>
        <v/>
      </c>
      <c r="I195" s="58">
        <f>IF(AND(BANCO_OK_1,B195&lt;=MESES),F195+G195+VINC_MES_1,0)</f>
        <v/>
      </c>
      <c r="J195" s="52">
        <f>IF(AND(BANCO_OK_2,B195&lt;=MESES),IF(OR(OF_TIPO_2="Fija",C195&lt;=OF_ANIOS_INI_2),OF_TIN_2,MAX(0,EURIBOR+OF_DIF_2)),0)</f>
        <v/>
      </c>
      <c r="K195" s="58">
        <f>IF(AND(BANCO_OK_2,B195&lt;=MESES),IF(OR(B195=1,J195&lt;&gt;J194),PMT(J195/1200,MESES-B195+1,-N194),K194),0)</f>
        <v/>
      </c>
      <c r="L195" s="58">
        <f>N194*J195/1200</f>
        <v/>
      </c>
      <c r="M195" s="58">
        <f>IF(AND(BANCO_OK_2,B195&lt;=MESES),IF(OR(B195=MESES,K195-L195&gt;N194),N194,K195-L195),0)</f>
        <v/>
      </c>
      <c r="N195" s="58">
        <f>N194-M195</f>
        <v/>
      </c>
      <c r="O195" s="58">
        <f>IF(AND(BANCO_OK_2,B195&lt;=MESES),L195+M195+VINC_MES_2,0)</f>
        <v/>
      </c>
      <c r="P195" s="52">
        <f>IF(AND(BANCO_OK_3,B195&lt;=MESES),IF(OR(OF_TIPO_3="Fija",C195&lt;=OF_ANIOS_INI_3),OF_TIN_3,MAX(0,EURIBOR+OF_DIF_3)),0)</f>
        <v/>
      </c>
      <c r="Q195" s="58">
        <f>IF(AND(BANCO_OK_3,B195&lt;=MESES),IF(OR(B195=1,P195&lt;&gt;P194),PMT(P195/1200,MESES-B195+1,-T194),Q194),0)</f>
        <v/>
      </c>
      <c r="R195" s="58">
        <f>T194*P195/1200</f>
        <v/>
      </c>
      <c r="S195" s="58">
        <f>IF(AND(BANCO_OK_3,B195&lt;=MESES),IF(OR(B195=MESES,Q195-R195&gt;T194),T194,Q195-R195),0)</f>
        <v/>
      </c>
      <c r="T195" s="58">
        <f>T194-S195</f>
        <v/>
      </c>
      <c r="U195" s="58">
        <f>IF(AND(BANCO_OK_3,B195&lt;=MESES),R195+S195+VINC_MES_3,0)</f>
        <v/>
      </c>
      <c r="V195" s="52">
        <f>IF(AND(BANCO_OK_4,B195&lt;=MESES),IF(OR(OF_TIPO_4="Fija",C195&lt;=OF_ANIOS_INI_4),OF_TIN_4,MAX(0,EURIBOR+OF_DIF_4)),0)</f>
        <v/>
      </c>
      <c r="W195" s="58">
        <f>IF(AND(BANCO_OK_4,B195&lt;=MESES),IF(OR(B195=1,V195&lt;&gt;V194),PMT(V195/1200,MESES-B195+1,-Z194),W194),0)</f>
        <v/>
      </c>
      <c r="X195" s="58">
        <f>Z194*V195/1200</f>
        <v/>
      </c>
      <c r="Y195" s="58">
        <f>IF(AND(BANCO_OK_4,B195&lt;=MESES),IF(OR(B195=MESES,W195-X195&gt;Z194),Z194,W195-X195),0)</f>
        <v/>
      </c>
      <c r="Z195" s="58">
        <f>Z194-Y195</f>
        <v/>
      </c>
      <c r="AA195" s="58">
        <f>IF(AND(BANCO_OK_4,B195&lt;=MESES),X195+Y195+VINC_MES_4,0)</f>
        <v/>
      </c>
    </row>
    <row r="196">
      <c r="B196" s="56" t="n">
        <v>188</v>
      </c>
      <c r="C196" s="56">
        <f>ROUNDUP(B196/12,0)</f>
        <v/>
      </c>
      <c r="D196" s="52">
        <f>IF(AND(BANCO_OK_1,B196&lt;=MESES),IF(OR(OF_TIPO_1="Fija",C196&lt;=OF_ANIOS_INI_1),OF_TIN_1,MAX(0,EURIBOR+OF_DIF_1)),0)</f>
        <v/>
      </c>
      <c r="E196" s="58">
        <f>IF(AND(BANCO_OK_1,B196&lt;=MESES),IF(OR(B196=1,D196&lt;&gt;D195),PMT(D196/1200,MESES-B196+1,-H195),E195),0)</f>
        <v/>
      </c>
      <c r="F196" s="58">
        <f>H195*D196/1200</f>
        <v/>
      </c>
      <c r="G196" s="58">
        <f>IF(AND(BANCO_OK_1,B196&lt;=MESES),IF(OR(B196=MESES,E196-F196&gt;H195),H195,E196-F196),0)</f>
        <v/>
      </c>
      <c r="H196" s="58">
        <f>H195-G196</f>
        <v/>
      </c>
      <c r="I196" s="58">
        <f>IF(AND(BANCO_OK_1,B196&lt;=MESES),F196+G196+VINC_MES_1,0)</f>
        <v/>
      </c>
      <c r="J196" s="52">
        <f>IF(AND(BANCO_OK_2,B196&lt;=MESES),IF(OR(OF_TIPO_2="Fija",C196&lt;=OF_ANIOS_INI_2),OF_TIN_2,MAX(0,EURIBOR+OF_DIF_2)),0)</f>
        <v/>
      </c>
      <c r="K196" s="58">
        <f>IF(AND(BANCO_OK_2,B196&lt;=MESES),IF(OR(B196=1,J196&lt;&gt;J195),PMT(J196/1200,MESES-B196+1,-N195),K195),0)</f>
        <v/>
      </c>
      <c r="L196" s="58">
        <f>N195*J196/1200</f>
        <v/>
      </c>
      <c r="M196" s="58">
        <f>IF(AND(BANCO_OK_2,B196&lt;=MESES),IF(OR(B196=MESES,K196-L196&gt;N195),N195,K196-L196),0)</f>
        <v/>
      </c>
      <c r="N196" s="58">
        <f>N195-M196</f>
        <v/>
      </c>
      <c r="O196" s="58">
        <f>IF(AND(BANCO_OK_2,B196&lt;=MESES),L196+M196+VINC_MES_2,0)</f>
        <v/>
      </c>
      <c r="P196" s="52">
        <f>IF(AND(BANCO_OK_3,B196&lt;=MESES),IF(OR(OF_TIPO_3="Fija",C196&lt;=OF_ANIOS_INI_3),OF_TIN_3,MAX(0,EURIBOR+OF_DIF_3)),0)</f>
        <v/>
      </c>
      <c r="Q196" s="58">
        <f>IF(AND(BANCO_OK_3,B196&lt;=MESES),IF(OR(B196=1,P196&lt;&gt;P195),PMT(P196/1200,MESES-B196+1,-T195),Q195),0)</f>
        <v/>
      </c>
      <c r="R196" s="58">
        <f>T195*P196/1200</f>
        <v/>
      </c>
      <c r="S196" s="58">
        <f>IF(AND(BANCO_OK_3,B196&lt;=MESES),IF(OR(B196=MESES,Q196-R196&gt;T195),T195,Q196-R196),0)</f>
        <v/>
      </c>
      <c r="T196" s="58">
        <f>T195-S196</f>
        <v/>
      </c>
      <c r="U196" s="58">
        <f>IF(AND(BANCO_OK_3,B196&lt;=MESES),R196+S196+VINC_MES_3,0)</f>
        <v/>
      </c>
      <c r="V196" s="52">
        <f>IF(AND(BANCO_OK_4,B196&lt;=MESES),IF(OR(OF_TIPO_4="Fija",C196&lt;=OF_ANIOS_INI_4),OF_TIN_4,MAX(0,EURIBOR+OF_DIF_4)),0)</f>
        <v/>
      </c>
      <c r="W196" s="58">
        <f>IF(AND(BANCO_OK_4,B196&lt;=MESES),IF(OR(B196=1,V196&lt;&gt;V195),PMT(V196/1200,MESES-B196+1,-Z195),W195),0)</f>
        <v/>
      </c>
      <c r="X196" s="58">
        <f>Z195*V196/1200</f>
        <v/>
      </c>
      <c r="Y196" s="58">
        <f>IF(AND(BANCO_OK_4,B196&lt;=MESES),IF(OR(B196=MESES,W196-X196&gt;Z195),Z195,W196-X196),0)</f>
        <v/>
      </c>
      <c r="Z196" s="58">
        <f>Z195-Y196</f>
        <v/>
      </c>
      <c r="AA196" s="58">
        <f>IF(AND(BANCO_OK_4,B196&lt;=MESES),X196+Y196+VINC_MES_4,0)</f>
        <v/>
      </c>
    </row>
    <row r="197">
      <c r="B197" s="56" t="n">
        <v>189</v>
      </c>
      <c r="C197" s="56">
        <f>ROUNDUP(B197/12,0)</f>
        <v/>
      </c>
      <c r="D197" s="52">
        <f>IF(AND(BANCO_OK_1,B197&lt;=MESES),IF(OR(OF_TIPO_1="Fija",C197&lt;=OF_ANIOS_INI_1),OF_TIN_1,MAX(0,EURIBOR+OF_DIF_1)),0)</f>
        <v/>
      </c>
      <c r="E197" s="58">
        <f>IF(AND(BANCO_OK_1,B197&lt;=MESES),IF(OR(B197=1,D197&lt;&gt;D196),PMT(D197/1200,MESES-B197+1,-H196),E196),0)</f>
        <v/>
      </c>
      <c r="F197" s="58">
        <f>H196*D197/1200</f>
        <v/>
      </c>
      <c r="G197" s="58">
        <f>IF(AND(BANCO_OK_1,B197&lt;=MESES),IF(OR(B197=MESES,E197-F197&gt;H196),H196,E197-F197),0)</f>
        <v/>
      </c>
      <c r="H197" s="58">
        <f>H196-G197</f>
        <v/>
      </c>
      <c r="I197" s="58">
        <f>IF(AND(BANCO_OK_1,B197&lt;=MESES),F197+G197+VINC_MES_1,0)</f>
        <v/>
      </c>
      <c r="J197" s="52">
        <f>IF(AND(BANCO_OK_2,B197&lt;=MESES),IF(OR(OF_TIPO_2="Fija",C197&lt;=OF_ANIOS_INI_2),OF_TIN_2,MAX(0,EURIBOR+OF_DIF_2)),0)</f>
        <v/>
      </c>
      <c r="K197" s="58">
        <f>IF(AND(BANCO_OK_2,B197&lt;=MESES),IF(OR(B197=1,J197&lt;&gt;J196),PMT(J197/1200,MESES-B197+1,-N196),K196),0)</f>
        <v/>
      </c>
      <c r="L197" s="58">
        <f>N196*J197/1200</f>
        <v/>
      </c>
      <c r="M197" s="58">
        <f>IF(AND(BANCO_OK_2,B197&lt;=MESES),IF(OR(B197=MESES,K197-L197&gt;N196),N196,K197-L197),0)</f>
        <v/>
      </c>
      <c r="N197" s="58">
        <f>N196-M197</f>
        <v/>
      </c>
      <c r="O197" s="58">
        <f>IF(AND(BANCO_OK_2,B197&lt;=MESES),L197+M197+VINC_MES_2,0)</f>
        <v/>
      </c>
      <c r="P197" s="52">
        <f>IF(AND(BANCO_OK_3,B197&lt;=MESES),IF(OR(OF_TIPO_3="Fija",C197&lt;=OF_ANIOS_INI_3),OF_TIN_3,MAX(0,EURIBOR+OF_DIF_3)),0)</f>
        <v/>
      </c>
      <c r="Q197" s="58">
        <f>IF(AND(BANCO_OK_3,B197&lt;=MESES),IF(OR(B197=1,P197&lt;&gt;P196),PMT(P197/1200,MESES-B197+1,-T196),Q196),0)</f>
        <v/>
      </c>
      <c r="R197" s="58">
        <f>T196*P197/1200</f>
        <v/>
      </c>
      <c r="S197" s="58">
        <f>IF(AND(BANCO_OK_3,B197&lt;=MESES),IF(OR(B197=MESES,Q197-R197&gt;T196),T196,Q197-R197),0)</f>
        <v/>
      </c>
      <c r="T197" s="58">
        <f>T196-S197</f>
        <v/>
      </c>
      <c r="U197" s="58">
        <f>IF(AND(BANCO_OK_3,B197&lt;=MESES),R197+S197+VINC_MES_3,0)</f>
        <v/>
      </c>
      <c r="V197" s="52">
        <f>IF(AND(BANCO_OK_4,B197&lt;=MESES),IF(OR(OF_TIPO_4="Fija",C197&lt;=OF_ANIOS_INI_4),OF_TIN_4,MAX(0,EURIBOR+OF_DIF_4)),0)</f>
        <v/>
      </c>
      <c r="W197" s="58">
        <f>IF(AND(BANCO_OK_4,B197&lt;=MESES),IF(OR(B197=1,V197&lt;&gt;V196),PMT(V197/1200,MESES-B197+1,-Z196),W196),0)</f>
        <v/>
      </c>
      <c r="X197" s="58">
        <f>Z196*V197/1200</f>
        <v/>
      </c>
      <c r="Y197" s="58">
        <f>IF(AND(BANCO_OK_4,B197&lt;=MESES),IF(OR(B197=MESES,W197-X197&gt;Z196),Z196,W197-X197),0)</f>
        <v/>
      </c>
      <c r="Z197" s="58">
        <f>Z196-Y197</f>
        <v/>
      </c>
      <c r="AA197" s="58">
        <f>IF(AND(BANCO_OK_4,B197&lt;=MESES),X197+Y197+VINC_MES_4,0)</f>
        <v/>
      </c>
    </row>
    <row r="198">
      <c r="B198" s="56" t="n">
        <v>190</v>
      </c>
      <c r="C198" s="56">
        <f>ROUNDUP(B198/12,0)</f>
        <v/>
      </c>
      <c r="D198" s="52">
        <f>IF(AND(BANCO_OK_1,B198&lt;=MESES),IF(OR(OF_TIPO_1="Fija",C198&lt;=OF_ANIOS_INI_1),OF_TIN_1,MAX(0,EURIBOR+OF_DIF_1)),0)</f>
        <v/>
      </c>
      <c r="E198" s="58">
        <f>IF(AND(BANCO_OK_1,B198&lt;=MESES),IF(OR(B198=1,D198&lt;&gt;D197),PMT(D198/1200,MESES-B198+1,-H197),E197),0)</f>
        <v/>
      </c>
      <c r="F198" s="58">
        <f>H197*D198/1200</f>
        <v/>
      </c>
      <c r="G198" s="58">
        <f>IF(AND(BANCO_OK_1,B198&lt;=MESES),IF(OR(B198=MESES,E198-F198&gt;H197),H197,E198-F198),0)</f>
        <v/>
      </c>
      <c r="H198" s="58">
        <f>H197-G198</f>
        <v/>
      </c>
      <c r="I198" s="58">
        <f>IF(AND(BANCO_OK_1,B198&lt;=MESES),F198+G198+VINC_MES_1,0)</f>
        <v/>
      </c>
      <c r="J198" s="52">
        <f>IF(AND(BANCO_OK_2,B198&lt;=MESES),IF(OR(OF_TIPO_2="Fija",C198&lt;=OF_ANIOS_INI_2),OF_TIN_2,MAX(0,EURIBOR+OF_DIF_2)),0)</f>
        <v/>
      </c>
      <c r="K198" s="58">
        <f>IF(AND(BANCO_OK_2,B198&lt;=MESES),IF(OR(B198=1,J198&lt;&gt;J197),PMT(J198/1200,MESES-B198+1,-N197),K197),0)</f>
        <v/>
      </c>
      <c r="L198" s="58">
        <f>N197*J198/1200</f>
        <v/>
      </c>
      <c r="M198" s="58">
        <f>IF(AND(BANCO_OK_2,B198&lt;=MESES),IF(OR(B198=MESES,K198-L198&gt;N197),N197,K198-L198),0)</f>
        <v/>
      </c>
      <c r="N198" s="58">
        <f>N197-M198</f>
        <v/>
      </c>
      <c r="O198" s="58">
        <f>IF(AND(BANCO_OK_2,B198&lt;=MESES),L198+M198+VINC_MES_2,0)</f>
        <v/>
      </c>
      <c r="P198" s="52">
        <f>IF(AND(BANCO_OK_3,B198&lt;=MESES),IF(OR(OF_TIPO_3="Fija",C198&lt;=OF_ANIOS_INI_3),OF_TIN_3,MAX(0,EURIBOR+OF_DIF_3)),0)</f>
        <v/>
      </c>
      <c r="Q198" s="58">
        <f>IF(AND(BANCO_OK_3,B198&lt;=MESES),IF(OR(B198=1,P198&lt;&gt;P197),PMT(P198/1200,MESES-B198+1,-T197),Q197),0)</f>
        <v/>
      </c>
      <c r="R198" s="58">
        <f>T197*P198/1200</f>
        <v/>
      </c>
      <c r="S198" s="58">
        <f>IF(AND(BANCO_OK_3,B198&lt;=MESES),IF(OR(B198=MESES,Q198-R198&gt;T197),T197,Q198-R198),0)</f>
        <v/>
      </c>
      <c r="T198" s="58">
        <f>T197-S198</f>
        <v/>
      </c>
      <c r="U198" s="58">
        <f>IF(AND(BANCO_OK_3,B198&lt;=MESES),R198+S198+VINC_MES_3,0)</f>
        <v/>
      </c>
      <c r="V198" s="52">
        <f>IF(AND(BANCO_OK_4,B198&lt;=MESES),IF(OR(OF_TIPO_4="Fija",C198&lt;=OF_ANIOS_INI_4),OF_TIN_4,MAX(0,EURIBOR+OF_DIF_4)),0)</f>
        <v/>
      </c>
      <c r="W198" s="58">
        <f>IF(AND(BANCO_OK_4,B198&lt;=MESES),IF(OR(B198=1,V198&lt;&gt;V197),PMT(V198/1200,MESES-B198+1,-Z197),W197),0)</f>
        <v/>
      </c>
      <c r="X198" s="58">
        <f>Z197*V198/1200</f>
        <v/>
      </c>
      <c r="Y198" s="58">
        <f>IF(AND(BANCO_OK_4,B198&lt;=MESES),IF(OR(B198=MESES,W198-X198&gt;Z197),Z197,W198-X198),0)</f>
        <v/>
      </c>
      <c r="Z198" s="58">
        <f>Z197-Y198</f>
        <v/>
      </c>
      <c r="AA198" s="58">
        <f>IF(AND(BANCO_OK_4,B198&lt;=MESES),X198+Y198+VINC_MES_4,0)</f>
        <v/>
      </c>
    </row>
    <row r="199">
      <c r="B199" s="56" t="n">
        <v>191</v>
      </c>
      <c r="C199" s="56">
        <f>ROUNDUP(B199/12,0)</f>
        <v/>
      </c>
      <c r="D199" s="52">
        <f>IF(AND(BANCO_OK_1,B199&lt;=MESES),IF(OR(OF_TIPO_1="Fija",C199&lt;=OF_ANIOS_INI_1),OF_TIN_1,MAX(0,EURIBOR+OF_DIF_1)),0)</f>
        <v/>
      </c>
      <c r="E199" s="58">
        <f>IF(AND(BANCO_OK_1,B199&lt;=MESES),IF(OR(B199=1,D199&lt;&gt;D198),PMT(D199/1200,MESES-B199+1,-H198),E198),0)</f>
        <v/>
      </c>
      <c r="F199" s="58">
        <f>H198*D199/1200</f>
        <v/>
      </c>
      <c r="G199" s="58">
        <f>IF(AND(BANCO_OK_1,B199&lt;=MESES),IF(OR(B199=MESES,E199-F199&gt;H198),H198,E199-F199),0)</f>
        <v/>
      </c>
      <c r="H199" s="58">
        <f>H198-G199</f>
        <v/>
      </c>
      <c r="I199" s="58">
        <f>IF(AND(BANCO_OK_1,B199&lt;=MESES),F199+G199+VINC_MES_1,0)</f>
        <v/>
      </c>
      <c r="J199" s="52">
        <f>IF(AND(BANCO_OK_2,B199&lt;=MESES),IF(OR(OF_TIPO_2="Fija",C199&lt;=OF_ANIOS_INI_2),OF_TIN_2,MAX(0,EURIBOR+OF_DIF_2)),0)</f>
        <v/>
      </c>
      <c r="K199" s="58">
        <f>IF(AND(BANCO_OK_2,B199&lt;=MESES),IF(OR(B199=1,J199&lt;&gt;J198),PMT(J199/1200,MESES-B199+1,-N198),K198),0)</f>
        <v/>
      </c>
      <c r="L199" s="58">
        <f>N198*J199/1200</f>
        <v/>
      </c>
      <c r="M199" s="58">
        <f>IF(AND(BANCO_OK_2,B199&lt;=MESES),IF(OR(B199=MESES,K199-L199&gt;N198),N198,K199-L199),0)</f>
        <v/>
      </c>
      <c r="N199" s="58">
        <f>N198-M199</f>
        <v/>
      </c>
      <c r="O199" s="58">
        <f>IF(AND(BANCO_OK_2,B199&lt;=MESES),L199+M199+VINC_MES_2,0)</f>
        <v/>
      </c>
      <c r="P199" s="52">
        <f>IF(AND(BANCO_OK_3,B199&lt;=MESES),IF(OR(OF_TIPO_3="Fija",C199&lt;=OF_ANIOS_INI_3),OF_TIN_3,MAX(0,EURIBOR+OF_DIF_3)),0)</f>
        <v/>
      </c>
      <c r="Q199" s="58">
        <f>IF(AND(BANCO_OK_3,B199&lt;=MESES),IF(OR(B199=1,P199&lt;&gt;P198),PMT(P199/1200,MESES-B199+1,-T198),Q198),0)</f>
        <v/>
      </c>
      <c r="R199" s="58">
        <f>T198*P199/1200</f>
        <v/>
      </c>
      <c r="S199" s="58">
        <f>IF(AND(BANCO_OK_3,B199&lt;=MESES),IF(OR(B199=MESES,Q199-R199&gt;T198),T198,Q199-R199),0)</f>
        <v/>
      </c>
      <c r="T199" s="58">
        <f>T198-S199</f>
        <v/>
      </c>
      <c r="U199" s="58">
        <f>IF(AND(BANCO_OK_3,B199&lt;=MESES),R199+S199+VINC_MES_3,0)</f>
        <v/>
      </c>
      <c r="V199" s="52">
        <f>IF(AND(BANCO_OK_4,B199&lt;=MESES),IF(OR(OF_TIPO_4="Fija",C199&lt;=OF_ANIOS_INI_4),OF_TIN_4,MAX(0,EURIBOR+OF_DIF_4)),0)</f>
        <v/>
      </c>
      <c r="W199" s="58">
        <f>IF(AND(BANCO_OK_4,B199&lt;=MESES),IF(OR(B199=1,V199&lt;&gt;V198),PMT(V199/1200,MESES-B199+1,-Z198),W198),0)</f>
        <v/>
      </c>
      <c r="X199" s="58">
        <f>Z198*V199/1200</f>
        <v/>
      </c>
      <c r="Y199" s="58">
        <f>IF(AND(BANCO_OK_4,B199&lt;=MESES),IF(OR(B199=MESES,W199-X199&gt;Z198),Z198,W199-X199),0)</f>
        <v/>
      </c>
      <c r="Z199" s="58">
        <f>Z198-Y199</f>
        <v/>
      </c>
      <c r="AA199" s="58">
        <f>IF(AND(BANCO_OK_4,B199&lt;=MESES),X199+Y199+VINC_MES_4,0)</f>
        <v/>
      </c>
    </row>
    <row r="200">
      <c r="B200" s="56" t="n">
        <v>192</v>
      </c>
      <c r="C200" s="56">
        <f>ROUNDUP(B200/12,0)</f>
        <v/>
      </c>
      <c r="D200" s="52">
        <f>IF(AND(BANCO_OK_1,B200&lt;=MESES),IF(OR(OF_TIPO_1="Fija",C200&lt;=OF_ANIOS_INI_1),OF_TIN_1,MAX(0,EURIBOR+OF_DIF_1)),0)</f>
        <v/>
      </c>
      <c r="E200" s="58">
        <f>IF(AND(BANCO_OK_1,B200&lt;=MESES),IF(OR(B200=1,D200&lt;&gt;D199),PMT(D200/1200,MESES-B200+1,-H199),E199),0)</f>
        <v/>
      </c>
      <c r="F200" s="58">
        <f>H199*D200/1200</f>
        <v/>
      </c>
      <c r="G200" s="58">
        <f>IF(AND(BANCO_OK_1,B200&lt;=MESES),IF(OR(B200=MESES,E200-F200&gt;H199),H199,E200-F200),0)</f>
        <v/>
      </c>
      <c r="H200" s="58">
        <f>H199-G200</f>
        <v/>
      </c>
      <c r="I200" s="58">
        <f>IF(AND(BANCO_OK_1,B200&lt;=MESES),F200+G200+VINC_MES_1,0)</f>
        <v/>
      </c>
      <c r="J200" s="52">
        <f>IF(AND(BANCO_OK_2,B200&lt;=MESES),IF(OR(OF_TIPO_2="Fija",C200&lt;=OF_ANIOS_INI_2),OF_TIN_2,MAX(0,EURIBOR+OF_DIF_2)),0)</f>
        <v/>
      </c>
      <c r="K200" s="58">
        <f>IF(AND(BANCO_OK_2,B200&lt;=MESES),IF(OR(B200=1,J200&lt;&gt;J199),PMT(J200/1200,MESES-B200+1,-N199),K199),0)</f>
        <v/>
      </c>
      <c r="L200" s="58">
        <f>N199*J200/1200</f>
        <v/>
      </c>
      <c r="M200" s="58">
        <f>IF(AND(BANCO_OK_2,B200&lt;=MESES),IF(OR(B200=MESES,K200-L200&gt;N199),N199,K200-L200),0)</f>
        <v/>
      </c>
      <c r="N200" s="58">
        <f>N199-M200</f>
        <v/>
      </c>
      <c r="O200" s="58">
        <f>IF(AND(BANCO_OK_2,B200&lt;=MESES),L200+M200+VINC_MES_2,0)</f>
        <v/>
      </c>
      <c r="P200" s="52">
        <f>IF(AND(BANCO_OK_3,B200&lt;=MESES),IF(OR(OF_TIPO_3="Fija",C200&lt;=OF_ANIOS_INI_3),OF_TIN_3,MAX(0,EURIBOR+OF_DIF_3)),0)</f>
        <v/>
      </c>
      <c r="Q200" s="58">
        <f>IF(AND(BANCO_OK_3,B200&lt;=MESES),IF(OR(B200=1,P200&lt;&gt;P199),PMT(P200/1200,MESES-B200+1,-T199),Q199),0)</f>
        <v/>
      </c>
      <c r="R200" s="58">
        <f>T199*P200/1200</f>
        <v/>
      </c>
      <c r="S200" s="58">
        <f>IF(AND(BANCO_OK_3,B200&lt;=MESES),IF(OR(B200=MESES,Q200-R200&gt;T199),T199,Q200-R200),0)</f>
        <v/>
      </c>
      <c r="T200" s="58">
        <f>T199-S200</f>
        <v/>
      </c>
      <c r="U200" s="58">
        <f>IF(AND(BANCO_OK_3,B200&lt;=MESES),R200+S200+VINC_MES_3,0)</f>
        <v/>
      </c>
      <c r="V200" s="52">
        <f>IF(AND(BANCO_OK_4,B200&lt;=MESES),IF(OR(OF_TIPO_4="Fija",C200&lt;=OF_ANIOS_INI_4),OF_TIN_4,MAX(0,EURIBOR+OF_DIF_4)),0)</f>
        <v/>
      </c>
      <c r="W200" s="58">
        <f>IF(AND(BANCO_OK_4,B200&lt;=MESES),IF(OR(B200=1,V200&lt;&gt;V199),PMT(V200/1200,MESES-B200+1,-Z199),W199),0)</f>
        <v/>
      </c>
      <c r="X200" s="58">
        <f>Z199*V200/1200</f>
        <v/>
      </c>
      <c r="Y200" s="58">
        <f>IF(AND(BANCO_OK_4,B200&lt;=MESES),IF(OR(B200=MESES,W200-X200&gt;Z199),Z199,W200-X200),0)</f>
        <v/>
      </c>
      <c r="Z200" s="58">
        <f>Z199-Y200</f>
        <v/>
      </c>
      <c r="AA200" s="58">
        <f>IF(AND(BANCO_OK_4,B200&lt;=MESES),X200+Y200+VINC_MES_4,0)</f>
        <v/>
      </c>
    </row>
    <row r="201">
      <c r="B201" s="56" t="n">
        <v>193</v>
      </c>
      <c r="C201" s="56">
        <f>ROUNDUP(B201/12,0)</f>
        <v/>
      </c>
      <c r="D201" s="52">
        <f>IF(AND(BANCO_OK_1,B201&lt;=MESES),IF(OR(OF_TIPO_1="Fija",C201&lt;=OF_ANIOS_INI_1),OF_TIN_1,MAX(0,EURIBOR+OF_DIF_1)),0)</f>
        <v/>
      </c>
      <c r="E201" s="58">
        <f>IF(AND(BANCO_OK_1,B201&lt;=MESES),IF(OR(B201=1,D201&lt;&gt;D200),PMT(D201/1200,MESES-B201+1,-H200),E200),0)</f>
        <v/>
      </c>
      <c r="F201" s="58">
        <f>H200*D201/1200</f>
        <v/>
      </c>
      <c r="G201" s="58">
        <f>IF(AND(BANCO_OK_1,B201&lt;=MESES),IF(OR(B201=MESES,E201-F201&gt;H200),H200,E201-F201),0)</f>
        <v/>
      </c>
      <c r="H201" s="58">
        <f>H200-G201</f>
        <v/>
      </c>
      <c r="I201" s="58">
        <f>IF(AND(BANCO_OK_1,B201&lt;=MESES),F201+G201+VINC_MES_1,0)</f>
        <v/>
      </c>
      <c r="J201" s="52">
        <f>IF(AND(BANCO_OK_2,B201&lt;=MESES),IF(OR(OF_TIPO_2="Fija",C201&lt;=OF_ANIOS_INI_2),OF_TIN_2,MAX(0,EURIBOR+OF_DIF_2)),0)</f>
        <v/>
      </c>
      <c r="K201" s="58">
        <f>IF(AND(BANCO_OK_2,B201&lt;=MESES),IF(OR(B201=1,J201&lt;&gt;J200),PMT(J201/1200,MESES-B201+1,-N200),K200),0)</f>
        <v/>
      </c>
      <c r="L201" s="58">
        <f>N200*J201/1200</f>
        <v/>
      </c>
      <c r="M201" s="58">
        <f>IF(AND(BANCO_OK_2,B201&lt;=MESES),IF(OR(B201=MESES,K201-L201&gt;N200),N200,K201-L201),0)</f>
        <v/>
      </c>
      <c r="N201" s="58">
        <f>N200-M201</f>
        <v/>
      </c>
      <c r="O201" s="58">
        <f>IF(AND(BANCO_OK_2,B201&lt;=MESES),L201+M201+VINC_MES_2,0)</f>
        <v/>
      </c>
      <c r="P201" s="52">
        <f>IF(AND(BANCO_OK_3,B201&lt;=MESES),IF(OR(OF_TIPO_3="Fija",C201&lt;=OF_ANIOS_INI_3),OF_TIN_3,MAX(0,EURIBOR+OF_DIF_3)),0)</f>
        <v/>
      </c>
      <c r="Q201" s="58">
        <f>IF(AND(BANCO_OK_3,B201&lt;=MESES),IF(OR(B201=1,P201&lt;&gt;P200),PMT(P201/1200,MESES-B201+1,-T200),Q200),0)</f>
        <v/>
      </c>
      <c r="R201" s="58">
        <f>T200*P201/1200</f>
        <v/>
      </c>
      <c r="S201" s="58">
        <f>IF(AND(BANCO_OK_3,B201&lt;=MESES),IF(OR(B201=MESES,Q201-R201&gt;T200),T200,Q201-R201),0)</f>
        <v/>
      </c>
      <c r="T201" s="58">
        <f>T200-S201</f>
        <v/>
      </c>
      <c r="U201" s="58">
        <f>IF(AND(BANCO_OK_3,B201&lt;=MESES),R201+S201+VINC_MES_3,0)</f>
        <v/>
      </c>
      <c r="V201" s="52">
        <f>IF(AND(BANCO_OK_4,B201&lt;=MESES),IF(OR(OF_TIPO_4="Fija",C201&lt;=OF_ANIOS_INI_4),OF_TIN_4,MAX(0,EURIBOR+OF_DIF_4)),0)</f>
        <v/>
      </c>
      <c r="W201" s="58">
        <f>IF(AND(BANCO_OK_4,B201&lt;=MESES),IF(OR(B201=1,V201&lt;&gt;V200),PMT(V201/1200,MESES-B201+1,-Z200),W200),0)</f>
        <v/>
      </c>
      <c r="X201" s="58">
        <f>Z200*V201/1200</f>
        <v/>
      </c>
      <c r="Y201" s="58">
        <f>IF(AND(BANCO_OK_4,B201&lt;=MESES),IF(OR(B201=MESES,W201-X201&gt;Z200),Z200,W201-X201),0)</f>
        <v/>
      </c>
      <c r="Z201" s="58">
        <f>Z200-Y201</f>
        <v/>
      </c>
      <c r="AA201" s="58">
        <f>IF(AND(BANCO_OK_4,B201&lt;=MESES),X201+Y201+VINC_MES_4,0)</f>
        <v/>
      </c>
    </row>
    <row r="202">
      <c r="B202" s="56" t="n">
        <v>194</v>
      </c>
      <c r="C202" s="56">
        <f>ROUNDUP(B202/12,0)</f>
        <v/>
      </c>
      <c r="D202" s="52">
        <f>IF(AND(BANCO_OK_1,B202&lt;=MESES),IF(OR(OF_TIPO_1="Fija",C202&lt;=OF_ANIOS_INI_1),OF_TIN_1,MAX(0,EURIBOR+OF_DIF_1)),0)</f>
        <v/>
      </c>
      <c r="E202" s="58">
        <f>IF(AND(BANCO_OK_1,B202&lt;=MESES),IF(OR(B202=1,D202&lt;&gt;D201),PMT(D202/1200,MESES-B202+1,-H201),E201),0)</f>
        <v/>
      </c>
      <c r="F202" s="58">
        <f>H201*D202/1200</f>
        <v/>
      </c>
      <c r="G202" s="58">
        <f>IF(AND(BANCO_OK_1,B202&lt;=MESES),IF(OR(B202=MESES,E202-F202&gt;H201),H201,E202-F202),0)</f>
        <v/>
      </c>
      <c r="H202" s="58">
        <f>H201-G202</f>
        <v/>
      </c>
      <c r="I202" s="58">
        <f>IF(AND(BANCO_OK_1,B202&lt;=MESES),F202+G202+VINC_MES_1,0)</f>
        <v/>
      </c>
      <c r="J202" s="52">
        <f>IF(AND(BANCO_OK_2,B202&lt;=MESES),IF(OR(OF_TIPO_2="Fija",C202&lt;=OF_ANIOS_INI_2),OF_TIN_2,MAX(0,EURIBOR+OF_DIF_2)),0)</f>
        <v/>
      </c>
      <c r="K202" s="58">
        <f>IF(AND(BANCO_OK_2,B202&lt;=MESES),IF(OR(B202=1,J202&lt;&gt;J201),PMT(J202/1200,MESES-B202+1,-N201),K201),0)</f>
        <v/>
      </c>
      <c r="L202" s="58">
        <f>N201*J202/1200</f>
        <v/>
      </c>
      <c r="M202" s="58">
        <f>IF(AND(BANCO_OK_2,B202&lt;=MESES),IF(OR(B202=MESES,K202-L202&gt;N201),N201,K202-L202),0)</f>
        <v/>
      </c>
      <c r="N202" s="58">
        <f>N201-M202</f>
        <v/>
      </c>
      <c r="O202" s="58">
        <f>IF(AND(BANCO_OK_2,B202&lt;=MESES),L202+M202+VINC_MES_2,0)</f>
        <v/>
      </c>
      <c r="P202" s="52">
        <f>IF(AND(BANCO_OK_3,B202&lt;=MESES),IF(OR(OF_TIPO_3="Fija",C202&lt;=OF_ANIOS_INI_3),OF_TIN_3,MAX(0,EURIBOR+OF_DIF_3)),0)</f>
        <v/>
      </c>
      <c r="Q202" s="58">
        <f>IF(AND(BANCO_OK_3,B202&lt;=MESES),IF(OR(B202=1,P202&lt;&gt;P201),PMT(P202/1200,MESES-B202+1,-T201),Q201),0)</f>
        <v/>
      </c>
      <c r="R202" s="58">
        <f>T201*P202/1200</f>
        <v/>
      </c>
      <c r="S202" s="58">
        <f>IF(AND(BANCO_OK_3,B202&lt;=MESES),IF(OR(B202=MESES,Q202-R202&gt;T201),T201,Q202-R202),0)</f>
        <v/>
      </c>
      <c r="T202" s="58">
        <f>T201-S202</f>
        <v/>
      </c>
      <c r="U202" s="58">
        <f>IF(AND(BANCO_OK_3,B202&lt;=MESES),R202+S202+VINC_MES_3,0)</f>
        <v/>
      </c>
      <c r="V202" s="52">
        <f>IF(AND(BANCO_OK_4,B202&lt;=MESES),IF(OR(OF_TIPO_4="Fija",C202&lt;=OF_ANIOS_INI_4),OF_TIN_4,MAX(0,EURIBOR+OF_DIF_4)),0)</f>
        <v/>
      </c>
      <c r="W202" s="58">
        <f>IF(AND(BANCO_OK_4,B202&lt;=MESES),IF(OR(B202=1,V202&lt;&gt;V201),PMT(V202/1200,MESES-B202+1,-Z201),W201),0)</f>
        <v/>
      </c>
      <c r="X202" s="58">
        <f>Z201*V202/1200</f>
        <v/>
      </c>
      <c r="Y202" s="58">
        <f>IF(AND(BANCO_OK_4,B202&lt;=MESES),IF(OR(B202=MESES,W202-X202&gt;Z201),Z201,W202-X202),0)</f>
        <v/>
      </c>
      <c r="Z202" s="58">
        <f>Z201-Y202</f>
        <v/>
      </c>
      <c r="AA202" s="58">
        <f>IF(AND(BANCO_OK_4,B202&lt;=MESES),X202+Y202+VINC_MES_4,0)</f>
        <v/>
      </c>
    </row>
    <row r="203">
      <c r="B203" s="56" t="n">
        <v>195</v>
      </c>
      <c r="C203" s="56">
        <f>ROUNDUP(B203/12,0)</f>
        <v/>
      </c>
      <c r="D203" s="52">
        <f>IF(AND(BANCO_OK_1,B203&lt;=MESES),IF(OR(OF_TIPO_1="Fija",C203&lt;=OF_ANIOS_INI_1),OF_TIN_1,MAX(0,EURIBOR+OF_DIF_1)),0)</f>
        <v/>
      </c>
      <c r="E203" s="58">
        <f>IF(AND(BANCO_OK_1,B203&lt;=MESES),IF(OR(B203=1,D203&lt;&gt;D202),PMT(D203/1200,MESES-B203+1,-H202),E202),0)</f>
        <v/>
      </c>
      <c r="F203" s="58">
        <f>H202*D203/1200</f>
        <v/>
      </c>
      <c r="G203" s="58">
        <f>IF(AND(BANCO_OK_1,B203&lt;=MESES),IF(OR(B203=MESES,E203-F203&gt;H202),H202,E203-F203),0)</f>
        <v/>
      </c>
      <c r="H203" s="58">
        <f>H202-G203</f>
        <v/>
      </c>
      <c r="I203" s="58">
        <f>IF(AND(BANCO_OK_1,B203&lt;=MESES),F203+G203+VINC_MES_1,0)</f>
        <v/>
      </c>
      <c r="J203" s="52">
        <f>IF(AND(BANCO_OK_2,B203&lt;=MESES),IF(OR(OF_TIPO_2="Fija",C203&lt;=OF_ANIOS_INI_2),OF_TIN_2,MAX(0,EURIBOR+OF_DIF_2)),0)</f>
        <v/>
      </c>
      <c r="K203" s="58">
        <f>IF(AND(BANCO_OK_2,B203&lt;=MESES),IF(OR(B203=1,J203&lt;&gt;J202),PMT(J203/1200,MESES-B203+1,-N202),K202),0)</f>
        <v/>
      </c>
      <c r="L203" s="58">
        <f>N202*J203/1200</f>
        <v/>
      </c>
      <c r="M203" s="58">
        <f>IF(AND(BANCO_OK_2,B203&lt;=MESES),IF(OR(B203=MESES,K203-L203&gt;N202),N202,K203-L203),0)</f>
        <v/>
      </c>
      <c r="N203" s="58">
        <f>N202-M203</f>
        <v/>
      </c>
      <c r="O203" s="58">
        <f>IF(AND(BANCO_OK_2,B203&lt;=MESES),L203+M203+VINC_MES_2,0)</f>
        <v/>
      </c>
      <c r="P203" s="52">
        <f>IF(AND(BANCO_OK_3,B203&lt;=MESES),IF(OR(OF_TIPO_3="Fija",C203&lt;=OF_ANIOS_INI_3),OF_TIN_3,MAX(0,EURIBOR+OF_DIF_3)),0)</f>
        <v/>
      </c>
      <c r="Q203" s="58">
        <f>IF(AND(BANCO_OK_3,B203&lt;=MESES),IF(OR(B203=1,P203&lt;&gt;P202),PMT(P203/1200,MESES-B203+1,-T202),Q202),0)</f>
        <v/>
      </c>
      <c r="R203" s="58">
        <f>T202*P203/1200</f>
        <v/>
      </c>
      <c r="S203" s="58">
        <f>IF(AND(BANCO_OK_3,B203&lt;=MESES),IF(OR(B203=MESES,Q203-R203&gt;T202),T202,Q203-R203),0)</f>
        <v/>
      </c>
      <c r="T203" s="58">
        <f>T202-S203</f>
        <v/>
      </c>
      <c r="U203" s="58">
        <f>IF(AND(BANCO_OK_3,B203&lt;=MESES),R203+S203+VINC_MES_3,0)</f>
        <v/>
      </c>
      <c r="V203" s="52">
        <f>IF(AND(BANCO_OK_4,B203&lt;=MESES),IF(OR(OF_TIPO_4="Fija",C203&lt;=OF_ANIOS_INI_4),OF_TIN_4,MAX(0,EURIBOR+OF_DIF_4)),0)</f>
        <v/>
      </c>
      <c r="W203" s="58">
        <f>IF(AND(BANCO_OK_4,B203&lt;=MESES),IF(OR(B203=1,V203&lt;&gt;V202),PMT(V203/1200,MESES-B203+1,-Z202),W202),0)</f>
        <v/>
      </c>
      <c r="X203" s="58">
        <f>Z202*V203/1200</f>
        <v/>
      </c>
      <c r="Y203" s="58">
        <f>IF(AND(BANCO_OK_4,B203&lt;=MESES),IF(OR(B203=MESES,W203-X203&gt;Z202),Z202,W203-X203),0)</f>
        <v/>
      </c>
      <c r="Z203" s="58">
        <f>Z202-Y203</f>
        <v/>
      </c>
      <c r="AA203" s="58">
        <f>IF(AND(BANCO_OK_4,B203&lt;=MESES),X203+Y203+VINC_MES_4,0)</f>
        <v/>
      </c>
    </row>
    <row r="204">
      <c r="B204" s="56" t="n">
        <v>196</v>
      </c>
      <c r="C204" s="56">
        <f>ROUNDUP(B204/12,0)</f>
        <v/>
      </c>
      <c r="D204" s="52">
        <f>IF(AND(BANCO_OK_1,B204&lt;=MESES),IF(OR(OF_TIPO_1="Fija",C204&lt;=OF_ANIOS_INI_1),OF_TIN_1,MAX(0,EURIBOR+OF_DIF_1)),0)</f>
        <v/>
      </c>
      <c r="E204" s="58">
        <f>IF(AND(BANCO_OK_1,B204&lt;=MESES),IF(OR(B204=1,D204&lt;&gt;D203),PMT(D204/1200,MESES-B204+1,-H203),E203),0)</f>
        <v/>
      </c>
      <c r="F204" s="58">
        <f>H203*D204/1200</f>
        <v/>
      </c>
      <c r="G204" s="58">
        <f>IF(AND(BANCO_OK_1,B204&lt;=MESES),IF(OR(B204=MESES,E204-F204&gt;H203),H203,E204-F204),0)</f>
        <v/>
      </c>
      <c r="H204" s="58">
        <f>H203-G204</f>
        <v/>
      </c>
      <c r="I204" s="58">
        <f>IF(AND(BANCO_OK_1,B204&lt;=MESES),F204+G204+VINC_MES_1,0)</f>
        <v/>
      </c>
      <c r="J204" s="52">
        <f>IF(AND(BANCO_OK_2,B204&lt;=MESES),IF(OR(OF_TIPO_2="Fija",C204&lt;=OF_ANIOS_INI_2),OF_TIN_2,MAX(0,EURIBOR+OF_DIF_2)),0)</f>
        <v/>
      </c>
      <c r="K204" s="58">
        <f>IF(AND(BANCO_OK_2,B204&lt;=MESES),IF(OR(B204=1,J204&lt;&gt;J203),PMT(J204/1200,MESES-B204+1,-N203),K203),0)</f>
        <v/>
      </c>
      <c r="L204" s="58">
        <f>N203*J204/1200</f>
        <v/>
      </c>
      <c r="M204" s="58">
        <f>IF(AND(BANCO_OK_2,B204&lt;=MESES),IF(OR(B204=MESES,K204-L204&gt;N203),N203,K204-L204),0)</f>
        <v/>
      </c>
      <c r="N204" s="58">
        <f>N203-M204</f>
        <v/>
      </c>
      <c r="O204" s="58">
        <f>IF(AND(BANCO_OK_2,B204&lt;=MESES),L204+M204+VINC_MES_2,0)</f>
        <v/>
      </c>
      <c r="P204" s="52">
        <f>IF(AND(BANCO_OK_3,B204&lt;=MESES),IF(OR(OF_TIPO_3="Fija",C204&lt;=OF_ANIOS_INI_3),OF_TIN_3,MAX(0,EURIBOR+OF_DIF_3)),0)</f>
        <v/>
      </c>
      <c r="Q204" s="58">
        <f>IF(AND(BANCO_OK_3,B204&lt;=MESES),IF(OR(B204=1,P204&lt;&gt;P203),PMT(P204/1200,MESES-B204+1,-T203),Q203),0)</f>
        <v/>
      </c>
      <c r="R204" s="58">
        <f>T203*P204/1200</f>
        <v/>
      </c>
      <c r="S204" s="58">
        <f>IF(AND(BANCO_OK_3,B204&lt;=MESES),IF(OR(B204=MESES,Q204-R204&gt;T203),T203,Q204-R204),0)</f>
        <v/>
      </c>
      <c r="T204" s="58">
        <f>T203-S204</f>
        <v/>
      </c>
      <c r="U204" s="58">
        <f>IF(AND(BANCO_OK_3,B204&lt;=MESES),R204+S204+VINC_MES_3,0)</f>
        <v/>
      </c>
      <c r="V204" s="52">
        <f>IF(AND(BANCO_OK_4,B204&lt;=MESES),IF(OR(OF_TIPO_4="Fija",C204&lt;=OF_ANIOS_INI_4),OF_TIN_4,MAX(0,EURIBOR+OF_DIF_4)),0)</f>
        <v/>
      </c>
      <c r="W204" s="58">
        <f>IF(AND(BANCO_OK_4,B204&lt;=MESES),IF(OR(B204=1,V204&lt;&gt;V203),PMT(V204/1200,MESES-B204+1,-Z203),W203),0)</f>
        <v/>
      </c>
      <c r="X204" s="58">
        <f>Z203*V204/1200</f>
        <v/>
      </c>
      <c r="Y204" s="58">
        <f>IF(AND(BANCO_OK_4,B204&lt;=MESES),IF(OR(B204=MESES,W204-X204&gt;Z203),Z203,W204-X204),0)</f>
        <v/>
      </c>
      <c r="Z204" s="58">
        <f>Z203-Y204</f>
        <v/>
      </c>
      <c r="AA204" s="58">
        <f>IF(AND(BANCO_OK_4,B204&lt;=MESES),X204+Y204+VINC_MES_4,0)</f>
        <v/>
      </c>
    </row>
    <row r="205">
      <c r="B205" s="56" t="n">
        <v>197</v>
      </c>
      <c r="C205" s="56">
        <f>ROUNDUP(B205/12,0)</f>
        <v/>
      </c>
      <c r="D205" s="52">
        <f>IF(AND(BANCO_OK_1,B205&lt;=MESES),IF(OR(OF_TIPO_1="Fija",C205&lt;=OF_ANIOS_INI_1),OF_TIN_1,MAX(0,EURIBOR+OF_DIF_1)),0)</f>
        <v/>
      </c>
      <c r="E205" s="58">
        <f>IF(AND(BANCO_OK_1,B205&lt;=MESES),IF(OR(B205=1,D205&lt;&gt;D204),PMT(D205/1200,MESES-B205+1,-H204),E204),0)</f>
        <v/>
      </c>
      <c r="F205" s="58">
        <f>H204*D205/1200</f>
        <v/>
      </c>
      <c r="G205" s="58">
        <f>IF(AND(BANCO_OK_1,B205&lt;=MESES),IF(OR(B205=MESES,E205-F205&gt;H204),H204,E205-F205),0)</f>
        <v/>
      </c>
      <c r="H205" s="58">
        <f>H204-G205</f>
        <v/>
      </c>
      <c r="I205" s="58">
        <f>IF(AND(BANCO_OK_1,B205&lt;=MESES),F205+G205+VINC_MES_1,0)</f>
        <v/>
      </c>
      <c r="J205" s="52">
        <f>IF(AND(BANCO_OK_2,B205&lt;=MESES),IF(OR(OF_TIPO_2="Fija",C205&lt;=OF_ANIOS_INI_2),OF_TIN_2,MAX(0,EURIBOR+OF_DIF_2)),0)</f>
        <v/>
      </c>
      <c r="K205" s="58">
        <f>IF(AND(BANCO_OK_2,B205&lt;=MESES),IF(OR(B205=1,J205&lt;&gt;J204),PMT(J205/1200,MESES-B205+1,-N204),K204),0)</f>
        <v/>
      </c>
      <c r="L205" s="58">
        <f>N204*J205/1200</f>
        <v/>
      </c>
      <c r="M205" s="58">
        <f>IF(AND(BANCO_OK_2,B205&lt;=MESES),IF(OR(B205=MESES,K205-L205&gt;N204),N204,K205-L205),0)</f>
        <v/>
      </c>
      <c r="N205" s="58">
        <f>N204-M205</f>
        <v/>
      </c>
      <c r="O205" s="58">
        <f>IF(AND(BANCO_OK_2,B205&lt;=MESES),L205+M205+VINC_MES_2,0)</f>
        <v/>
      </c>
      <c r="P205" s="52">
        <f>IF(AND(BANCO_OK_3,B205&lt;=MESES),IF(OR(OF_TIPO_3="Fija",C205&lt;=OF_ANIOS_INI_3),OF_TIN_3,MAX(0,EURIBOR+OF_DIF_3)),0)</f>
        <v/>
      </c>
      <c r="Q205" s="58">
        <f>IF(AND(BANCO_OK_3,B205&lt;=MESES),IF(OR(B205=1,P205&lt;&gt;P204),PMT(P205/1200,MESES-B205+1,-T204),Q204),0)</f>
        <v/>
      </c>
      <c r="R205" s="58">
        <f>T204*P205/1200</f>
        <v/>
      </c>
      <c r="S205" s="58">
        <f>IF(AND(BANCO_OK_3,B205&lt;=MESES),IF(OR(B205=MESES,Q205-R205&gt;T204),T204,Q205-R205),0)</f>
        <v/>
      </c>
      <c r="T205" s="58">
        <f>T204-S205</f>
        <v/>
      </c>
      <c r="U205" s="58">
        <f>IF(AND(BANCO_OK_3,B205&lt;=MESES),R205+S205+VINC_MES_3,0)</f>
        <v/>
      </c>
      <c r="V205" s="52">
        <f>IF(AND(BANCO_OK_4,B205&lt;=MESES),IF(OR(OF_TIPO_4="Fija",C205&lt;=OF_ANIOS_INI_4),OF_TIN_4,MAX(0,EURIBOR+OF_DIF_4)),0)</f>
        <v/>
      </c>
      <c r="W205" s="58">
        <f>IF(AND(BANCO_OK_4,B205&lt;=MESES),IF(OR(B205=1,V205&lt;&gt;V204),PMT(V205/1200,MESES-B205+1,-Z204),W204),0)</f>
        <v/>
      </c>
      <c r="X205" s="58">
        <f>Z204*V205/1200</f>
        <v/>
      </c>
      <c r="Y205" s="58">
        <f>IF(AND(BANCO_OK_4,B205&lt;=MESES),IF(OR(B205=MESES,W205-X205&gt;Z204),Z204,W205-X205),0)</f>
        <v/>
      </c>
      <c r="Z205" s="58">
        <f>Z204-Y205</f>
        <v/>
      </c>
      <c r="AA205" s="58">
        <f>IF(AND(BANCO_OK_4,B205&lt;=MESES),X205+Y205+VINC_MES_4,0)</f>
        <v/>
      </c>
    </row>
    <row r="206">
      <c r="B206" s="56" t="n">
        <v>198</v>
      </c>
      <c r="C206" s="56">
        <f>ROUNDUP(B206/12,0)</f>
        <v/>
      </c>
      <c r="D206" s="52">
        <f>IF(AND(BANCO_OK_1,B206&lt;=MESES),IF(OR(OF_TIPO_1="Fija",C206&lt;=OF_ANIOS_INI_1),OF_TIN_1,MAX(0,EURIBOR+OF_DIF_1)),0)</f>
        <v/>
      </c>
      <c r="E206" s="58">
        <f>IF(AND(BANCO_OK_1,B206&lt;=MESES),IF(OR(B206=1,D206&lt;&gt;D205),PMT(D206/1200,MESES-B206+1,-H205),E205),0)</f>
        <v/>
      </c>
      <c r="F206" s="58">
        <f>H205*D206/1200</f>
        <v/>
      </c>
      <c r="G206" s="58">
        <f>IF(AND(BANCO_OK_1,B206&lt;=MESES),IF(OR(B206=MESES,E206-F206&gt;H205),H205,E206-F206),0)</f>
        <v/>
      </c>
      <c r="H206" s="58">
        <f>H205-G206</f>
        <v/>
      </c>
      <c r="I206" s="58">
        <f>IF(AND(BANCO_OK_1,B206&lt;=MESES),F206+G206+VINC_MES_1,0)</f>
        <v/>
      </c>
      <c r="J206" s="52">
        <f>IF(AND(BANCO_OK_2,B206&lt;=MESES),IF(OR(OF_TIPO_2="Fija",C206&lt;=OF_ANIOS_INI_2),OF_TIN_2,MAX(0,EURIBOR+OF_DIF_2)),0)</f>
        <v/>
      </c>
      <c r="K206" s="58">
        <f>IF(AND(BANCO_OK_2,B206&lt;=MESES),IF(OR(B206=1,J206&lt;&gt;J205),PMT(J206/1200,MESES-B206+1,-N205),K205),0)</f>
        <v/>
      </c>
      <c r="L206" s="58">
        <f>N205*J206/1200</f>
        <v/>
      </c>
      <c r="M206" s="58">
        <f>IF(AND(BANCO_OK_2,B206&lt;=MESES),IF(OR(B206=MESES,K206-L206&gt;N205),N205,K206-L206),0)</f>
        <v/>
      </c>
      <c r="N206" s="58">
        <f>N205-M206</f>
        <v/>
      </c>
      <c r="O206" s="58">
        <f>IF(AND(BANCO_OK_2,B206&lt;=MESES),L206+M206+VINC_MES_2,0)</f>
        <v/>
      </c>
      <c r="P206" s="52">
        <f>IF(AND(BANCO_OK_3,B206&lt;=MESES),IF(OR(OF_TIPO_3="Fija",C206&lt;=OF_ANIOS_INI_3),OF_TIN_3,MAX(0,EURIBOR+OF_DIF_3)),0)</f>
        <v/>
      </c>
      <c r="Q206" s="58">
        <f>IF(AND(BANCO_OK_3,B206&lt;=MESES),IF(OR(B206=1,P206&lt;&gt;P205),PMT(P206/1200,MESES-B206+1,-T205),Q205),0)</f>
        <v/>
      </c>
      <c r="R206" s="58">
        <f>T205*P206/1200</f>
        <v/>
      </c>
      <c r="S206" s="58">
        <f>IF(AND(BANCO_OK_3,B206&lt;=MESES),IF(OR(B206=MESES,Q206-R206&gt;T205),T205,Q206-R206),0)</f>
        <v/>
      </c>
      <c r="T206" s="58">
        <f>T205-S206</f>
        <v/>
      </c>
      <c r="U206" s="58">
        <f>IF(AND(BANCO_OK_3,B206&lt;=MESES),R206+S206+VINC_MES_3,0)</f>
        <v/>
      </c>
      <c r="V206" s="52">
        <f>IF(AND(BANCO_OK_4,B206&lt;=MESES),IF(OR(OF_TIPO_4="Fija",C206&lt;=OF_ANIOS_INI_4),OF_TIN_4,MAX(0,EURIBOR+OF_DIF_4)),0)</f>
        <v/>
      </c>
      <c r="W206" s="58">
        <f>IF(AND(BANCO_OK_4,B206&lt;=MESES),IF(OR(B206=1,V206&lt;&gt;V205),PMT(V206/1200,MESES-B206+1,-Z205),W205),0)</f>
        <v/>
      </c>
      <c r="X206" s="58">
        <f>Z205*V206/1200</f>
        <v/>
      </c>
      <c r="Y206" s="58">
        <f>IF(AND(BANCO_OK_4,B206&lt;=MESES),IF(OR(B206=MESES,W206-X206&gt;Z205),Z205,W206-X206),0)</f>
        <v/>
      </c>
      <c r="Z206" s="58">
        <f>Z205-Y206</f>
        <v/>
      </c>
      <c r="AA206" s="58">
        <f>IF(AND(BANCO_OK_4,B206&lt;=MESES),X206+Y206+VINC_MES_4,0)</f>
        <v/>
      </c>
    </row>
    <row r="207">
      <c r="B207" s="56" t="n">
        <v>199</v>
      </c>
      <c r="C207" s="56">
        <f>ROUNDUP(B207/12,0)</f>
        <v/>
      </c>
      <c r="D207" s="52">
        <f>IF(AND(BANCO_OK_1,B207&lt;=MESES),IF(OR(OF_TIPO_1="Fija",C207&lt;=OF_ANIOS_INI_1),OF_TIN_1,MAX(0,EURIBOR+OF_DIF_1)),0)</f>
        <v/>
      </c>
      <c r="E207" s="58">
        <f>IF(AND(BANCO_OK_1,B207&lt;=MESES),IF(OR(B207=1,D207&lt;&gt;D206),PMT(D207/1200,MESES-B207+1,-H206),E206),0)</f>
        <v/>
      </c>
      <c r="F207" s="58">
        <f>H206*D207/1200</f>
        <v/>
      </c>
      <c r="G207" s="58">
        <f>IF(AND(BANCO_OK_1,B207&lt;=MESES),IF(OR(B207=MESES,E207-F207&gt;H206),H206,E207-F207),0)</f>
        <v/>
      </c>
      <c r="H207" s="58">
        <f>H206-G207</f>
        <v/>
      </c>
      <c r="I207" s="58">
        <f>IF(AND(BANCO_OK_1,B207&lt;=MESES),F207+G207+VINC_MES_1,0)</f>
        <v/>
      </c>
      <c r="J207" s="52">
        <f>IF(AND(BANCO_OK_2,B207&lt;=MESES),IF(OR(OF_TIPO_2="Fija",C207&lt;=OF_ANIOS_INI_2),OF_TIN_2,MAX(0,EURIBOR+OF_DIF_2)),0)</f>
        <v/>
      </c>
      <c r="K207" s="58">
        <f>IF(AND(BANCO_OK_2,B207&lt;=MESES),IF(OR(B207=1,J207&lt;&gt;J206),PMT(J207/1200,MESES-B207+1,-N206),K206),0)</f>
        <v/>
      </c>
      <c r="L207" s="58">
        <f>N206*J207/1200</f>
        <v/>
      </c>
      <c r="M207" s="58">
        <f>IF(AND(BANCO_OK_2,B207&lt;=MESES),IF(OR(B207=MESES,K207-L207&gt;N206),N206,K207-L207),0)</f>
        <v/>
      </c>
      <c r="N207" s="58">
        <f>N206-M207</f>
        <v/>
      </c>
      <c r="O207" s="58">
        <f>IF(AND(BANCO_OK_2,B207&lt;=MESES),L207+M207+VINC_MES_2,0)</f>
        <v/>
      </c>
      <c r="P207" s="52">
        <f>IF(AND(BANCO_OK_3,B207&lt;=MESES),IF(OR(OF_TIPO_3="Fija",C207&lt;=OF_ANIOS_INI_3),OF_TIN_3,MAX(0,EURIBOR+OF_DIF_3)),0)</f>
        <v/>
      </c>
      <c r="Q207" s="58">
        <f>IF(AND(BANCO_OK_3,B207&lt;=MESES),IF(OR(B207=1,P207&lt;&gt;P206),PMT(P207/1200,MESES-B207+1,-T206),Q206),0)</f>
        <v/>
      </c>
      <c r="R207" s="58">
        <f>T206*P207/1200</f>
        <v/>
      </c>
      <c r="S207" s="58">
        <f>IF(AND(BANCO_OK_3,B207&lt;=MESES),IF(OR(B207=MESES,Q207-R207&gt;T206),T206,Q207-R207),0)</f>
        <v/>
      </c>
      <c r="T207" s="58">
        <f>T206-S207</f>
        <v/>
      </c>
      <c r="U207" s="58">
        <f>IF(AND(BANCO_OK_3,B207&lt;=MESES),R207+S207+VINC_MES_3,0)</f>
        <v/>
      </c>
      <c r="V207" s="52">
        <f>IF(AND(BANCO_OK_4,B207&lt;=MESES),IF(OR(OF_TIPO_4="Fija",C207&lt;=OF_ANIOS_INI_4),OF_TIN_4,MAX(0,EURIBOR+OF_DIF_4)),0)</f>
        <v/>
      </c>
      <c r="W207" s="58">
        <f>IF(AND(BANCO_OK_4,B207&lt;=MESES),IF(OR(B207=1,V207&lt;&gt;V206),PMT(V207/1200,MESES-B207+1,-Z206),W206),0)</f>
        <v/>
      </c>
      <c r="X207" s="58">
        <f>Z206*V207/1200</f>
        <v/>
      </c>
      <c r="Y207" s="58">
        <f>IF(AND(BANCO_OK_4,B207&lt;=MESES),IF(OR(B207=MESES,W207-X207&gt;Z206),Z206,W207-X207),0)</f>
        <v/>
      </c>
      <c r="Z207" s="58">
        <f>Z206-Y207</f>
        <v/>
      </c>
      <c r="AA207" s="58">
        <f>IF(AND(BANCO_OK_4,B207&lt;=MESES),X207+Y207+VINC_MES_4,0)</f>
        <v/>
      </c>
    </row>
    <row r="208">
      <c r="B208" s="56" t="n">
        <v>200</v>
      </c>
      <c r="C208" s="56">
        <f>ROUNDUP(B208/12,0)</f>
        <v/>
      </c>
      <c r="D208" s="52">
        <f>IF(AND(BANCO_OK_1,B208&lt;=MESES),IF(OR(OF_TIPO_1="Fija",C208&lt;=OF_ANIOS_INI_1),OF_TIN_1,MAX(0,EURIBOR+OF_DIF_1)),0)</f>
        <v/>
      </c>
      <c r="E208" s="58">
        <f>IF(AND(BANCO_OK_1,B208&lt;=MESES),IF(OR(B208=1,D208&lt;&gt;D207),PMT(D208/1200,MESES-B208+1,-H207),E207),0)</f>
        <v/>
      </c>
      <c r="F208" s="58">
        <f>H207*D208/1200</f>
        <v/>
      </c>
      <c r="G208" s="58">
        <f>IF(AND(BANCO_OK_1,B208&lt;=MESES),IF(OR(B208=MESES,E208-F208&gt;H207),H207,E208-F208),0)</f>
        <v/>
      </c>
      <c r="H208" s="58">
        <f>H207-G208</f>
        <v/>
      </c>
      <c r="I208" s="58">
        <f>IF(AND(BANCO_OK_1,B208&lt;=MESES),F208+G208+VINC_MES_1,0)</f>
        <v/>
      </c>
      <c r="J208" s="52">
        <f>IF(AND(BANCO_OK_2,B208&lt;=MESES),IF(OR(OF_TIPO_2="Fija",C208&lt;=OF_ANIOS_INI_2),OF_TIN_2,MAX(0,EURIBOR+OF_DIF_2)),0)</f>
        <v/>
      </c>
      <c r="K208" s="58">
        <f>IF(AND(BANCO_OK_2,B208&lt;=MESES),IF(OR(B208=1,J208&lt;&gt;J207),PMT(J208/1200,MESES-B208+1,-N207),K207),0)</f>
        <v/>
      </c>
      <c r="L208" s="58">
        <f>N207*J208/1200</f>
        <v/>
      </c>
      <c r="M208" s="58">
        <f>IF(AND(BANCO_OK_2,B208&lt;=MESES),IF(OR(B208=MESES,K208-L208&gt;N207),N207,K208-L208),0)</f>
        <v/>
      </c>
      <c r="N208" s="58">
        <f>N207-M208</f>
        <v/>
      </c>
      <c r="O208" s="58">
        <f>IF(AND(BANCO_OK_2,B208&lt;=MESES),L208+M208+VINC_MES_2,0)</f>
        <v/>
      </c>
      <c r="P208" s="52">
        <f>IF(AND(BANCO_OK_3,B208&lt;=MESES),IF(OR(OF_TIPO_3="Fija",C208&lt;=OF_ANIOS_INI_3),OF_TIN_3,MAX(0,EURIBOR+OF_DIF_3)),0)</f>
        <v/>
      </c>
      <c r="Q208" s="58">
        <f>IF(AND(BANCO_OK_3,B208&lt;=MESES),IF(OR(B208=1,P208&lt;&gt;P207),PMT(P208/1200,MESES-B208+1,-T207),Q207),0)</f>
        <v/>
      </c>
      <c r="R208" s="58">
        <f>T207*P208/1200</f>
        <v/>
      </c>
      <c r="S208" s="58">
        <f>IF(AND(BANCO_OK_3,B208&lt;=MESES),IF(OR(B208=MESES,Q208-R208&gt;T207),T207,Q208-R208),0)</f>
        <v/>
      </c>
      <c r="T208" s="58">
        <f>T207-S208</f>
        <v/>
      </c>
      <c r="U208" s="58">
        <f>IF(AND(BANCO_OK_3,B208&lt;=MESES),R208+S208+VINC_MES_3,0)</f>
        <v/>
      </c>
      <c r="V208" s="52">
        <f>IF(AND(BANCO_OK_4,B208&lt;=MESES),IF(OR(OF_TIPO_4="Fija",C208&lt;=OF_ANIOS_INI_4),OF_TIN_4,MAX(0,EURIBOR+OF_DIF_4)),0)</f>
        <v/>
      </c>
      <c r="W208" s="58">
        <f>IF(AND(BANCO_OK_4,B208&lt;=MESES),IF(OR(B208=1,V208&lt;&gt;V207),PMT(V208/1200,MESES-B208+1,-Z207),W207),0)</f>
        <v/>
      </c>
      <c r="X208" s="58">
        <f>Z207*V208/1200</f>
        <v/>
      </c>
      <c r="Y208" s="58">
        <f>IF(AND(BANCO_OK_4,B208&lt;=MESES),IF(OR(B208=MESES,W208-X208&gt;Z207),Z207,W208-X208),0)</f>
        <v/>
      </c>
      <c r="Z208" s="58">
        <f>Z207-Y208</f>
        <v/>
      </c>
      <c r="AA208" s="58">
        <f>IF(AND(BANCO_OK_4,B208&lt;=MESES),X208+Y208+VINC_MES_4,0)</f>
        <v/>
      </c>
    </row>
    <row r="209">
      <c r="B209" s="56" t="n">
        <v>201</v>
      </c>
      <c r="C209" s="56">
        <f>ROUNDUP(B209/12,0)</f>
        <v/>
      </c>
      <c r="D209" s="52">
        <f>IF(AND(BANCO_OK_1,B209&lt;=MESES),IF(OR(OF_TIPO_1="Fija",C209&lt;=OF_ANIOS_INI_1),OF_TIN_1,MAX(0,EURIBOR+OF_DIF_1)),0)</f>
        <v/>
      </c>
      <c r="E209" s="58">
        <f>IF(AND(BANCO_OK_1,B209&lt;=MESES),IF(OR(B209=1,D209&lt;&gt;D208),PMT(D209/1200,MESES-B209+1,-H208),E208),0)</f>
        <v/>
      </c>
      <c r="F209" s="58">
        <f>H208*D209/1200</f>
        <v/>
      </c>
      <c r="G209" s="58">
        <f>IF(AND(BANCO_OK_1,B209&lt;=MESES),IF(OR(B209=MESES,E209-F209&gt;H208),H208,E209-F209),0)</f>
        <v/>
      </c>
      <c r="H209" s="58">
        <f>H208-G209</f>
        <v/>
      </c>
      <c r="I209" s="58">
        <f>IF(AND(BANCO_OK_1,B209&lt;=MESES),F209+G209+VINC_MES_1,0)</f>
        <v/>
      </c>
      <c r="J209" s="52">
        <f>IF(AND(BANCO_OK_2,B209&lt;=MESES),IF(OR(OF_TIPO_2="Fija",C209&lt;=OF_ANIOS_INI_2),OF_TIN_2,MAX(0,EURIBOR+OF_DIF_2)),0)</f>
        <v/>
      </c>
      <c r="K209" s="58">
        <f>IF(AND(BANCO_OK_2,B209&lt;=MESES),IF(OR(B209=1,J209&lt;&gt;J208),PMT(J209/1200,MESES-B209+1,-N208),K208),0)</f>
        <v/>
      </c>
      <c r="L209" s="58">
        <f>N208*J209/1200</f>
        <v/>
      </c>
      <c r="M209" s="58">
        <f>IF(AND(BANCO_OK_2,B209&lt;=MESES),IF(OR(B209=MESES,K209-L209&gt;N208),N208,K209-L209),0)</f>
        <v/>
      </c>
      <c r="N209" s="58">
        <f>N208-M209</f>
        <v/>
      </c>
      <c r="O209" s="58">
        <f>IF(AND(BANCO_OK_2,B209&lt;=MESES),L209+M209+VINC_MES_2,0)</f>
        <v/>
      </c>
      <c r="P209" s="52">
        <f>IF(AND(BANCO_OK_3,B209&lt;=MESES),IF(OR(OF_TIPO_3="Fija",C209&lt;=OF_ANIOS_INI_3),OF_TIN_3,MAX(0,EURIBOR+OF_DIF_3)),0)</f>
        <v/>
      </c>
      <c r="Q209" s="58">
        <f>IF(AND(BANCO_OK_3,B209&lt;=MESES),IF(OR(B209=1,P209&lt;&gt;P208),PMT(P209/1200,MESES-B209+1,-T208),Q208),0)</f>
        <v/>
      </c>
      <c r="R209" s="58">
        <f>T208*P209/1200</f>
        <v/>
      </c>
      <c r="S209" s="58">
        <f>IF(AND(BANCO_OK_3,B209&lt;=MESES),IF(OR(B209=MESES,Q209-R209&gt;T208),T208,Q209-R209),0)</f>
        <v/>
      </c>
      <c r="T209" s="58">
        <f>T208-S209</f>
        <v/>
      </c>
      <c r="U209" s="58">
        <f>IF(AND(BANCO_OK_3,B209&lt;=MESES),R209+S209+VINC_MES_3,0)</f>
        <v/>
      </c>
      <c r="V209" s="52">
        <f>IF(AND(BANCO_OK_4,B209&lt;=MESES),IF(OR(OF_TIPO_4="Fija",C209&lt;=OF_ANIOS_INI_4),OF_TIN_4,MAX(0,EURIBOR+OF_DIF_4)),0)</f>
        <v/>
      </c>
      <c r="W209" s="58">
        <f>IF(AND(BANCO_OK_4,B209&lt;=MESES),IF(OR(B209=1,V209&lt;&gt;V208),PMT(V209/1200,MESES-B209+1,-Z208),W208),0)</f>
        <v/>
      </c>
      <c r="X209" s="58">
        <f>Z208*V209/1200</f>
        <v/>
      </c>
      <c r="Y209" s="58">
        <f>IF(AND(BANCO_OK_4,B209&lt;=MESES),IF(OR(B209=MESES,W209-X209&gt;Z208),Z208,W209-X209),0)</f>
        <v/>
      </c>
      <c r="Z209" s="58">
        <f>Z208-Y209</f>
        <v/>
      </c>
      <c r="AA209" s="58">
        <f>IF(AND(BANCO_OK_4,B209&lt;=MESES),X209+Y209+VINC_MES_4,0)</f>
        <v/>
      </c>
    </row>
    <row r="210">
      <c r="B210" s="56" t="n">
        <v>202</v>
      </c>
      <c r="C210" s="56">
        <f>ROUNDUP(B210/12,0)</f>
        <v/>
      </c>
      <c r="D210" s="52">
        <f>IF(AND(BANCO_OK_1,B210&lt;=MESES),IF(OR(OF_TIPO_1="Fija",C210&lt;=OF_ANIOS_INI_1),OF_TIN_1,MAX(0,EURIBOR+OF_DIF_1)),0)</f>
        <v/>
      </c>
      <c r="E210" s="58">
        <f>IF(AND(BANCO_OK_1,B210&lt;=MESES),IF(OR(B210=1,D210&lt;&gt;D209),PMT(D210/1200,MESES-B210+1,-H209),E209),0)</f>
        <v/>
      </c>
      <c r="F210" s="58">
        <f>H209*D210/1200</f>
        <v/>
      </c>
      <c r="G210" s="58">
        <f>IF(AND(BANCO_OK_1,B210&lt;=MESES),IF(OR(B210=MESES,E210-F210&gt;H209),H209,E210-F210),0)</f>
        <v/>
      </c>
      <c r="H210" s="58">
        <f>H209-G210</f>
        <v/>
      </c>
      <c r="I210" s="58">
        <f>IF(AND(BANCO_OK_1,B210&lt;=MESES),F210+G210+VINC_MES_1,0)</f>
        <v/>
      </c>
      <c r="J210" s="52">
        <f>IF(AND(BANCO_OK_2,B210&lt;=MESES),IF(OR(OF_TIPO_2="Fija",C210&lt;=OF_ANIOS_INI_2),OF_TIN_2,MAX(0,EURIBOR+OF_DIF_2)),0)</f>
        <v/>
      </c>
      <c r="K210" s="58">
        <f>IF(AND(BANCO_OK_2,B210&lt;=MESES),IF(OR(B210=1,J210&lt;&gt;J209),PMT(J210/1200,MESES-B210+1,-N209),K209),0)</f>
        <v/>
      </c>
      <c r="L210" s="58">
        <f>N209*J210/1200</f>
        <v/>
      </c>
      <c r="M210" s="58">
        <f>IF(AND(BANCO_OK_2,B210&lt;=MESES),IF(OR(B210=MESES,K210-L210&gt;N209),N209,K210-L210),0)</f>
        <v/>
      </c>
      <c r="N210" s="58">
        <f>N209-M210</f>
        <v/>
      </c>
      <c r="O210" s="58">
        <f>IF(AND(BANCO_OK_2,B210&lt;=MESES),L210+M210+VINC_MES_2,0)</f>
        <v/>
      </c>
      <c r="P210" s="52">
        <f>IF(AND(BANCO_OK_3,B210&lt;=MESES),IF(OR(OF_TIPO_3="Fija",C210&lt;=OF_ANIOS_INI_3),OF_TIN_3,MAX(0,EURIBOR+OF_DIF_3)),0)</f>
        <v/>
      </c>
      <c r="Q210" s="58">
        <f>IF(AND(BANCO_OK_3,B210&lt;=MESES),IF(OR(B210=1,P210&lt;&gt;P209),PMT(P210/1200,MESES-B210+1,-T209),Q209),0)</f>
        <v/>
      </c>
      <c r="R210" s="58">
        <f>T209*P210/1200</f>
        <v/>
      </c>
      <c r="S210" s="58">
        <f>IF(AND(BANCO_OK_3,B210&lt;=MESES),IF(OR(B210=MESES,Q210-R210&gt;T209),T209,Q210-R210),0)</f>
        <v/>
      </c>
      <c r="T210" s="58">
        <f>T209-S210</f>
        <v/>
      </c>
      <c r="U210" s="58">
        <f>IF(AND(BANCO_OK_3,B210&lt;=MESES),R210+S210+VINC_MES_3,0)</f>
        <v/>
      </c>
      <c r="V210" s="52">
        <f>IF(AND(BANCO_OK_4,B210&lt;=MESES),IF(OR(OF_TIPO_4="Fija",C210&lt;=OF_ANIOS_INI_4),OF_TIN_4,MAX(0,EURIBOR+OF_DIF_4)),0)</f>
        <v/>
      </c>
      <c r="W210" s="58">
        <f>IF(AND(BANCO_OK_4,B210&lt;=MESES),IF(OR(B210=1,V210&lt;&gt;V209),PMT(V210/1200,MESES-B210+1,-Z209),W209),0)</f>
        <v/>
      </c>
      <c r="X210" s="58">
        <f>Z209*V210/1200</f>
        <v/>
      </c>
      <c r="Y210" s="58">
        <f>IF(AND(BANCO_OK_4,B210&lt;=MESES),IF(OR(B210=MESES,W210-X210&gt;Z209),Z209,W210-X210),0)</f>
        <v/>
      </c>
      <c r="Z210" s="58">
        <f>Z209-Y210</f>
        <v/>
      </c>
      <c r="AA210" s="58">
        <f>IF(AND(BANCO_OK_4,B210&lt;=MESES),X210+Y210+VINC_MES_4,0)</f>
        <v/>
      </c>
    </row>
    <row r="211">
      <c r="B211" s="56" t="n">
        <v>203</v>
      </c>
      <c r="C211" s="56">
        <f>ROUNDUP(B211/12,0)</f>
        <v/>
      </c>
      <c r="D211" s="52">
        <f>IF(AND(BANCO_OK_1,B211&lt;=MESES),IF(OR(OF_TIPO_1="Fija",C211&lt;=OF_ANIOS_INI_1),OF_TIN_1,MAX(0,EURIBOR+OF_DIF_1)),0)</f>
        <v/>
      </c>
      <c r="E211" s="58">
        <f>IF(AND(BANCO_OK_1,B211&lt;=MESES),IF(OR(B211=1,D211&lt;&gt;D210),PMT(D211/1200,MESES-B211+1,-H210),E210),0)</f>
        <v/>
      </c>
      <c r="F211" s="58">
        <f>H210*D211/1200</f>
        <v/>
      </c>
      <c r="G211" s="58">
        <f>IF(AND(BANCO_OK_1,B211&lt;=MESES),IF(OR(B211=MESES,E211-F211&gt;H210),H210,E211-F211),0)</f>
        <v/>
      </c>
      <c r="H211" s="58">
        <f>H210-G211</f>
        <v/>
      </c>
      <c r="I211" s="58">
        <f>IF(AND(BANCO_OK_1,B211&lt;=MESES),F211+G211+VINC_MES_1,0)</f>
        <v/>
      </c>
      <c r="J211" s="52">
        <f>IF(AND(BANCO_OK_2,B211&lt;=MESES),IF(OR(OF_TIPO_2="Fija",C211&lt;=OF_ANIOS_INI_2),OF_TIN_2,MAX(0,EURIBOR+OF_DIF_2)),0)</f>
        <v/>
      </c>
      <c r="K211" s="58">
        <f>IF(AND(BANCO_OK_2,B211&lt;=MESES),IF(OR(B211=1,J211&lt;&gt;J210),PMT(J211/1200,MESES-B211+1,-N210),K210),0)</f>
        <v/>
      </c>
      <c r="L211" s="58">
        <f>N210*J211/1200</f>
        <v/>
      </c>
      <c r="M211" s="58">
        <f>IF(AND(BANCO_OK_2,B211&lt;=MESES),IF(OR(B211=MESES,K211-L211&gt;N210),N210,K211-L211),0)</f>
        <v/>
      </c>
      <c r="N211" s="58">
        <f>N210-M211</f>
        <v/>
      </c>
      <c r="O211" s="58">
        <f>IF(AND(BANCO_OK_2,B211&lt;=MESES),L211+M211+VINC_MES_2,0)</f>
        <v/>
      </c>
      <c r="P211" s="52">
        <f>IF(AND(BANCO_OK_3,B211&lt;=MESES),IF(OR(OF_TIPO_3="Fija",C211&lt;=OF_ANIOS_INI_3),OF_TIN_3,MAX(0,EURIBOR+OF_DIF_3)),0)</f>
        <v/>
      </c>
      <c r="Q211" s="58">
        <f>IF(AND(BANCO_OK_3,B211&lt;=MESES),IF(OR(B211=1,P211&lt;&gt;P210),PMT(P211/1200,MESES-B211+1,-T210),Q210),0)</f>
        <v/>
      </c>
      <c r="R211" s="58">
        <f>T210*P211/1200</f>
        <v/>
      </c>
      <c r="S211" s="58">
        <f>IF(AND(BANCO_OK_3,B211&lt;=MESES),IF(OR(B211=MESES,Q211-R211&gt;T210),T210,Q211-R211),0)</f>
        <v/>
      </c>
      <c r="T211" s="58">
        <f>T210-S211</f>
        <v/>
      </c>
      <c r="U211" s="58">
        <f>IF(AND(BANCO_OK_3,B211&lt;=MESES),R211+S211+VINC_MES_3,0)</f>
        <v/>
      </c>
      <c r="V211" s="52">
        <f>IF(AND(BANCO_OK_4,B211&lt;=MESES),IF(OR(OF_TIPO_4="Fija",C211&lt;=OF_ANIOS_INI_4),OF_TIN_4,MAX(0,EURIBOR+OF_DIF_4)),0)</f>
        <v/>
      </c>
      <c r="W211" s="58">
        <f>IF(AND(BANCO_OK_4,B211&lt;=MESES),IF(OR(B211=1,V211&lt;&gt;V210),PMT(V211/1200,MESES-B211+1,-Z210),W210),0)</f>
        <v/>
      </c>
      <c r="X211" s="58">
        <f>Z210*V211/1200</f>
        <v/>
      </c>
      <c r="Y211" s="58">
        <f>IF(AND(BANCO_OK_4,B211&lt;=MESES),IF(OR(B211=MESES,W211-X211&gt;Z210),Z210,W211-X211),0)</f>
        <v/>
      </c>
      <c r="Z211" s="58">
        <f>Z210-Y211</f>
        <v/>
      </c>
      <c r="AA211" s="58">
        <f>IF(AND(BANCO_OK_4,B211&lt;=MESES),X211+Y211+VINC_MES_4,0)</f>
        <v/>
      </c>
    </row>
    <row r="212">
      <c r="B212" s="56" t="n">
        <v>204</v>
      </c>
      <c r="C212" s="56">
        <f>ROUNDUP(B212/12,0)</f>
        <v/>
      </c>
      <c r="D212" s="52">
        <f>IF(AND(BANCO_OK_1,B212&lt;=MESES),IF(OR(OF_TIPO_1="Fija",C212&lt;=OF_ANIOS_INI_1),OF_TIN_1,MAX(0,EURIBOR+OF_DIF_1)),0)</f>
        <v/>
      </c>
      <c r="E212" s="58">
        <f>IF(AND(BANCO_OK_1,B212&lt;=MESES),IF(OR(B212=1,D212&lt;&gt;D211),PMT(D212/1200,MESES-B212+1,-H211),E211),0)</f>
        <v/>
      </c>
      <c r="F212" s="58">
        <f>H211*D212/1200</f>
        <v/>
      </c>
      <c r="G212" s="58">
        <f>IF(AND(BANCO_OK_1,B212&lt;=MESES),IF(OR(B212=MESES,E212-F212&gt;H211),H211,E212-F212),0)</f>
        <v/>
      </c>
      <c r="H212" s="58">
        <f>H211-G212</f>
        <v/>
      </c>
      <c r="I212" s="58">
        <f>IF(AND(BANCO_OK_1,B212&lt;=MESES),F212+G212+VINC_MES_1,0)</f>
        <v/>
      </c>
      <c r="J212" s="52">
        <f>IF(AND(BANCO_OK_2,B212&lt;=MESES),IF(OR(OF_TIPO_2="Fija",C212&lt;=OF_ANIOS_INI_2),OF_TIN_2,MAX(0,EURIBOR+OF_DIF_2)),0)</f>
        <v/>
      </c>
      <c r="K212" s="58">
        <f>IF(AND(BANCO_OK_2,B212&lt;=MESES),IF(OR(B212=1,J212&lt;&gt;J211),PMT(J212/1200,MESES-B212+1,-N211),K211),0)</f>
        <v/>
      </c>
      <c r="L212" s="58">
        <f>N211*J212/1200</f>
        <v/>
      </c>
      <c r="M212" s="58">
        <f>IF(AND(BANCO_OK_2,B212&lt;=MESES),IF(OR(B212=MESES,K212-L212&gt;N211),N211,K212-L212),0)</f>
        <v/>
      </c>
      <c r="N212" s="58">
        <f>N211-M212</f>
        <v/>
      </c>
      <c r="O212" s="58">
        <f>IF(AND(BANCO_OK_2,B212&lt;=MESES),L212+M212+VINC_MES_2,0)</f>
        <v/>
      </c>
      <c r="P212" s="52">
        <f>IF(AND(BANCO_OK_3,B212&lt;=MESES),IF(OR(OF_TIPO_3="Fija",C212&lt;=OF_ANIOS_INI_3),OF_TIN_3,MAX(0,EURIBOR+OF_DIF_3)),0)</f>
        <v/>
      </c>
      <c r="Q212" s="58">
        <f>IF(AND(BANCO_OK_3,B212&lt;=MESES),IF(OR(B212=1,P212&lt;&gt;P211),PMT(P212/1200,MESES-B212+1,-T211),Q211),0)</f>
        <v/>
      </c>
      <c r="R212" s="58">
        <f>T211*P212/1200</f>
        <v/>
      </c>
      <c r="S212" s="58">
        <f>IF(AND(BANCO_OK_3,B212&lt;=MESES),IF(OR(B212=MESES,Q212-R212&gt;T211),T211,Q212-R212),0)</f>
        <v/>
      </c>
      <c r="T212" s="58">
        <f>T211-S212</f>
        <v/>
      </c>
      <c r="U212" s="58">
        <f>IF(AND(BANCO_OK_3,B212&lt;=MESES),R212+S212+VINC_MES_3,0)</f>
        <v/>
      </c>
      <c r="V212" s="52">
        <f>IF(AND(BANCO_OK_4,B212&lt;=MESES),IF(OR(OF_TIPO_4="Fija",C212&lt;=OF_ANIOS_INI_4),OF_TIN_4,MAX(0,EURIBOR+OF_DIF_4)),0)</f>
        <v/>
      </c>
      <c r="W212" s="58">
        <f>IF(AND(BANCO_OK_4,B212&lt;=MESES),IF(OR(B212=1,V212&lt;&gt;V211),PMT(V212/1200,MESES-B212+1,-Z211),W211),0)</f>
        <v/>
      </c>
      <c r="X212" s="58">
        <f>Z211*V212/1200</f>
        <v/>
      </c>
      <c r="Y212" s="58">
        <f>IF(AND(BANCO_OK_4,B212&lt;=MESES),IF(OR(B212=MESES,W212-X212&gt;Z211),Z211,W212-X212),0)</f>
        <v/>
      </c>
      <c r="Z212" s="58">
        <f>Z211-Y212</f>
        <v/>
      </c>
      <c r="AA212" s="58">
        <f>IF(AND(BANCO_OK_4,B212&lt;=MESES),X212+Y212+VINC_MES_4,0)</f>
        <v/>
      </c>
    </row>
    <row r="213">
      <c r="B213" s="56" t="n">
        <v>205</v>
      </c>
      <c r="C213" s="56">
        <f>ROUNDUP(B213/12,0)</f>
        <v/>
      </c>
      <c r="D213" s="52">
        <f>IF(AND(BANCO_OK_1,B213&lt;=MESES),IF(OR(OF_TIPO_1="Fija",C213&lt;=OF_ANIOS_INI_1),OF_TIN_1,MAX(0,EURIBOR+OF_DIF_1)),0)</f>
        <v/>
      </c>
      <c r="E213" s="58">
        <f>IF(AND(BANCO_OK_1,B213&lt;=MESES),IF(OR(B213=1,D213&lt;&gt;D212),PMT(D213/1200,MESES-B213+1,-H212),E212),0)</f>
        <v/>
      </c>
      <c r="F213" s="58">
        <f>H212*D213/1200</f>
        <v/>
      </c>
      <c r="G213" s="58">
        <f>IF(AND(BANCO_OK_1,B213&lt;=MESES),IF(OR(B213=MESES,E213-F213&gt;H212),H212,E213-F213),0)</f>
        <v/>
      </c>
      <c r="H213" s="58">
        <f>H212-G213</f>
        <v/>
      </c>
      <c r="I213" s="58">
        <f>IF(AND(BANCO_OK_1,B213&lt;=MESES),F213+G213+VINC_MES_1,0)</f>
        <v/>
      </c>
      <c r="J213" s="52">
        <f>IF(AND(BANCO_OK_2,B213&lt;=MESES),IF(OR(OF_TIPO_2="Fija",C213&lt;=OF_ANIOS_INI_2),OF_TIN_2,MAX(0,EURIBOR+OF_DIF_2)),0)</f>
        <v/>
      </c>
      <c r="K213" s="58">
        <f>IF(AND(BANCO_OK_2,B213&lt;=MESES),IF(OR(B213=1,J213&lt;&gt;J212),PMT(J213/1200,MESES-B213+1,-N212),K212),0)</f>
        <v/>
      </c>
      <c r="L213" s="58">
        <f>N212*J213/1200</f>
        <v/>
      </c>
      <c r="M213" s="58">
        <f>IF(AND(BANCO_OK_2,B213&lt;=MESES),IF(OR(B213=MESES,K213-L213&gt;N212),N212,K213-L213),0)</f>
        <v/>
      </c>
      <c r="N213" s="58">
        <f>N212-M213</f>
        <v/>
      </c>
      <c r="O213" s="58">
        <f>IF(AND(BANCO_OK_2,B213&lt;=MESES),L213+M213+VINC_MES_2,0)</f>
        <v/>
      </c>
      <c r="P213" s="52">
        <f>IF(AND(BANCO_OK_3,B213&lt;=MESES),IF(OR(OF_TIPO_3="Fija",C213&lt;=OF_ANIOS_INI_3),OF_TIN_3,MAX(0,EURIBOR+OF_DIF_3)),0)</f>
        <v/>
      </c>
      <c r="Q213" s="58">
        <f>IF(AND(BANCO_OK_3,B213&lt;=MESES),IF(OR(B213=1,P213&lt;&gt;P212),PMT(P213/1200,MESES-B213+1,-T212),Q212),0)</f>
        <v/>
      </c>
      <c r="R213" s="58">
        <f>T212*P213/1200</f>
        <v/>
      </c>
      <c r="S213" s="58">
        <f>IF(AND(BANCO_OK_3,B213&lt;=MESES),IF(OR(B213=MESES,Q213-R213&gt;T212),T212,Q213-R213),0)</f>
        <v/>
      </c>
      <c r="T213" s="58">
        <f>T212-S213</f>
        <v/>
      </c>
      <c r="U213" s="58">
        <f>IF(AND(BANCO_OK_3,B213&lt;=MESES),R213+S213+VINC_MES_3,0)</f>
        <v/>
      </c>
      <c r="V213" s="52">
        <f>IF(AND(BANCO_OK_4,B213&lt;=MESES),IF(OR(OF_TIPO_4="Fija",C213&lt;=OF_ANIOS_INI_4),OF_TIN_4,MAX(0,EURIBOR+OF_DIF_4)),0)</f>
        <v/>
      </c>
      <c r="W213" s="58">
        <f>IF(AND(BANCO_OK_4,B213&lt;=MESES),IF(OR(B213=1,V213&lt;&gt;V212),PMT(V213/1200,MESES-B213+1,-Z212),W212),0)</f>
        <v/>
      </c>
      <c r="X213" s="58">
        <f>Z212*V213/1200</f>
        <v/>
      </c>
      <c r="Y213" s="58">
        <f>IF(AND(BANCO_OK_4,B213&lt;=MESES),IF(OR(B213=MESES,W213-X213&gt;Z212),Z212,W213-X213),0)</f>
        <v/>
      </c>
      <c r="Z213" s="58">
        <f>Z212-Y213</f>
        <v/>
      </c>
      <c r="AA213" s="58">
        <f>IF(AND(BANCO_OK_4,B213&lt;=MESES),X213+Y213+VINC_MES_4,0)</f>
        <v/>
      </c>
    </row>
    <row r="214">
      <c r="B214" s="56" t="n">
        <v>206</v>
      </c>
      <c r="C214" s="56">
        <f>ROUNDUP(B214/12,0)</f>
        <v/>
      </c>
      <c r="D214" s="52">
        <f>IF(AND(BANCO_OK_1,B214&lt;=MESES),IF(OR(OF_TIPO_1="Fija",C214&lt;=OF_ANIOS_INI_1),OF_TIN_1,MAX(0,EURIBOR+OF_DIF_1)),0)</f>
        <v/>
      </c>
      <c r="E214" s="58">
        <f>IF(AND(BANCO_OK_1,B214&lt;=MESES),IF(OR(B214=1,D214&lt;&gt;D213),PMT(D214/1200,MESES-B214+1,-H213),E213),0)</f>
        <v/>
      </c>
      <c r="F214" s="58">
        <f>H213*D214/1200</f>
        <v/>
      </c>
      <c r="G214" s="58">
        <f>IF(AND(BANCO_OK_1,B214&lt;=MESES),IF(OR(B214=MESES,E214-F214&gt;H213),H213,E214-F214),0)</f>
        <v/>
      </c>
      <c r="H214" s="58">
        <f>H213-G214</f>
        <v/>
      </c>
      <c r="I214" s="58">
        <f>IF(AND(BANCO_OK_1,B214&lt;=MESES),F214+G214+VINC_MES_1,0)</f>
        <v/>
      </c>
      <c r="J214" s="52">
        <f>IF(AND(BANCO_OK_2,B214&lt;=MESES),IF(OR(OF_TIPO_2="Fija",C214&lt;=OF_ANIOS_INI_2),OF_TIN_2,MAX(0,EURIBOR+OF_DIF_2)),0)</f>
        <v/>
      </c>
      <c r="K214" s="58">
        <f>IF(AND(BANCO_OK_2,B214&lt;=MESES),IF(OR(B214=1,J214&lt;&gt;J213),PMT(J214/1200,MESES-B214+1,-N213),K213),0)</f>
        <v/>
      </c>
      <c r="L214" s="58">
        <f>N213*J214/1200</f>
        <v/>
      </c>
      <c r="M214" s="58">
        <f>IF(AND(BANCO_OK_2,B214&lt;=MESES),IF(OR(B214=MESES,K214-L214&gt;N213),N213,K214-L214),0)</f>
        <v/>
      </c>
      <c r="N214" s="58">
        <f>N213-M214</f>
        <v/>
      </c>
      <c r="O214" s="58">
        <f>IF(AND(BANCO_OK_2,B214&lt;=MESES),L214+M214+VINC_MES_2,0)</f>
        <v/>
      </c>
      <c r="P214" s="52">
        <f>IF(AND(BANCO_OK_3,B214&lt;=MESES),IF(OR(OF_TIPO_3="Fija",C214&lt;=OF_ANIOS_INI_3),OF_TIN_3,MAX(0,EURIBOR+OF_DIF_3)),0)</f>
        <v/>
      </c>
      <c r="Q214" s="58">
        <f>IF(AND(BANCO_OK_3,B214&lt;=MESES),IF(OR(B214=1,P214&lt;&gt;P213),PMT(P214/1200,MESES-B214+1,-T213),Q213),0)</f>
        <v/>
      </c>
      <c r="R214" s="58">
        <f>T213*P214/1200</f>
        <v/>
      </c>
      <c r="S214" s="58">
        <f>IF(AND(BANCO_OK_3,B214&lt;=MESES),IF(OR(B214=MESES,Q214-R214&gt;T213),T213,Q214-R214),0)</f>
        <v/>
      </c>
      <c r="T214" s="58">
        <f>T213-S214</f>
        <v/>
      </c>
      <c r="U214" s="58">
        <f>IF(AND(BANCO_OK_3,B214&lt;=MESES),R214+S214+VINC_MES_3,0)</f>
        <v/>
      </c>
      <c r="V214" s="52">
        <f>IF(AND(BANCO_OK_4,B214&lt;=MESES),IF(OR(OF_TIPO_4="Fija",C214&lt;=OF_ANIOS_INI_4),OF_TIN_4,MAX(0,EURIBOR+OF_DIF_4)),0)</f>
        <v/>
      </c>
      <c r="W214" s="58">
        <f>IF(AND(BANCO_OK_4,B214&lt;=MESES),IF(OR(B214=1,V214&lt;&gt;V213),PMT(V214/1200,MESES-B214+1,-Z213),W213),0)</f>
        <v/>
      </c>
      <c r="X214" s="58">
        <f>Z213*V214/1200</f>
        <v/>
      </c>
      <c r="Y214" s="58">
        <f>IF(AND(BANCO_OK_4,B214&lt;=MESES),IF(OR(B214=MESES,W214-X214&gt;Z213),Z213,W214-X214),0)</f>
        <v/>
      </c>
      <c r="Z214" s="58">
        <f>Z213-Y214</f>
        <v/>
      </c>
      <c r="AA214" s="58">
        <f>IF(AND(BANCO_OK_4,B214&lt;=MESES),X214+Y214+VINC_MES_4,0)</f>
        <v/>
      </c>
    </row>
    <row r="215">
      <c r="B215" s="56" t="n">
        <v>207</v>
      </c>
      <c r="C215" s="56">
        <f>ROUNDUP(B215/12,0)</f>
        <v/>
      </c>
      <c r="D215" s="52">
        <f>IF(AND(BANCO_OK_1,B215&lt;=MESES),IF(OR(OF_TIPO_1="Fija",C215&lt;=OF_ANIOS_INI_1),OF_TIN_1,MAX(0,EURIBOR+OF_DIF_1)),0)</f>
        <v/>
      </c>
      <c r="E215" s="58">
        <f>IF(AND(BANCO_OK_1,B215&lt;=MESES),IF(OR(B215=1,D215&lt;&gt;D214),PMT(D215/1200,MESES-B215+1,-H214),E214),0)</f>
        <v/>
      </c>
      <c r="F215" s="58">
        <f>H214*D215/1200</f>
        <v/>
      </c>
      <c r="G215" s="58">
        <f>IF(AND(BANCO_OK_1,B215&lt;=MESES),IF(OR(B215=MESES,E215-F215&gt;H214),H214,E215-F215),0)</f>
        <v/>
      </c>
      <c r="H215" s="58">
        <f>H214-G215</f>
        <v/>
      </c>
      <c r="I215" s="58">
        <f>IF(AND(BANCO_OK_1,B215&lt;=MESES),F215+G215+VINC_MES_1,0)</f>
        <v/>
      </c>
      <c r="J215" s="52">
        <f>IF(AND(BANCO_OK_2,B215&lt;=MESES),IF(OR(OF_TIPO_2="Fija",C215&lt;=OF_ANIOS_INI_2),OF_TIN_2,MAX(0,EURIBOR+OF_DIF_2)),0)</f>
        <v/>
      </c>
      <c r="K215" s="58">
        <f>IF(AND(BANCO_OK_2,B215&lt;=MESES),IF(OR(B215=1,J215&lt;&gt;J214),PMT(J215/1200,MESES-B215+1,-N214),K214),0)</f>
        <v/>
      </c>
      <c r="L215" s="58">
        <f>N214*J215/1200</f>
        <v/>
      </c>
      <c r="M215" s="58">
        <f>IF(AND(BANCO_OK_2,B215&lt;=MESES),IF(OR(B215=MESES,K215-L215&gt;N214),N214,K215-L215),0)</f>
        <v/>
      </c>
      <c r="N215" s="58">
        <f>N214-M215</f>
        <v/>
      </c>
      <c r="O215" s="58">
        <f>IF(AND(BANCO_OK_2,B215&lt;=MESES),L215+M215+VINC_MES_2,0)</f>
        <v/>
      </c>
      <c r="P215" s="52">
        <f>IF(AND(BANCO_OK_3,B215&lt;=MESES),IF(OR(OF_TIPO_3="Fija",C215&lt;=OF_ANIOS_INI_3),OF_TIN_3,MAX(0,EURIBOR+OF_DIF_3)),0)</f>
        <v/>
      </c>
      <c r="Q215" s="58">
        <f>IF(AND(BANCO_OK_3,B215&lt;=MESES),IF(OR(B215=1,P215&lt;&gt;P214),PMT(P215/1200,MESES-B215+1,-T214),Q214),0)</f>
        <v/>
      </c>
      <c r="R215" s="58">
        <f>T214*P215/1200</f>
        <v/>
      </c>
      <c r="S215" s="58">
        <f>IF(AND(BANCO_OK_3,B215&lt;=MESES),IF(OR(B215=MESES,Q215-R215&gt;T214),T214,Q215-R215),0)</f>
        <v/>
      </c>
      <c r="T215" s="58">
        <f>T214-S215</f>
        <v/>
      </c>
      <c r="U215" s="58">
        <f>IF(AND(BANCO_OK_3,B215&lt;=MESES),R215+S215+VINC_MES_3,0)</f>
        <v/>
      </c>
      <c r="V215" s="52">
        <f>IF(AND(BANCO_OK_4,B215&lt;=MESES),IF(OR(OF_TIPO_4="Fija",C215&lt;=OF_ANIOS_INI_4),OF_TIN_4,MAX(0,EURIBOR+OF_DIF_4)),0)</f>
        <v/>
      </c>
      <c r="W215" s="58">
        <f>IF(AND(BANCO_OK_4,B215&lt;=MESES),IF(OR(B215=1,V215&lt;&gt;V214),PMT(V215/1200,MESES-B215+1,-Z214),W214),0)</f>
        <v/>
      </c>
      <c r="X215" s="58">
        <f>Z214*V215/1200</f>
        <v/>
      </c>
      <c r="Y215" s="58">
        <f>IF(AND(BANCO_OK_4,B215&lt;=MESES),IF(OR(B215=MESES,W215-X215&gt;Z214),Z214,W215-X215),0)</f>
        <v/>
      </c>
      <c r="Z215" s="58">
        <f>Z214-Y215</f>
        <v/>
      </c>
      <c r="AA215" s="58">
        <f>IF(AND(BANCO_OK_4,B215&lt;=MESES),X215+Y215+VINC_MES_4,0)</f>
        <v/>
      </c>
    </row>
    <row r="216">
      <c r="B216" s="56" t="n">
        <v>208</v>
      </c>
      <c r="C216" s="56">
        <f>ROUNDUP(B216/12,0)</f>
        <v/>
      </c>
      <c r="D216" s="52">
        <f>IF(AND(BANCO_OK_1,B216&lt;=MESES),IF(OR(OF_TIPO_1="Fija",C216&lt;=OF_ANIOS_INI_1),OF_TIN_1,MAX(0,EURIBOR+OF_DIF_1)),0)</f>
        <v/>
      </c>
      <c r="E216" s="58">
        <f>IF(AND(BANCO_OK_1,B216&lt;=MESES),IF(OR(B216=1,D216&lt;&gt;D215),PMT(D216/1200,MESES-B216+1,-H215),E215),0)</f>
        <v/>
      </c>
      <c r="F216" s="58">
        <f>H215*D216/1200</f>
        <v/>
      </c>
      <c r="G216" s="58">
        <f>IF(AND(BANCO_OK_1,B216&lt;=MESES),IF(OR(B216=MESES,E216-F216&gt;H215),H215,E216-F216),0)</f>
        <v/>
      </c>
      <c r="H216" s="58">
        <f>H215-G216</f>
        <v/>
      </c>
      <c r="I216" s="58">
        <f>IF(AND(BANCO_OK_1,B216&lt;=MESES),F216+G216+VINC_MES_1,0)</f>
        <v/>
      </c>
      <c r="J216" s="52">
        <f>IF(AND(BANCO_OK_2,B216&lt;=MESES),IF(OR(OF_TIPO_2="Fija",C216&lt;=OF_ANIOS_INI_2),OF_TIN_2,MAX(0,EURIBOR+OF_DIF_2)),0)</f>
        <v/>
      </c>
      <c r="K216" s="58">
        <f>IF(AND(BANCO_OK_2,B216&lt;=MESES),IF(OR(B216=1,J216&lt;&gt;J215),PMT(J216/1200,MESES-B216+1,-N215),K215),0)</f>
        <v/>
      </c>
      <c r="L216" s="58">
        <f>N215*J216/1200</f>
        <v/>
      </c>
      <c r="M216" s="58">
        <f>IF(AND(BANCO_OK_2,B216&lt;=MESES),IF(OR(B216=MESES,K216-L216&gt;N215),N215,K216-L216),0)</f>
        <v/>
      </c>
      <c r="N216" s="58">
        <f>N215-M216</f>
        <v/>
      </c>
      <c r="O216" s="58">
        <f>IF(AND(BANCO_OK_2,B216&lt;=MESES),L216+M216+VINC_MES_2,0)</f>
        <v/>
      </c>
      <c r="P216" s="52">
        <f>IF(AND(BANCO_OK_3,B216&lt;=MESES),IF(OR(OF_TIPO_3="Fija",C216&lt;=OF_ANIOS_INI_3),OF_TIN_3,MAX(0,EURIBOR+OF_DIF_3)),0)</f>
        <v/>
      </c>
      <c r="Q216" s="58">
        <f>IF(AND(BANCO_OK_3,B216&lt;=MESES),IF(OR(B216=1,P216&lt;&gt;P215),PMT(P216/1200,MESES-B216+1,-T215),Q215),0)</f>
        <v/>
      </c>
      <c r="R216" s="58">
        <f>T215*P216/1200</f>
        <v/>
      </c>
      <c r="S216" s="58">
        <f>IF(AND(BANCO_OK_3,B216&lt;=MESES),IF(OR(B216=MESES,Q216-R216&gt;T215),T215,Q216-R216),0)</f>
        <v/>
      </c>
      <c r="T216" s="58">
        <f>T215-S216</f>
        <v/>
      </c>
      <c r="U216" s="58">
        <f>IF(AND(BANCO_OK_3,B216&lt;=MESES),R216+S216+VINC_MES_3,0)</f>
        <v/>
      </c>
      <c r="V216" s="52">
        <f>IF(AND(BANCO_OK_4,B216&lt;=MESES),IF(OR(OF_TIPO_4="Fija",C216&lt;=OF_ANIOS_INI_4),OF_TIN_4,MAX(0,EURIBOR+OF_DIF_4)),0)</f>
        <v/>
      </c>
      <c r="W216" s="58">
        <f>IF(AND(BANCO_OK_4,B216&lt;=MESES),IF(OR(B216=1,V216&lt;&gt;V215),PMT(V216/1200,MESES-B216+1,-Z215),W215),0)</f>
        <v/>
      </c>
      <c r="X216" s="58">
        <f>Z215*V216/1200</f>
        <v/>
      </c>
      <c r="Y216" s="58">
        <f>IF(AND(BANCO_OK_4,B216&lt;=MESES),IF(OR(B216=MESES,W216-X216&gt;Z215),Z215,W216-X216),0)</f>
        <v/>
      </c>
      <c r="Z216" s="58">
        <f>Z215-Y216</f>
        <v/>
      </c>
      <c r="AA216" s="58">
        <f>IF(AND(BANCO_OK_4,B216&lt;=MESES),X216+Y216+VINC_MES_4,0)</f>
        <v/>
      </c>
    </row>
    <row r="217">
      <c r="B217" s="56" t="n">
        <v>209</v>
      </c>
      <c r="C217" s="56">
        <f>ROUNDUP(B217/12,0)</f>
        <v/>
      </c>
      <c r="D217" s="52">
        <f>IF(AND(BANCO_OK_1,B217&lt;=MESES),IF(OR(OF_TIPO_1="Fija",C217&lt;=OF_ANIOS_INI_1),OF_TIN_1,MAX(0,EURIBOR+OF_DIF_1)),0)</f>
        <v/>
      </c>
      <c r="E217" s="58">
        <f>IF(AND(BANCO_OK_1,B217&lt;=MESES),IF(OR(B217=1,D217&lt;&gt;D216),PMT(D217/1200,MESES-B217+1,-H216),E216),0)</f>
        <v/>
      </c>
      <c r="F217" s="58">
        <f>H216*D217/1200</f>
        <v/>
      </c>
      <c r="G217" s="58">
        <f>IF(AND(BANCO_OK_1,B217&lt;=MESES),IF(OR(B217=MESES,E217-F217&gt;H216),H216,E217-F217),0)</f>
        <v/>
      </c>
      <c r="H217" s="58">
        <f>H216-G217</f>
        <v/>
      </c>
      <c r="I217" s="58">
        <f>IF(AND(BANCO_OK_1,B217&lt;=MESES),F217+G217+VINC_MES_1,0)</f>
        <v/>
      </c>
      <c r="J217" s="52">
        <f>IF(AND(BANCO_OK_2,B217&lt;=MESES),IF(OR(OF_TIPO_2="Fija",C217&lt;=OF_ANIOS_INI_2),OF_TIN_2,MAX(0,EURIBOR+OF_DIF_2)),0)</f>
        <v/>
      </c>
      <c r="K217" s="58">
        <f>IF(AND(BANCO_OK_2,B217&lt;=MESES),IF(OR(B217=1,J217&lt;&gt;J216),PMT(J217/1200,MESES-B217+1,-N216),K216),0)</f>
        <v/>
      </c>
      <c r="L217" s="58">
        <f>N216*J217/1200</f>
        <v/>
      </c>
      <c r="M217" s="58">
        <f>IF(AND(BANCO_OK_2,B217&lt;=MESES),IF(OR(B217=MESES,K217-L217&gt;N216),N216,K217-L217),0)</f>
        <v/>
      </c>
      <c r="N217" s="58">
        <f>N216-M217</f>
        <v/>
      </c>
      <c r="O217" s="58">
        <f>IF(AND(BANCO_OK_2,B217&lt;=MESES),L217+M217+VINC_MES_2,0)</f>
        <v/>
      </c>
      <c r="P217" s="52">
        <f>IF(AND(BANCO_OK_3,B217&lt;=MESES),IF(OR(OF_TIPO_3="Fija",C217&lt;=OF_ANIOS_INI_3),OF_TIN_3,MAX(0,EURIBOR+OF_DIF_3)),0)</f>
        <v/>
      </c>
      <c r="Q217" s="58">
        <f>IF(AND(BANCO_OK_3,B217&lt;=MESES),IF(OR(B217=1,P217&lt;&gt;P216),PMT(P217/1200,MESES-B217+1,-T216),Q216),0)</f>
        <v/>
      </c>
      <c r="R217" s="58">
        <f>T216*P217/1200</f>
        <v/>
      </c>
      <c r="S217" s="58">
        <f>IF(AND(BANCO_OK_3,B217&lt;=MESES),IF(OR(B217=MESES,Q217-R217&gt;T216),T216,Q217-R217),0)</f>
        <v/>
      </c>
      <c r="T217" s="58">
        <f>T216-S217</f>
        <v/>
      </c>
      <c r="U217" s="58">
        <f>IF(AND(BANCO_OK_3,B217&lt;=MESES),R217+S217+VINC_MES_3,0)</f>
        <v/>
      </c>
      <c r="V217" s="52">
        <f>IF(AND(BANCO_OK_4,B217&lt;=MESES),IF(OR(OF_TIPO_4="Fija",C217&lt;=OF_ANIOS_INI_4),OF_TIN_4,MAX(0,EURIBOR+OF_DIF_4)),0)</f>
        <v/>
      </c>
      <c r="W217" s="58">
        <f>IF(AND(BANCO_OK_4,B217&lt;=MESES),IF(OR(B217=1,V217&lt;&gt;V216),PMT(V217/1200,MESES-B217+1,-Z216),W216),0)</f>
        <v/>
      </c>
      <c r="X217" s="58">
        <f>Z216*V217/1200</f>
        <v/>
      </c>
      <c r="Y217" s="58">
        <f>IF(AND(BANCO_OK_4,B217&lt;=MESES),IF(OR(B217=MESES,W217-X217&gt;Z216),Z216,W217-X217),0)</f>
        <v/>
      </c>
      <c r="Z217" s="58">
        <f>Z216-Y217</f>
        <v/>
      </c>
      <c r="AA217" s="58">
        <f>IF(AND(BANCO_OK_4,B217&lt;=MESES),X217+Y217+VINC_MES_4,0)</f>
        <v/>
      </c>
    </row>
    <row r="218">
      <c r="B218" s="56" t="n">
        <v>210</v>
      </c>
      <c r="C218" s="56">
        <f>ROUNDUP(B218/12,0)</f>
        <v/>
      </c>
      <c r="D218" s="52">
        <f>IF(AND(BANCO_OK_1,B218&lt;=MESES),IF(OR(OF_TIPO_1="Fija",C218&lt;=OF_ANIOS_INI_1),OF_TIN_1,MAX(0,EURIBOR+OF_DIF_1)),0)</f>
        <v/>
      </c>
      <c r="E218" s="58">
        <f>IF(AND(BANCO_OK_1,B218&lt;=MESES),IF(OR(B218=1,D218&lt;&gt;D217),PMT(D218/1200,MESES-B218+1,-H217),E217),0)</f>
        <v/>
      </c>
      <c r="F218" s="58">
        <f>H217*D218/1200</f>
        <v/>
      </c>
      <c r="G218" s="58">
        <f>IF(AND(BANCO_OK_1,B218&lt;=MESES),IF(OR(B218=MESES,E218-F218&gt;H217),H217,E218-F218),0)</f>
        <v/>
      </c>
      <c r="H218" s="58">
        <f>H217-G218</f>
        <v/>
      </c>
      <c r="I218" s="58">
        <f>IF(AND(BANCO_OK_1,B218&lt;=MESES),F218+G218+VINC_MES_1,0)</f>
        <v/>
      </c>
      <c r="J218" s="52">
        <f>IF(AND(BANCO_OK_2,B218&lt;=MESES),IF(OR(OF_TIPO_2="Fija",C218&lt;=OF_ANIOS_INI_2),OF_TIN_2,MAX(0,EURIBOR+OF_DIF_2)),0)</f>
        <v/>
      </c>
      <c r="K218" s="58">
        <f>IF(AND(BANCO_OK_2,B218&lt;=MESES),IF(OR(B218=1,J218&lt;&gt;J217),PMT(J218/1200,MESES-B218+1,-N217),K217),0)</f>
        <v/>
      </c>
      <c r="L218" s="58">
        <f>N217*J218/1200</f>
        <v/>
      </c>
      <c r="M218" s="58">
        <f>IF(AND(BANCO_OK_2,B218&lt;=MESES),IF(OR(B218=MESES,K218-L218&gt;N217),N217,K218-L218),0)</f>
        <v/>
      </c>
      <c r="N218" s="58">
        <f>N217-M218</f>
        <v/>
      </c>
      <c r="O218" s="58">
        <f>IF(AND(BANCO_OK_2,B218&lt;=MESES),L218+M218+VINC_MES_2,0)</f>
        <v/>
      </c>
      <c r="P218" s="52">
        <f>IF(AND(BANCO_OK_3,B218&lt;=MESES),IF(OR(OF_TIPO_3="Fija",C218&lt;=OF_ANIOS_INI_3),OF_TIN_3,MAX(0,EURIBOR+OF_DIF_3)),0)</f>
        <v/>
      </c>
      <c r="Q218" s="58">
        <f>IF(AND(BANCO_OK_3,B218&lt;=MESES),IF(OR(B218=1,P218&lt;&gt;P217),PMT(P218/1200,MESES-B218+1,-T217),Q217),0)</f>
        <v/>
      </c>
      <c r="R218" s="58">
        <f>T217*P218/1200</f>
        <v/>
      </c>
      <c r="S218" s="58">
        <f>IF(AND(BANCO_OK_3,B218&lt;=MESES),IF(OR(B218=MESES,Q218-R218&gt;T217),T217,Q218-R218),0)</f>
        <v/>
      </c>
      <c r="T218" s="58">
        <f>T217-S218</f>
        <v/>
      </c>
      <c r="U218" s="58">
        <f>IF(AND(BANCO_OK_3,B218&lt;=MESES),R218+S218+VINC_MES_3,0)</f>
        <v/>
      </c>
      <c r="V218" s="52">
        <f>IF(AND(BANCO_OK_4,B218&lt;=MESES),IF(OR(OF_TIPO_4="Fija",C218&lt;=OF_ANIOS_INI_4),OF_TIN_4,MAX(0,EURIBOR+OF_DIF_4)),0)</f>
        <v/>
      </c>
      <c r="W218" s="58">
        <f>IF(AND(BANCO_OK_4,B218&lt;=MESES),IF(OR(B218=1,V218&lt;&gt;V217),PMT(V218/1200,MESES-B218+1,-Z217),W217),0)</f>
        <v/>
      </c>
      <c r="X218" s="58">
        <f>Z217*V218/1200</f>
        <v/>
      </c>
      <c r="Y218" s="58">
        <f>IF(AND(BANCO_OK_4,B218&lt;=MESES),IF(OR(B218=MESES,W218-X218&gt;Z217),Z217,W218-X218),0)</f>
        <v/>
      </c>
      <c r="Z218" s="58">
        <f>Z217-Y218</f>
        <v/>
      </c>
      <c r="AA218" s="58">
        <f>IF(AND(BANCO_OK_4,B218&lt;=MESES),X218+Y218+VINC_MES_4,0)</f>
        <v/>
      </c>
    </row>
    <row r="219">
      <c r="B219" s="56" t="n">
        <v>211</v>
      </c>
      <c r="C219" s="56">
        <f>ROUNDUP(B219/12,0)</f>
        <v/>
      </c>
      <c r="D219" s="52">
        <f>IF(AND(BANCO_OK_1,B219&lt;=MESES),IF(OR(OF_TIPO_1="Fija",C219&lt;=OF_ANIOS_INI_1),OF_TIN_1,MAX(0,EURIBOR+OF_DIF_1)),0)</f>
        <v/>
      </c>
      <c r="E219" s="58">
        <f>IF(AND(BANCO_OK_1,B219&lt;=MESES),IF(OR(B219=1,D219&lt;&gt;D218),PMT(D219/1200,MESES-B219+1,-H218),E218),0)</f>
        <v/>
      </c>
      <c r="F219" s="58">
        <f>H218*D219/1200</f>
        <v/>
      </c>
      <c r="G219" s="58">
        <f>IF(AND(BANCO_OK_1,B219&lt;=MESES),IF(OR(B219=MESES,E219-F219&gt;H218),H218,E219-F219),0)</f>
        <v/>
      </c>
      <c r="H219" s="58">
        <f>H218-G219</f>
        <v/>
      </c>
      <c r="I219" s="58">
        <f>IF(AND(BANCO_OK_1,B219&lt;=MESES),F219+G219+VINC_MES_1,0)</f>
        <v/>
      </c>
      <c r="J219" s="52">
        <f>IF(AND(BANCO_OK_2,B219&lt;=MESES),IF(OR(OF_TIPO_2="Fija",C219&lt;=OF_ANIOS_INI_2),OF_TIN_2,MAX(0,EURIBOR+OF_DIF_2)),0)</f>
        <v/>
      </c>
      <c r="K219" s="58">
        <f>IF(AND(BANCO_OK_2,B219&lt;=MESES),IF(OR(B219=1,J219&lt;&gt;J218),PMT(J219/1200,MESES-B219+1,-N218),K218),0)</f>
        <v/>
      </c>
      <c r="L219" s="58">
        <f>N218*J219/1200</f>
        <v/>
      </c>
      <c r="M219" s="58">
        <f>IF(AND(BANCO_OK_2,B219&lt;=MESES),IF(OR(B219=MESES,K219-L219&gt;N218),N218,K219-L219),0)</f>
        <v/>
      </c>
      <c r="N219" s="58">
        <f>N218-M219</f>
        <v/>
      </c>
      <c r="O219" s="58">
        <f>IF(AND(BANCO_OK_2,B219&lt;=MESES),L219+M219+VINC_MES_2,0)</f>
        <v/>
      </c>
      <c r="P219" s="52">
        <f>IF(AND(BANCO_OK_3,B219&lt;=MESES),IF(OR(OF_TIPO_3="Fija",C219&lt;=OF_ANIOS_INI_3),OF_TIN_3,MAX(0,EURIBOR+OF_DIF_3)),0)</f>
        <v/>
      </c>
      <c r="Q219" s="58">
        <f>IF(AND(BANCO_OK_3,B219&lt;=MESES),IF(OR(B219=1,P219&lt;&gt;P218),PMT(P219/1200,MESES-B219+1,-T218),Q218),0)</f>
        <v/>
      </c>
      <c r="R219" s="58">
        <f>T218*P219/1200</f>
        <v/>
      </c>
      <c r="S219" s="58">
        <f>IF(AND(BANCO_OK_3,B219&lt;=MESES),IF(OR(B219=MESES,Q219-R219&gt;T218),T218,Q219-R219),0)</f>
        <v/>
      </c>
      <c r="T219" s="58">
        <f>T218-S219</f>
        <v/>
      </c>
      <c r="U219" s="58">
        <f>IF(AND(BANCO_OK_3,B219&lt;=MESES),R219+S219+VINC_MES_3,0)</f>
        <v/>
      </c>
      <c r="V219" s="52">
        <f>IF(AND(BANCO_OK_4,B219&lt;=MESES),IF(OR(OF_TIPO_4="Fija",C219&lt;=OF_ANIOS_INI_4),OF_TIN_4,MAX(0,EURIBOR+OF_DIF_4)),0)</f>
        <v/>
      </c>
      <c r="W219" s="58">
        <f>IF(AND(BANCO_OK_4,B219&lt;=MESES),IF(OR(B219=1,V219&lt;&gt;V218),PMT(V219/1200,MESES-B219+1,-Z218),W218),0)</f>
        <v/>
      </c>
      <c r="X219" s="58">
        <f>Z218*V219/1200</f>
        <v/>
      </c>
      <c r="Y219" s="58">
        <f>IF(AND(BANCO_OK_4,B219&lt;=MESES),IF(OR(B219=MESES,W219-X219&gt;Z218),Z218,W219-X219),0)</f>
        <v/>
      </c>
      <c r="Z219" s="58">
        <f>Z218-Y219</f>
        <v/>
      </c>
      <c r="AA219" s="58">
        <f>IF(AND(BANCO_OK_4,B219&lt;=MESES),X219+Y219+VINC_MES_4,0)</f>
        <v/>
      </c>
    </row>
    <row r="220">
      <c r="B220" s="56" t="n">
        <v>212</v>
      </c>
      <c r="C220" s="56">
        <f>ROUNDUP(B220/12,0)</f>
        <v/>
      </c>
      <c r="D220" s="52">
        <f>IF(AND(BANCO_OK_1,B220&lt;=MESES),IF(OR(OF_TIPO_1="Fija",C220&lt;=OF_ANIOS_INI_1),OF_TIN_1,MAX(0,EURIBOR+OF_DIF_1)),0)</f>
        <v/>
      </c>
      <c r="E220" s="58">
        <f>IF(AND(BANCO_OK_1,B220&lt;=MESES),IF(OR(B220=1,D220&lt;&gt;D219),PMT(D220/1200,MESES-B220+1,-H219),E219),0)</f>
        <v/>
      </c>
      <c r="F220" s="58">
        <f>H219*D220/1200</f>
        <v/>
      </c>
      <c r="G220" s="58">
        <f>IF(AND(BANCO_OK_1,B220&lt;=MESES),IF(OR(B220=MESES,E220-F220&gt;H219),H219,E220-F220),0)</f>
        <v/>
      </c>
      <c r="H220" s="58">
        <f>H219-G220</f>
        <v/>
      </c>
      <c r="I220" s="58">
        <f>IF(AND(BANCO_OK_1,B220&lt;=MESES),F220+G220+VINC_MES_1,0)</f>
        <v/>
      </c>
      <c r="J220" s="52">
        <f>IF(AND(BANCO_OK_2,B220&lt;=MESES),IF(OR(OF_TIPO_2="Fija",C220&lt;=OF_ANIOS_INI_2),OF_TIN_2,MAX(0,EURIBOR+OF_DIF_2)),0)</f>
        <v/>
      </c>
      <c r="K220" s="58">
        <f>IF(AND(BANCO_OK_2,B220&lt;=MESES),IF(OR(B220=1,J220&lt;&gt;J219),PMT(J220/1200,MESES-B220+1,-N219),K219),0)</f>
        <v/>
      </c>
      <c r="L220" s="58">
        <f>N219*J220/1200</f>
        <v/>
      </c>
      <c r="M220" s="58">
        <f>IF(AND(BANCO_OK_2,B220&lt;=MESES),IF(OR(B220=MESES,K220-L220&gt;N219),N219,K220-L220),0)</f>
        <v/>
      </c>
      <c r="N220" s="58">
        <f>N219-M220</f>
        <v/>
      </c>
      <c r="O220" s="58">
        <f>IF(AND(BANCO_OK_2,B220&lt;=MESES),L220+M220+VINC_MES_2,0)</f>
        <v/>
      </c>
      <c r="P220" s="52">
        <f>IF(AND(BANCO_OK_3,B220&lt;=MESES),IF(OR(OF_TIPO_3="Fija",C220&lt;=OF_ANIOS_INI_3),OF_TIN_3,MAX(0,EURIBOR+OF_DIF_3)),0)</f>
        <v/>
      </c>
      <c r="Q220" s="58">
        <f>IF(AND(BANCO_OK_3,B220&lt;=MESES),IF(OR(B220=1,P220&lt;&gt;P219),PMT(P220/1200,MESES-B220+1,-T219),Q219),0)</f>
        <v/>
      </c>
      <c r="R220" s="58">
        <f>T219*P220/1200</f>
        <v/>
      </c>
      <c r="S220" s="58">
        <f>IF(AND(BANCO_OK_3,B220&lt;=MESES),IF(OR(B220=MESES,Q220-R220&gt;T219),T219,Q220-R220),0)</f>
        <v/>
      </c>
      <c r="T220" s="58">
        <f>T219-S220</f>
        <v/>
      </c>
      <c r="U220" s="58">
        <f>IF(AND(BANCO_OK_3,B220&lt;=MESES),R220+S220+VINC_MES_3,0)</f>
        <v/>
      </c>
      <c r="V220" s="52">
        <f>IF(AND(BANCO_OK_4,B220&lt;=MESES),IF(OR(OF_TIPO_4="Fija",C220&lt;=OF_ANIOS_INI_4),OF_TIN_4,MAX(0,EURIBOR+OF_DIF_4)),0)</f>
        <v/>
      </c>
      <c r="W220" s="58">
        <f>IF(AND(BANCO_OK_4,B220&lt;=MESES),IF(OR(B220=1,V220&lt;&gt;V219),PMT(V220/1200,MESES-B220+1,-Z219),W219),0)</f>
        <v/>
      </c>
      <c r="X220" s="58">
        <f>Z219*V220/1200</f>
        <v/>
      </c>
      <c r="Y220" s="58">
        <f>IF(AND(BANCO_OK_4,B220&lt;=MESES),IF(OR(B220=MESES,W220-X220&gt;Z219),Z219,W220-X220),0)</f>
        <v/>
      </c>
      <c r="Z220" s="58">
        <f>Z219-Y220</f>
        <v/>
      </c>
      <c r="AA220" s="58">
        <f>IF(AND(BANCO_OK_4,B220&lt;=MESES),X220+Y220+VINC_MES_4,0)</f>
        <v/>
      </c>
    </row>
    <row r="221">
      <c r="B221" s="56" t="n">
        <v>213</v>
      </c>
      <c r="C221" s="56">
        <f>ROUNDUP(B221/12,0)</f>
        <v/>
      </c>
      <c r="D221" s="52">
        <f>IF(AND(BANCO_OK_1,B221&lt;=MESES),IF(OR(OF_TIPO_1="Fija",C221&lt;=OF_ANIOS_INI_1),OF_TIN_1,MAX(0,EURIBOR+OF_DIF_1)),0)</f>
        <v/>
      </c>
      <c r="E221" s="58">
        <f>IF(AND(BANCO_OK_1,B221&lt;=MESES),IF(OR(B221=1,D221&lt;&gt;D220),PMT(D221/1200,MESES-B221+1,-H220),E220),0)</f>
        <v/>
      </c>
      <c r="F221" s="58">
        <f>H220*D221/1200</f>
        <v/>
      </c>
      <c r="G221" s="58">
        <f>IF(AND(BANCO_OK_1,B221&lt;=MESES),IF(OR(B221=MESES,E221-F221&gt;H220),H220,E221-F221),0)</f>
        <v/>
      </c>
      <c r="H221" s="58">
        <f>H220-G221</f>
        <v/>
      </c>
      <c r="I221" s="58">
        <f>IF(AND(BANCO_OK_1,B221&lt;=MESES),F221+G221+VINC_MES_1,0)</f>
        <v/>
      </c>
      <c r="J221" s="52">
        <f>IF(AND(BANCO_OK_2,B221&lt;=MESES),IF(OR(OF_TIPO_2="Fija",C221&lt;=OF_ANIOS_INI_2),OF_TIN_2,MAX(0,EURIBOR+OF_DIF_2)),0)</f>
        <v/>
      </c>
      <c r="K221" s="58">
        <f>IF(AND(BANCO_OK_2,B221&lt;=MESES),IF(OR(B221=1,J221&lt;&gt;J220),PMT(J221/1200,MESES-B221+1,-N220),K220),0)</f>
        <v/>
      </c>
      <c r="L221" s="58">
        <f>N220*J221/1200</f>
        <v/>
      </c>
      <c r="M221" s="58">
        <f>IF(AND(BANCO_OK_2,B221&lt;=MESES),IF(OR(B221=MESES,K221-L221&gt;N220),N220,K221-L221),0)</f>
        <v/>
      </c>
      <c r="N221" s="58">
        <f>N220-M221</f>
        <v/>
      </c>
      <c r="O221" s="58">
        <f>IF(AND(BANCO_OK_2,B221&lt;=MESES),L221+M221+VINC_MES_2,0)</f>
        <v/>
      </c>
      <c r="P221" s="52">
        <f>IF(AND(BANCO_OK_3,B221&lt;=MESES),IF(OR(OF_TIPO_3="Fija",C221&lt;=OF_ANIOS_INI_3),OF_TIN_3,MAX(0,EURIBOR+OF_DIF_3)),0)</f>
        <v/>
      </c>
      <c r="Q221" s="58">
        <f>IF(AND(BANCO_OK_3,B221&lt;=MESES),IF(OR(B221=1,P221&lt;&gt;P220),PMT(P221/1200,MESES-B221+1,-T220),Q220),0)</f>
        <v/>
      </c>
      <c r="R221" s="58">
        <f>T220*P221/1200</f>
        <v/>
      </c>
      <c r="S221" s="58">
        <f>IF(AND(BANCO_OK_3,B221&lt;=MESES),IF(OR(B221=MESES,Q221-R221&gt;T220),T220,Q221-R221),0)</f>
        <v/>
      </c>
      <c r="T221" s="58">
        <f>T220-S221</f>
        <v/>
      </c>
      <c r="U221" s="58">
        <f>IF(AND(BANCO_OK_3,B221&lt;=MESES),R221+S221+VINC_MES_3,0)</f>
        <v/>
      </c>
      <c r="V221" s="52">
        <f>IF(AND(BANCO_OK_4,B221&lt;=MESES),IF(OR(OF_TIPO_4="Fija",C221&lt;=OF_ANIOS_INI_4),OF_TIN_4,MAX(0,EURIBOR+OF_DIF_4)),0)</f>
        <v/>
      </c>
      <c r="W221" s="58">
        <f>IF(AND(BANCO_OK_4,B221&lt;=MESES),IF(OR(B221=1,V221&lt;&gt;V220),PMT(V221/1200,MESES-B221+1,-Z220),W220),0)</f>
        <v/>
      </c>
      <c r="X221" s="58">
        <f>Z220*V221/1200</f>
        <v/>
      </c>
      <c r="Y221" s="58">
        <f>IF(AND(BANCO_OK_4,B221&lt;=MESES),IF(OR(B221=MESES,W221-X221&gt;Z220),Z220,W221-X221),0)</f>
        <v/>
      </c>
      <c r="Z221" s="58">
        <f>Z220-Y221</f>
        <v/>
      </c>
      <c r="AA221" s="58">
        <f>IF(AND(BANCO_OK_4,B221&lt;=MESES),X221+Y221+VINC_MES_4,0)</f>
        <v/>
      </c>
    </row>
    <row r="222">
      <c r="B222" s="56" t="n">
        <v>214</v>
      </c>
      <c r="C222" s="56">
        <f>ROUNDUP(B222/12,0)</f>
        <v/>
      </c>
      <c r="D222" s="52">
        <f>IF(AND(BANCO_OK_1,B222&lt;=MESES),IF(OR(OF_TIPO_1="Fija",C222&lt;=OF_ANIOS_INI_1),OF_TIN_1,MAX(0,EURIBOR+OF_DIF_1)),0)</f>
        <v/>
      </c>
      <c r="E222" s="58">
        <f>IF(AND(BANCO_OK_1,B222&lt;=MESES),IF(OR(B222=1,D222&lt;&gt;D221),PMT(D222/1200,MESES-B222+1,-H221),E221),0)</f>
        <v/>
      </c>
      <c r="F222" s="58">
        <f>H221*D222/1200</f>
        <v/>
      </c>
      <c r="G222" s="58">
        <f>IF(AND(BANCO_OK_1,B222&lt;=MESES),IF(OR(B222=MESES,E222-F222&gt;H221),H221,E222-F222),0)</f>
        <v/>
      </c>
      <c r="H222" s="58">
        <f>H221-G222</f>
        <v/>
      </c>
      <c r="I222" s="58">
        <f>IF(AND(BANCO_OK_1,B222&lt;=MESES),F222+G222+VINC_MES_1,0)</f>
        <v/>
      </c>
      <c r="J222" s="52">
        <f>IF(AND(BANCO_OK_2,B222&lt;=MESES),IF(OR(OF_TIPO_2="Fija",C222&lt;=OF_ANIOS_INI_2),OF_TIN_2,MAX(0,EURIBOR+OF_DIF_2)),0)</f>
        <v/>
      </c>
      <c r="K222" s="58">
        <f>IF(AND(BANCO_OK_2,B222&lt;=MESES),IF(OR(B222=1,J222&lt;&gt;J221),PMT(J222/1200,MESES-B222+1,-N221),K221),0)</f>
        <v/>
      </c>
      <c r="L222" s="58">
        <f>N221*J222/1200</f>
        <v/>
      </c>
      <c r="M222" s="58">
        <f>IF(AND(BANCO_OK_2,B222&lt;=MESES),IF(OR(B222=MESES,K222-L222&gt;N221),N221,K222-L222),0)</f>
        <v/>
      </c>
      <c r="N222" s="58">
        <f>N221-M222</f>
        <v/>
      </c>
      <c r="O222" s="58">
        <f>IF(AND(BANCO_OK_2,B222&lt;=MESES),L222+M222+VINC_MES_2,0)</f>
        <v/>
      </c>
      <c r="P222" s="52">
        <f>IF(AND(BANCO_OK_3,B222&lt;=MESES),IF(OR(OF_TIPO_3="Fija",C222&lt;=OF_ANIOS_INI_3),OF_TIN_3,MAX(0,EURIBOR+OF_DIF_3)),0)</f>
        <v/>
      </c>
      <c r="Q222" s="58">
        <f>IF(AND(BANCO_OK_3,B222&lt;=MESES),IF(OR(B222=1,P222&lt;&gt;P221),PMT(P222/1200,MESES-B222+1,-T221),Q221),0)</f>
        <v/>
      </c>
      <c r="R222" s="58">
        <f>T221*P222/1200</f>
        <v/>
      </c>
      <c r="S222" s="58">
        <f>IF(AND(BANCO_OK_3,B222&lt;=MESES),IF(OR(B222=MESES,Q222-R222&gt;T221),T221,Q222-R222),0)</f>
        <v/>
      </c>
      <c r="T222" s="58">
        <f>T221-S222</f>
        <v/>
      </c>
      <c r="U222" s="58">
        <f>IF(AND(BANCO_OK_3,B222&lt;=MESES),R222+S222+VINC_MES_3,0)</f>
        <v/>
      </c>
      <c r="V222" s="52">
        <f>IF(AND(BANCO_OK_4,B222&lt;=MESES),IF(OR(OF_TIPO_4="Fija",C222&lt;=OF_ANIOS_INI_4),OF_TIN_4,MAX(0,EURIBOR+OF_DIF_4)),0)</f>
        <v/>
      </c>
      <c r="W222" s="58">
        <f>IF(AND(BANCO_OK_4,B222&lt;=MESES),IF(OR(B222=1,V222&lt;&gt;V221),PMT(V222/1200,MESES-B222+1,-Z221),W221),0)</f>
        <v/>
      </c>
      <c r="X222" s="58">
        <f>Z221*V222/1200</f>
        <v/>
      </c>
      <c r="Y222" s="58">
        <f>IF(AND(BANCO_OK_4,B222&lt;=MESES),IF(OR(B222=MESES,W222-X222&gt;Z221),Z221,W222-X222),0)</f>
        <v/>
      </c>
      <c r="Z222" s="58">
        <f>Z221-Y222</f>
        <v/>
      </c>
      <c r="AA222" s="58">
        <f>IF(AND(BANCO_OK_4,B222&lt;=MESES),X222+Y222+VINC_MES_4,0)</f>
        <v/>
      </c>
    </row>
    <row r="223">
      <c r="B223" s="56" t="n">
        <v>215</v>
      </c>
      <c r="C223" s="56">
        <f>ROUNDUP(B223/12,0)</f>
        <v/>
      </c>
      <c r="D223" s="52">
        <f>IF(AND(BANCO_OK_1,B223&lt;=MESES),IF(OR(OF_TIPO_1="Fija",C223&lt;=OF_ANIOS_INI_1),OF_TIN_1,MAX(0,EURIBOR+OF_DIF_1)),0)</f>
        <v/>
      </c>
      <c r="E223" s="58">
        <f>IF(AND(BANCO_OK_1,B223&lt;=MESES),IF(OR(B223=1,D223&lt;&gt;D222),PMT(D223/1200,MESES-B223+1,-H222),E222),0)</f>
        <v/>
      </c>
      <c r="F223" s="58">
        <f>H222*D223/1200</f>
        <v/>
      </c>
      <c r="G223" s="58">
        <f>IF(AND(BANCO_OK_1,B223&lt;=MESES),IF(OR(B223=MESES,E223-F223&gt;H222),H222,E223-F223),0)</f>
        <v/>
      </c>
      <c r="H223" s="58">
        <f>H222-G223</f>
        <v/>
      </c>
      <c r="I223" s="58">
        <f>IF(AND(BANCO_OK_1,B223&lt;=MESES),F223+G223+VINC_MES_1,0)</f>
        <v/>
      </c>
      <c r="J223" s="52">
        <f>IF(AND(BANCO_OK_2,B223&lt;=MESES),IF(OR(OF_TIPO_2="Fija",C223&lt;=OF_ANIOS_INI_2),OF_TIN_2,MAX(0,EURIBOR+OF_DIF_2)),0)</f>
        <v/>
      </c>
      <c r="K223" s="58">
        <f>IF(AND(BANCO_OK_2,B223&lt;=MESES),IF(OR(B223=1,J223&lt;&gt;J222),PMT(J223/1200,MESES-B223+1,-N222),K222),0)</f>
        <v/>
      </c>
      <c r="L223" s="58">
        <f>N222*J223/1200</f>
        <v/>
      </c>
      <c r="M223" s="58">
        <f>IF(AND(BANCO_OK_2,B223&lt;=MESES),IF(OR(B223=MESES,K223-L223&gt;N222),N222,K223-L223),0)</f>
        <v/>
      </c>
      <c r="N223" s="58">
        <f>N222-M223</f>
        <v/>
      </c>
      <c r="O223" s="58">
        <f>IF(AND(BANCO_OK_2,B223&lt;=MESES),L223+M223+VINC_MES_2,0)</f>
        <v/>
      </c>
      <c r="P223" s="52">
        <f>IF(AND(BANCO_OK_3,B223&lt;=MESES),IF(OR(OF_TIPO_3="Fija",C223&lt;=OF_ANIOS_INI_3),OF_TIN_3,MAX(0,EURIBOR+OF_DIF_3)),0)</f>
        <v/>
      </c>
      <c r="Q223" s="58">
        <f>IF(AND(BANCO_OK_3,B223&lt;=MESES),IF(OR(B223=1,P223&lt;&gt;P222),PMT(P223/1200,MESES-B223+1,-T222),Q222),0)</f>
        <v/>
      </c>
      <c r="R223" s="58">
        <f>T222*P223/1200</f>
        <v/>
      </c>
      <c r="S223" s="58">
        <f>IF(AND(BANCO_OK_3,B223&lt;=MESES),IF(OR(B223=MESES,Q223-R223&gt;T222),T222,Q223-R223),0)</f>
        <v/>
      </c>
      <c r="T223" s="58">
        <f>T222-S223</f>
        <v/>
      </c>
      <c r="U223" s="58">
        <f>IF(AND(BANCO_OK_3,B223&lt;=MESES),R223+S223+VINC_MES_3,0)</f>
        <v/>
      </c>
      <c r="V223" s="52">
        <f>IF(AND(BANCO_OK_4,B223&lt;=MESES),IF(OR(OF_TIPO_4="Fija",C223&lt;=OF_ANIOS_INI_4),OF_TIN_4,MAX(0,EURIBOR+OF_DIF_4)),0)</f>
        <v/>
      </c>
      <c r="W223" s="58">
        <f>IF(AND(BANCO_OK_4,B223&lt;=MESES),IF(OR(B223=1,V223&lt;&gt;V222),PMT(V223/1200,MESES-B223+1,-Z222),W222),0)</f>
        <v/>
      </c>
      <c r="X223" s="58">
        <f>Z222*V223/1200</f>
        <v/>
      </c>
      <c r="Y223" s="58">
        <f>IF(AND(BANCO_OK_4,B223&lt;=MESES),IF(OR(B223=MESES,W223-X223&gt;Z222),Z222,W223-X223),0)</f>
        <v/>
      </c>
      <c r="Z223" s="58">
        <f>Z222-Y223</f>
        <v/>
      </c>
      <c r="AA223" s="58">
        <f>IF(AND(BANCO_OK_4,B223&lt;=MESES),X223+Y223+VINC_MES_4,0)</f>
        <v/>
      </c>
    </row>
    <row r="224">
      <c r="B224" s="56" t="n">
        <v>216</v>
      </c>
      <c r="C224" s="56">
        <f>ROUNDUP(B224/12,0)</f>
        <v/>
      </c>
      <c r="D224" s="52">
        <f>IF(AND(BANCO_OK_1,B224&lt;=MESES),IF(OR(OF_TIPO_1="Fija",C224&lt;=OF_ANIOS_INI_1),OF_TIN_1,MAX(0,EURIBOR+OF_DIF_1)),0)</f>
        <v/>
      </c>
      <c r="E224" s="58">
        <f>IF(AND(BANCO_OK_1,B224&lt;=MESES),IF(OR(B224=1,D224&lt;&gt;D223),PMT(D224/1200,MESES-B224+1,-H223),E223),0)</f>
        <v/>
      </c>
      <c r="F224" s="58">
        <f>H223*D224/1200</f>
        <v/>
      </c>
      <c r="G224" s="58">
        <f>IF(AND(BANCO_OK_1,B224&lt;=MESES),IF(OR(B224=MESES,E224-F224&gt;H223),H223,E224-F224),0)</f>
        <v/>
      </c>
      <c r="H224" s="58">
        <f>H223-G224</f>
        <v/>
      </c>
      <c r="I224" s="58">
        <f>IF(AND(BANCO_OK_1,B224&lt;=MESES),F224+G224+VINC_MES_1,0)</f>
        <v/>
      </c>
      <c r="J224" s="52">
        <f>IF(AND(BANCO_OK_2,B224&lt;=MESES),IF(OR(OF_TIPO_2="Fija",C224&lt;=OF_ANIOS_INI_2),OF_TIN_2,MAX(0,EURIBOR+OF_DIF_2)),0)</f>
        <v/>
      </c>
      <c r="K224" s="58">
        <f>IF(AND(BANCO_OK_2,B224&lt;=MESES),IF(OR(B224=1,J224&lt;&gt;J223),PMT(J224/1200,MESES-B224+1,-N223),K223),0)</f>
        <v/>
      </c>
      <c r="L224" s="58">
        <f>N223*J224/1200</f>
        <v/>
      </c>
      <c r="M224" s="58">
        <f>IF(AND(BANCO_OK_2,B224&lt;=MESES),IF(OR(B224=MESES,K224-L224&gt;N223),N223,K224-L224),0)</f>
        <v/>
      </c>
      <c r="N224" s="58">
        <f>N223-M224</f>
        <v/>
      </c>
      <c r="O224" s="58">
        <f>IF(AND(BANCO_OK_2,B224&lt;=MESES),L224+M224+VINC_MES_2,0)</f>
        <v/>
      </c>
      <c r="P224" s="52">
        <f>IF(AND(BANCO_OK_3,B224&lt;=MESES),IF(OR(OF_TIPO_3="Fija",C224&lt;=OF_ANIOS_INI_3),OF_TIN_3,MAX(0,EURIBOR+OF_DIF_3)),0)</f>
        <v/>
      </c>
      <c r="Q224" s="58">
        <f>IF(AND(BANCO_OK_3,B224&lt;=MESES),IF(OR(B224=1,P224&lt;&gt;P223),PMT(P224/1200,MESES-B224+1,-T223),Q223),0)</f>
        <v/>
      </c>
      <c r="R224" s="58">
        <f>T223*P224/1200</f>
        <v/>
      </c>
      <c r="S224" s="58">
        <f>IF(AND(BANCO_OK_3,B224&lt;=MESES),IF(OR(B224=MESES,Q224-R224&gt;T223),T223,Q224-R224),0)</f>
        <v/>
      </c>
      <c r="T224" s="58">
        <f>T223-S224</f>
        <v/>
      </c>
      <c r="U224" s="58">
        <f>IF(AND(BANCO_OK_3,B224&lt;=MESES),R224+S224+VINC_MES_3,0)</f>
        <v/>
      </c>
      <c r="V224" s="52">
        <f>IF(AND(BANCO_OK_4,B224&lt;=MESES),IF(OR(OF_TIPO_4="Fija",C224&lt;=OF_ANIOS_INI_4),OF_TIN_4,MAX(0,EURIBOR+OF_DIF_4)),0)</f>
        <v/>
      </c>
      <c r="W224" s="58">
        <f>IF(AND(BANCO_OK_4,B224&lt;=MESES),IF(OR(B224=1,V224&lt;&gt;V223),PMT(V224/1200,MESES-B224+1,-Z223),W223),0)</f>
        <v/>
      </c>
      <c r="X224" s="58">
        <f>Z223*V224/1200</f>
        <v/>
      </c>
      <c r="Y224" s="58">
        <f>IF(AND(BANCO_OK_4,B224&lt;=MESES),IF(OR(B224=MESES,W224-X224&gt;Z223),Z223,W224-X224),0)</f>
        <v/>
      </c>
      <c r="Z224" s="58">
        <f>Z223-Y224</f>
        <v/>
      </c>
      <c r="AA224" s="58">
        <f>IF(AND(BANCO_OK_4,B224&lt;=MESES),X224+Y224+VINC_MES_4,0)</f>
        <v/>
      </c>
    </row>
    <row r="225">
      <c r="B225" s="56" t="n">
        <v>217</v>
      </c>
      <c r="C225" s="56">
        <f>ROUNDUP(B225/12,0)</f>
        <v/>
      </c>
      <c r="D225" s="52">
        <f>IF(AND(BANCO_OK_1,B225&lt;=MESES),IF(OR(OF_TIPO_1="Fija",C225&lt;=OF_ANIOS_INI_1),OF_TIN_1,MAX(0,EURIBOR+OF_DIF_1)),0)</f>
        <v/>
      </c>
      <c r="E225" s="58">
        <f>IF(AND(BANCO_OK_1,B225&lt;=MESES),IF(OR(B225=1,D225&lt;&gt;D224),PMT(D225/1200,MESES-B225+1,-H224),E224),0)</f>
        <v/>
      </c>
      <c r="F225" s="58">
        <f>H224*D225/1200</f>
        <v/>
      </c>
      <c r="G225" s="58">
        <f>IF(AND(BANCO_OK_1,B225&lt;=MESES),IF(OR(B225=MESES,E225-F225&gt;H224),H224,E225-F225),0)</f>
        <v/>
      </c>
      <c r="H225" s="58">
        <f>H224-G225</f>
        <v/>
      </c>
      <c r="I225" s="58">
        <f>IF(AND(BANCO_OK_1,B225&lt;=MESES),F225+G225+VINC_MES_1,0)</f>
        <v/>
      </c>
      <c r="J225" s="52">
        <f>IF(AND(BANCO_OK_2,B225&lt;=MESES),IF(OR(OF_TIPO_2="Fija",C225&lt;=OF_ANIOS_INI_2),OF_TIN_2,MAX(0,EURIBOR+OF_DIF_2)),0)</f>
        <v/>
      </c>
      <c r="K225" s="58">
        <f>IF(AND(BANCO_OK_2,B225&lt;=MESES),IF(OR(B225=1,J225&lt;&gt;J224),PMT(J225/1200,MESES-B225+1,-N224),K224),0)</f>
        <v/>
      </c>
      <c r="L225" s="58">
        <f>N224*J225/1200</f>
        <v/>
      </c>
      <c r="M225" s="58">
        <f>IF(AND(BANCO_OK_2,B225&lt;=MESES),IF(OR(B225=MESES,K225-L225&gt;N224),N224,K225-L225),0)</f>
        <v/>
      </c>
      <c r="N225" s="58">
        <f>N224-M225</f>
        <v/>
      </c>
      <c r="O225" s="58">
        <f>IF(AND(BANCO_OK_2,B225&lt;=MESES),L225+M225+VINC_MES_2,0)</f>
        <v/>
      </c>
      <c r="P225" s="52">
        <f>IF(AND(BANCO_OK_3,B225&lt;=MESES),IF(OR(OF_TIPO_3="Fija",C225&lt;=OF_ANIOS_INI_3),OF_TIN_3,MAX(0,EURIBOR+OF_DIF_3)),0)</f>
        <v/>
      </c>
      <c r="Q225" s="58">
        <f>IF(AND(BANCO_OK_3,B225&lt;=MESES),IF(OR(B225=1,P225&lt;&gt;P224),PMT(P225/1200,MESES-B225+1,-T224),Q224),0)</f>
        <v/>
      </c>
      <c r="R225" s="58">
        <f>T224*P225/1200</f>
        <v/>
      </c>
      <c r="S225" s="58">
        <f>IF(AND(BANCO_OK_3,B225&lt;=MESES),IF(OR(B225=MESES,Q225-R225&gt;T224),T224,Q225-R225),0)</f>
        <v/>
      </c>
      <c r="T225" s="58">
        <f>T224-S225</f>
        <v/>
      </c>
      <c r="U225" s="58">
        <f>IF(AND(BANCO_OK_3,B225&lt;=MESES),R225+S225+VINC_MES_3,0)</f>
        <v/>
      </c>
      <c r="V225" s="52">
        <f>IF(AND(BANCO_OK_4,B225&lt;=MESES),IF(OR(OF_TIPO_4="Fija",C225&lt;=OF_ANIOS_INI_4),OF_TIN_4,MAX(0,EURIBOR+OF_DIF_4)),0)</f>
        <v/>
      </c>
      <c r="W225" s="58">
        <f>IF(AND(BANCO_OK_4,B225&lt;=MESES),IF(OR(B225=1,V225&lt;&gt;V224),PMT(V225/1200,MESES-B225+1,-Z224),W224),0)</f>
        <v/>
      </c>
      <c r="X225" s="58">
        <f>Z224*V225/1200</f>
        <v/>
      </c>
      <c r="Y225" s="58">
        <f>IF(AND(BANCO_OK_4,B225&lt;=MESES),IF(OR(B225=MESES,W225-X225&gt;Z224),Z224,W225-X225),0)</f>
        <v/>
      </c>
      <c r="Z225" s="58">
        <f>Z224-Y225</f>
        <v/>
      </c>
      <c r="AA225" s="58">
        <f>IF(AND(BANCO_OK_4,B225&lt;=MESES),X225+Y225+VINC_MES_4,0)</f>
        <v/>
      </c>
    </row>
    <row r="226">
      <c r="B226" s="56" t="n">
        <v>218</v>
      </c>
      <c r="C226" s="56">
        <f>ROUNDUP(B226/12,0)</f>
        <v/>
      </c>
      <c r="D226" s="52">
        <f>IF(AND(BANCO_OK_1,B226&lt;=MESES),IF(OR(OF_TIPO_1="Fija",C226&lt;=OF_ANIOS_INI_1),OF_TIN_1,MAX(0,EURIBOR+OF_DIF_1)),0)</f>
        <v/>
      </c>
      <c r="E226" s="58">
        <f>IF(AND(BANCO_OK_1,B226&lt;=MESES),IF(OR(B226=1,D226&lt;&gt;D225),PMT(D226/1200,MESES-B226+1,-H225),E225),0)</f>
        <v/>
      </c>
      <c r="F226" s="58">
        <f>H225*D226/1200</f>
        <v/>
      </c>
      <c r="G226" s="58">
        <f>IF(AND(BANCO_OK_1,B226&lt;=MESES),IF(OR(B226=MESES,E226-F226&gt;H225),H225,E226-F226),0)</f>
        <v/>
      </c>
      <c r="H226" s="58">
        <f>H225-G226</f>
        <v/>
      </c>
      <c r="I226" s="58">
        <f>IF(AND(BANCO_OK_1,B226&lt;=MESES),F226+G226+VINC_MES_1,0)</f>
        <v/>
      </c>
      <c r="J226" s="52">
        <f>IF(AND(BANCO_OK_2,B226&lt;=MESES),IF(OR(OF_TIPO_2="Fija",C226&lt;=OF_ANIOS_INI_2),OF_TIN_2,MAX(0,EURIBOR+OF_DIF_2)),0)</f>
        <v/>
      </c>
      <c r="K226" s="58">
        <f>IF(AND(BANCO_OK_2,B226&lt;=MESES),IF(OR(B226=1,J226&lt;&gt;J225),PMT(J226/1200,MESES-B226+1,-N225),K225),0)</f>
        <v/>
      </c>
      <c r="L226" s="58">
        <f>N225*J226/1200</f>
        <v/>
      </c>
      <c r="M226" s="58">
        <f>IF(AND(BANCO_OK_2,B226&lt;=MESES),IF(OR(B226=MESES,K226-L226&gt;N225),N225,K226-L226),0)</f>
        <v/>
      </c>
      <c r="N226" s="58">
        <f>N225-M226</f>
        <v/>
      </c>
      <c r="O226" s="58">
        <f>IF(AND(BANCO_OK_2,B226&lt;=MESES),L226+M226+VINC_MES_2,0)</f>
        <v/>
      </c>
      <c r="P226" s="52">
        <f>IF(AND(BANCO_OK_3,B226&lt;=MESES),IF(OR(OF_TIPO_3="Fija",C226&lt;=OF_ANIOS_INI_3),OF_TIN_3,MAX(0,EURIBOR+OF_DIF_3)),0)</f>
        <v/>
      </c>
      <c r="Q226" s="58">
        <f>IF(AND(BANCO_OK_3,B226&lt;=MESES),IF(OR(B226=1,P226&lt;&gt;P225),PMT(P226/1200,MESES-B226+1,-T225),Q225),0)</f>
        <v/>
      </c>
      <c r="R226" s="58">
        <f>T225*P226/1200</f>
        <v/>
      </c>
      <c r="S226" s="58">
        <f>IF(AND(BANCO_OK_3,B226&lt;=MESES),IF(OR(B226=MESES,Q226-R226&gt;T225),T225,Q226-R226),0)</f>
        <v/>
      </c>
      <c r="T226" s="58">
        <f>T225-S226</f>
        <v/>
      </c>
      <c r="U226" s="58">
        <f>IF(AND(BANCO_OK_3,B226&lt;=MESES),R226+S226+VINC_MES_3,0)</f>
        <v/>
      </c>
      <c r="V226" s="52">
        <f>IF(AND(BANCO_OK_4,B226&lt;=MESES),IF(OR(OF_TIPO_4="Fija",C226&lt;=OF_ANIOS_INI_4),OF_TIN_4,MAX(0,EURIBOR+OF_DIF_4)),0)</f>
        <v/>
      </c>
      <c r="W226" s="58">
        <f>IF(AND(BANCO_OK_4,B226&lt;=MESES),IF(OR(B226=1,V226&lt;&gt;V225),PMT(V226/1200,MESES-B226+1,-Z225),W225),0)</f>
        <v/>
      </c>
      <c r="X226" s="58">
        <f>Z225*V226/1200</f>
        <v/>
      </c>
      <c r="Y226" s="58">
        <f>IF(AND(BANCO_OK_4,B226&lt;=MESES),IF(OR(B226=MESES,W226-X226&gt;Z225),Z225,W226-X226),0)</f>
        <v/>
      </c>
      <c r="Z226" s="58">
        <f>Z225-Y226</f>
        <v/>
      </c>
      <c r="AA226" s="58">
        <f>IF(AND(BANCO_OK_4,B226&lt;=MESES),X226+Y226+VINC_MES_4,0)</f>
        <v/>
      </c>
    </row>
    <row r="227">
      <c r="B227" s="56" t="n">
        <v>219</v>
      </c>
      <c r="C227" s="56">
        <f>ROUNDUP(B227/12,0)</f>
        <v/>
      </c>
      <c r="D227" s="52">
        <f>IF(AND(BANCO_OK_1,B227&lt;=MESES),IF(OR(OF_TIPO_1="Fija",C227&lt;=OF_ANIOS_INI_1),OF_TIN_1,MAX(0,EURIBOR+OF_DIF_1)),0)</f>
        <v/>
      </c>
      <c r="E227" s="58">
        <f>IF(AND(BANCO_OK_1,B227&lt;=MESES),IF(OR(B227=1,D227&lt;&gt;D226),PMT(D227/1200,MESES-B227+1,-H226),E226),0)</f>
        <v/>
      </c>
      <c r="F227" s="58">
        <f>H226*D227/1200</f>
        <v/>
      </c>
      <c r="G227" s="58">
        <f>IF(AND(BANCO_OK_1,B227&lt;=MESES),IF(OR(B227=MESES,E227-F227&gt;H226),H226,E227-F227),0)</f>
        <v/>
      </c>
      <c r="H227" s="58">
        <f>H226-G227</f>
        <v/>
      </c>
      <c r="I227" s="58">
        <f>IF(AND(BANCO_OK_1,B227&lt;=MESES),F227+G227+VINC_MES_1,0)</f>
        <v/>
      </c>
      <c r="J227" s="52">
        <f>IF(AND(BANCO_OK_2,B227&lt;=MESES),IF(OR(OF_TIPO_2="Fija",C227&lt;=OF_ANIOS_INI_2),OF_TIN_2,MAX(0,EURIBOR+OF_DIF_2)),0)</f>
        <v/>
      </c>
      <c r="K227" s="58">
        <f>IF(AND(BANCO_OK_2,B227&lt;=MESES),IF(OR(B227=1,J227&lt;&gt;J226),PMT(J227/1200,MESES-B227+1,-N226),K226),0)</f>
        <v/>
      </c>
      <c r="L227" s="58">
        <f>N226*J227/1200</f>
        <v/>
      </c>
      <c r="M227" s="58">
        <f>IF(AND(BANCO_OK_2,B227&lt;=MESES),IF(OR(B227=MESES,K227-L227&gt;N226),N226,K227-L227),0)</f>
        <v/>
      </c>
      <c r="N227" s="58">
        <f>N226-M227</f>
        <v/>
      </c>
      <c r="O227" s="58">
        <f>IF(AND(BANCO_OK_2,B227&lt;=MESES),L227+M227+VINC_MES_2,0)</f>
        <v/>
      </c>
      <c r="P227" s="52">
        <f>IF(AND(BANCO_OK_3,B227&lt;=MESES),IF(OR(OF_TIPO_3="Fija",C227&lt;=OF_ANIOS_INI_3),OF_TIN_3,MAX(0,EURIBOR+OF_DIF_3)),0)</f>
        <v/>
      </c>
      <c r="Q227" s="58">
        <f>IF(AND(BANCO_OK_3,B227&lt;=MESES),IF(OR(B227=1,P227&lt;&gt;P226),PMT(P227/1200,MESES-B227+1,-T226),Q226),0)</f>
        <v/>
      </c>
      <c r="R227" s="58">
        <f>T226*P227/1200</f>
        <v/>
      </c>
      <c r="S227" s="58">
        <f>IF(AND(BANCO_OK_3,B227&lt;=MESES),IF(OR(B227=MESES,Q227-R227&gt;T226),T226,Q227-R227),0)</f>
        <v/>
      </c>
      <c r="T227" s="58">
        <f>T226-S227</f>
        <v/>
      </c>
      <c r="U227" s="58">
        <f>IF(AND(BANCO_OK_3,B227&lt;=MESES),R227+S227+VINC_MES_3,0)</f>
        <v/>
      </c>
      <c r="V227" s="52">
        <f>IF(AND(BANCO_OK_4,B227&lt;=MESES),IF(OR(OF_TIPO_4="Fija",C227&lt;=OF_ANIOS_INI_4),OF_TIN_4,MAX(0,EURIBOR+OF_DIF_4)),0)</f>
        <v/>
      </c>
      <c r="W227" s="58">
        <f>IF(AND(BANCO_OK_4,B227&lt;=MESES),IF(OR(B227=1,V227&lt;&gt;V226),PMT(V227/1200,MESES-B227+1,-Z226),W226),0)</f>
        <v/>
      </c>
      <c r="X227" s="58">
        <f>Z226*V227/1200</f>
        <v/>
      </c>
      <c r="Y227" s="58">
        <f>IF(AND(BANCO_OK_4,B227&lt;=MESES),IF(OR(B227=MESES,W227-X227&gt;Z226),Z226,W227-X227),0)</f>
        <v/>
      </c>
      <c r="Z227" s="58">
        <f>Z226-Y227</f>
        <v/>
      </c>
      <c r="AA227" s="58">
        <f>IF(AND(BANCO_OK_4,B227&lt;=MESES),X227+Y227+VINC_MES_4,0)</f>
        <v/>
      </c>
    </row>
    <row r="228">
      <c r="B228" s="56" t="n">
        <v>220</v>
      </c>
      <c r="C228" s="56">
        <f>ROUNDUP(B228/12,0)</f>
        <v/>
      </c>
      <c r="D228" s="52">
        <f>IF(AND(BANCO_OK_1,B228&lt;=MESES),IF(OR(OF_TIPO_1="Fija",C228&lt;=OF_ANIOS_INI_1),OF_TIN_1,MAX(0,EURIBOR+OF_DIF_1)),0)</f>
        <v/>
      </c>
      <c r="E228" s="58">
        <f>IF(AND(BANCO_OK_1,B228&lt;=MESES),IF(OR(B228=1,D228&lt;&gt;D227),PMT(D228/1200,MESES-B228+1,-H227),E227),0)</f>
        <v/>
      </c>
      <c r="F228" s="58">
        <f>H227*D228/1200</f>
        <v/>
      </c>
      <c r="G228" s="58">
        <f>IF(AND(BANCO_OK_1,B228&lt;=MESES),IF(OR(B228=MESES,E228-F228&gt;H227),H227,E228-F228),0)</f>
        <v/>
      </c>
      <c r="H228" s="58">
        <f>H227-G228</f>
        <v/>
      </c>
      <c r="I228" s="58">
        <f>IF(AND(BANCO_OK_1,B228&lt;=MESES),F228+G228+VINC_MES_1,0)</f>
        <v/>
      </c>
      <c r="J228" s="52">
        <f>IF(AND(BANCO_OK_2,B228&lt;=MESES),IF(OR(OF_TIPO_2="Fija",C228&lt;=OF_ANIOS_INI_2),OF_TIN_2,MAX(0,EURIBOR+OF_DIF_2)),0)</f>
        <v/>
      </c>
      <c r="K228" s="58">
        <f>IF(AND(BANCO_OK_2,B228&lt;=MESES),IF(OR(B228=1,J228&lt;&gt;J227),PMT(J228/1200,MESES-B228+1,-N227),K227),0)</f>
        <v/>
      </c>
      <c r="L228" s="58">
        <f>N227*J228/1200</f>
        <v/>
      </c>
      <c r="M228" s="58">
        <f>IF(AND(BANCO_OK_2,B228&lt;=MESES),IF(OR(B228=MESES,K228-L228&gt;N227),N227,K228-L228),0)</f>
        <v/>
      </c>
      <c r="N228" s="58">
        <f>N227-M228</f>
        <v/>
      </c>
      <c r="O228" s="58">
        <f>IF(AND(BANCO_OK_2,B228&lt;=MESES),L228+M228+VINC_MES_2,0)</f>
        <v/>
      </c>
      <c r="P228" s="52">
        <f>IF(AND(BANCO_OK_3,B228&lt;=MESES),IF(OR(OF_TIPO_3="Fija",C228&lt;=OF_ANIOS_INI_3),OF_TIN_3,MAX(0,EURIBOR+OF_DIF_3)),0)</f>
        <v/>
      </c>
      <c r="Q228" s="58">
        <f>IF(AND(BANCO_OK_3,B228&lt;=MESES),IF(OR(B228=1,P228&lt;&gt;P227),PMT(P228/1200,MESES-B228+1,-T227),Q227),0)</f>
        <v/>
      </c>
      <c r="R228" s="58">
        <f>T227*P228/1200</f>
        <v/>
      </c>
      <c r="S228" s="58">
        <f>IF(AND(BANCO_OK_3,B228&lt;=MESES),IF(OR(B228=MESES,Q228-R228&gt;T227),T227,Q228-R228),0)</f>
        <v/>
      </c>
      <c r="T228" s="58">
        <f>T227-S228</f>
        <v/>
      </c>
      <c r="U228" s="58">
        <f>IF(AND(BANCO_OK_3,B228&lt;=MESES),R228+S228+VINC_MES_3,0)</f>
        <v/>
      </c>
      <c r="V228" s="52">
        <f>IF(AND(BANCO_OK_4,B228&lt;=MESES),IF(OR(OF_TIPO_4="Fija",C228&lt;=OF_ANIOS_INI_4),OF_TIN_4,MAX(0,EURIBOR+OF_DIF_4)),0)</f>
        <v/>
      </c>
      <c r="W228" s="58">
        <f>IF(AND(BANCO_OK_4,B228&lt;=MESES),IF(OR(B228=1,V228&lt;&gt;V227),PMT(V228/1200,MESES-B228+1,-Z227),W227),0)</f>
        <v/>
      </c>
      <c r="X228" s="58">
        <f>Z227*V228/1200</f>
        <v/>
      </c>
      <c r="Y228" s="58">
        <f>IF(AND(BANCO_OK_4,B228&lt;=MESES),IF(OR(B228=MESES,W228-X228&gt;Z227),Z227,W228-X228),0)</f>
        <v/>
      </c>
      <c r="Z228" s="58">
        <f>Z227-Y228</f>
        <v/>
      </c>
      <c r="AA228" s="58">
        <f>IF(AND(BANCO_OK_4,B228&lt;=MESES),X228+Y228+VINC_MES_4,0)</f>
        <v/>
      </c>
    </row>
    <row r="229">
      <c r="B229" s="56" t="n">
        <v>221</v>
      </c>
      <c r="C229" s="56">
        <f>ROUNDUP(B229/12,0)</f>
        <v/>
      </c>
      <c r="D229" s="52">
        <f>IF(AND(BANCO_OK_1,B229&lt;=MESES),IF(OR(OF_TIPO_1="Fija",C229&lt;=OF_ANIOS_INI_1),OF_TIN_1,MAX(0,EURIBOR+OF_DIF_1)),0)</f>
        <v/>
      </c>
      <c r="E229" s="58">
        <f>IF(AND(BANCO_OK_1,B229&lt;=MESES),IF(OR(B229=1,D229&lt;&gt;D228),PMT(D229/1200,MESES-B229+1,-H228),E228),0)</f>
        <v/>
      </c>
      <c r="F229" s="58">
        <f>H228*D229/1200</f>
        <v/>
      </c>
      <c r="G229" s="58">
        <f>IF(AND(BANCO_OK_1,B229&lt;=MESES),IF(OR(B229=MESES,E229-F229&gt;H228),H228,E229-F229),0)</f>
        <v/>
      </c>
      <c r="H229" s="58">
        <f>H228-G229</f>
        <v/>
      </c>
      <c r="I229" s="58">
        <f>IF(AND(BANCO_OK_1,B229&lt;=MESES),F229+G229+VINC_MES_1,0)</f>
        <v/>
      </c>
      <c r="J229" s="52">
        <f>IF(AND(BANCO_OK_2,B229&lt;=MESES),IF(OR(OF_TIPO_2="Fija",C229&lt;=OF_ANIOS_INI_2),OF_TIN_2,MAX(0,EURIBOR+OF_DIF_2)),0)</f>
        <v/>
      </c>
      <c r="K229" s="58">
        <f>IF(AND(BANCO_OK_2,B229&lt;=MESES),IF(OR(B229=1,J229&lt;&gt;J228),PMT(J229/1200,MESES-B229+1,-N228),K228),0)</f>
        <v/>
      </c>
      <c r="L229" s="58">
        <f>N228*J229/1200</f>
        <v/>
      </c>
      <c r="M229" s="58">
        <f>IF(AND(BANCO_OK_2,B229&lt;=MESES),IF(OR(B229=MESES,K229-L229&gt;N228),N228,K229-L229),0)</f>
        <v/>
      </c>
      <c r="N229" s="58">
        <f>N228-M229</f>
        <v/>
      </c>
      <c r="O229" s="58">
        <f>IF(AND(BANCO_OK_2,B229&lt;=MESES),L229+M229+VINC_MES_2,0)</f>
        <v/>
      </c>
      <c r="P229" s="52">
        <f>IF(AND(BANCO_OK_3,B229&lt;=MESES),IF(OR(OF_TIPO_3="Fija",C229&lt;=OF_ANIOS_INI_3),OF_TIN_3,MAX(0,EURIBOR+OF_DIF_3)),0)</f>
        <v/>
      </c>
      <c r="Q229" s="58">
        <f>IF(AND(BANCO_OK_3,B229&lt;=MESES),IF(OR(B229=1,P229&lt;&gt;P228),PMT(P229/1200,MESES-B229+1,-T228),Q228),0)</f>
        <v/>
      </c>
      <c r="R229" s="58">
        <f>T228*P229/1200</f>
        <v/>
      </c>
      <c r="S229" s="58">
        <f>IF(AND(BANCO_OK_3,B229&lt;=MESES),IF(OR(B229=MESES,Q229-R229&gt;T228),T228,Q229-R229),0)</f>
        <v/>
      </c>
      <c r="T229" s="58">
        <f>T228-S229</f>
        <v/>
      </c>
      <c r="U229" s="58">
        <f>IF(AND(BANCO_OK_3,B229&lt;=MESES),R229+S229+VINC_MES_3,0)</f>
        <v/>
      </c>
      <c r="V229" s="52">
        <f>IF(AND(BANCO_OK_4,B229&lt;=MESES),IF(OR(OF_TIPO_4="Fija",C229&lt;=OF_ANIOS_INI_4),OF_TIN_4,MAX(0,EURIBOR+OF_DIF_4)),0)</f>
        <v/>
      </c>
      <c r="W229" s="58">
        <f>IF(AND(BANCO_OK_4,B229&lt;=MESES),IF(OR(B229=1,V229&lt;&gt;V228),PMT(V229/1200,MESES-B229+1,-Z228),W228),0)</f>
        <v/>
      </c>
      <c r="X229" s="58">
        <f>Z228*V229/1200</f>
        <v/>
      </c>
      <c r="Y229" s="58">
        <f>IF(AND(BANCO_OK_4,B229&lt;=MESES),IF(OR(B229=MESES,W229-X229&gt;Z228),Z228,W229-X229),0)</f>
        <v/>
      </c>
      <c r="Z229" s="58">
        <f>Z228-Y229</f>
        <v/>
      </c>
      <c r="AA229" s="58">
        <f>IF(AND(BANCO_OK_4,B229&lt;=MESES),X229+Y229+VINC_MES_4,0)</f>
        <v/>
      </c>
    </row>
    <row r="230">
      <c r="B230" s="56" t="n">
        <v>222</v>
      </c>
      <c r="C230" s="56">
        <f>ROUNDUP(B230/12,0)</f>
        <v/>
      </c>
      <c r="D230" s="52">
        <f>IF(AND(BANCO_OK_1,B230&lt;=MESES),IF(OR(OF_TIPO_1="Fija",C230&lt;=OF_ANIOS_INI_1),OF_TIN_1,MAX(0,EURIBOR+OF_DIF_1)),0)</f>
        <v/>
      </c>
      <c r="E230" s="58">
        <f>IF(AND(BANCO_OK_1,B230&lt;=MESES),IF(OR(B230=1,D230&lt;&gt;D229),PMT(D230/1200,MESES-B230+1,-H229),E229),0)</f>
        <v/>
      </c>
      <c r="F230" s="58">
        <f>H229*D230/1200</f>
        <v/>
      </c>
      <c r="G230" s="58">
        <f>IF(AND(BANCO_OK_1,B230&lt;=MESES),IF(OR(B230=MESES,E230-F230&gt;H229),H229,E230-F230),0)</f>
        <v/>
      </c>
      <c r="H230" s="58">
        <f>H229-G230</f>
        <v/>
      </c>
      <c r="I230" s="58">
        <f>IF(AND(BANCO_OK_1,B230&lt;=MESES),F230+G230+VINC_MES_1,0)</f>
        <v/>
      </c>
      <c r="J230" s="52">
        <f>IF(AND(BANCO_OK_2,B230&lt;=MESES),IF(OR(OF_TIPO_2="Fija",C230&lt;=OF_ANIOS_INI_2),OF_TIN_2,MAX(0,EURIBOR+OF_DIF_2)),0)</f>
        <v/>
      </c>
      <c r="K230" s="58">
        <f>IF(AND(BANCO_OK_2,B230&lt;=MESES),IF(OR(B230=1,J230&lt;&gt;J229),PMT(J230/1200,MESES-B230+1,-N229),K229),0)</f>
        <v/>
      </c>
      <c r="L230" s="58">
        <f>N229*J230/1200</f>
        <v/>
      </c>
      <c r="M230" s="58">
        <f>IF(AND(BANCO_OK_2,B230&lt;=MESES),IF(OR(B230=MESES,K230-L230&gt;N229),N229,K230-L230),0)</f>
        <v/>
      </c>
      <c r="N230" s="58">
        <f>N229-M230</f>
        <v/>
      </c>
      <c r="O230" s="58">
        <f>IF(AND(BANCO_OK_2,B230&lt;=MESES),L230+M230+VINC_MES_2,0)</f>
        <v/>
      </c>
      <c r="P230" s="52">
        <f>IF(AND(BANCO_OK_3,B230&lt;=MESES),IF(OR(OF_TIPO_3="Fija",C230&lt;=OF_ANIOS_INI_3),OF_TIN_3,MAX(0,EURIBOR+OF_DIF_3)),0)</f>
        <v/>
      </c>
      <c r="Q230" s="58">
        <f>IF(AND(BANCO_OK_3,B230&lt;=MESES),IF(OR(B230=1,P230&lt;&gt;P229),PMT(P230/1200,MESES-B230+1,-T229),Q229),0)</f>
        <v/>
      </c>
      <c r="R230" s="58">
        <f>T229*P230/1200</f>
        <v/>
      </c>
      <c r="S230" s="58">
        <f>IF(AND(BANCO_OK_3,B230&lt;=MESES),IF(OR(B230=MESES,Q230-R230&gt;T229),T229,Q230-R230),0)</f>
        <v/>
      </c>
      <c r="T230" s="58">
        <f>T229-S230</f>
        <v/>
      </c>
      <c r="U230" s="58">
        <f>IF(AND(BANCO_OK_3,B230&lt;=MESES),R230+S230+VINC_MES_3,0)</f>
        <v/>
      </c>
      <c r="V230" s="52">
        <f>IF(AND(BANCO_OK_4,B230&lt;=MESES),IF(OR(OF_TIPO_4="Fija",C230&lt;=OF_ANIOS_INI_4),OF_TIN_4,MAX(0,EURIBOR+OF_DIF_4)),0)</f>
        <v/>
      </c>
      <c r="W230" s="58">
        <f>IF(AND(BANCO_OK_4,B230&lt;=MESES),IF(OR(B230=1,V230&lt;&gt;V229),PMT(V230/1200,MESES-B230+1,-Z229),W229),0)</f>
        <v/>
      </c>
      <c r="X230" s="58">
        <f>Z229*V230/1200</f>
        <v/>
      </c>
      <c r="Y230" s="58">
        <f>IF(AND(BANCO_OK_4,B230&lt;=MESES),IF(OR(B230=MESES,W230-X230&gt;Z229),Z229,W230-X230),0)</f>
        <v/>
      </c>
      <c r="Z230" s="58">
        <f>Z229-Y230</f>
        <v/>
      </c>
      <c r="AA230" s="58">
        <f>IF(AND(BANCO_OK_4,B230&lt;=MESES),X230+Y230+VINC_MES_4,0)</f>
        <v/>
      </c>
    </row>
    <row r="231">
      <c r="B231" s="56" t="n">
        <v>223</v>
      </c>
      <c r="C231" s="56">
        <f>ROUNDUP(B231/12,0)</f>
        <v/>
      </c>
      <c r="D231" s="52">
        <f>IF(AND(BANCO_OK_1,B231&lt;=MESES),IF(OR(OF_TIPO_1="Fija",C231&lt;=OF_ANIOS_INI_1),OF_TIN_1,MAX(0,EURIBOR+OF_DIF_1)),0)</f>
        <v/>
      </c>
      <c r="E231" s="58">
        <f>IF(AND(BANCO_OK_1,B231&lt;=MESES),IF(OR(B231=1,D231&lt;&gt;D230),PMT(D231/1200,MESES-B231+1,-H230),E230),0)</f>
        <v/>
      </c>
      <c r="F231" s="58">
        <f>H230*D231/1200</f>
        <v/>
      </c>
      <c r="G231" s="58">
        <f>IF(AND(BANCO_OK_1,B231&lt;=MESES),IF(OR(B231=MESES,E231-F231&gt;H230),H230,E231-F231),0)</f>
        <v/>
      </c>
      <c r="H231" s="58">
        <f>H230-G231</f>
        <v/>
      </c>
      <c r="I231" s="58">
        <f>IF(AND(BANCO_OK_1,B231&lt;=MESES),F231+G231+VINC_MES_1,0)</f>
        <v/>
      </c>
      <c r="J231" s="52">
        <f>IF(AND(BANCO_OK_2,B231&lt;=MESES),IF(OR(OF_TIPO_2="Fija",C231&lt;=OF_ANIOS_INI_2),OF_TIN_2,MAX(0,EURIBOR+OF_DIF_2)),0)</f>
        <v/>
      </c>
      <c r="K231" s="58">
        <f>IF(AND(BANCO_OK_2,B231&lt;=MESES),IF(OR(B231=1,J231&lt;&gt;J230),PMT(J231/1200,MESES-B231+1,-N230),K230),0)</f>
        <v/>
      </c>
      <c r="L231" s="58">
        <f>N230*J231/1200</f>
        <v/>
      </c>
      <c r="M231" s="58">
        <f>IF(AND(BANCO_OK_2,B231&lt;=MESES),IF(OR(B231=MESES,K231-L231&gt;N230),N230,K231-L231),0)</f>
        <v/>
      </c>
      <c r="N231" s="58">
        <f>N230-M231</f>
        <v/>
      </c>
      <c r="O231" s="58">
        <f>IF(AND(BANCO_OK_2,B231&lt;=MESES),L231+M231+VINC_MES_2,0)</f>
        <v/>
      </c>
      <c r="P231" s="52">
        <f>IF(AND(BANCO_OK_3,B231&lt;=MESES),IF(OR(OF_TIPO_3="Fija",C231&lt;=OF_ANIOS_INI_3),OF_TIN_3,MAX(0,EURIBOR+OF_DIF_3)),0)</f>
        <v/>
      </c>
      <c r="Q231" s="58">
        <f>IF(AND(BANCO_OK_3,B231&lt;=MESES),IF(OR(B231=1,P231&lt;&gt;P230),PMT(P231/1200,MESES-B231+1,-T230),Q230),0)</f>
        <v/>
      </c>
      <c r="R231" s="58">
        <f>T230*P231/1200</f>
        <v/>
      </c>
      <c r="S231" s="58">
        <f>IF(AND(BANCO_OK_3,B231&lt;=MESES),IF(OR(B231=MESES,Q231-R231&gt;T230),T230,Q231-R231),0)</f>
        <v/>
      </c>
      <c r="T231" s="58">
        <f>T230-S231</f>
        <v/>
      </c>
      <c r="U231" s="58">
        <f>IF(AND(BANCO_OK_3,B231&lt;=MESES),R231+S231+VINC_MES_3,0)</f>
        <v/>
      </c>
      <c r="V231" s="52">
        <f>IF(AND(BANCO_OK_4,B231&lt;=MESES),IF(OR(OF_TIPO_4="Fija",C231&lt;=OF_ANIOS_INI_4),OF_TIN_4,MAX(0,EURIBOR+OF_DIF_4)),0)</f>
        <v/>
      </c>
      <c r="W231" s="58">
        <f>IF(AND(BANCO_OK_4,B231&lt;=MESES),IF(OR(B231=1,V231&lt;&gt;V230),PMT(V231/1200,MESES-B231+1,-Z230),W230),0)</f>
        <v/>
      </c>
      <c r="X231" s="58">
        <f>Z230*V231/1200</f>
        <v/>
      </c>
      <c r="Y231" s="58">
        <f>IF(AND(BANCO_OK_4,B231&lt;=MESES),IF(OR(B231=MESES,W231-X231&gt;Z230),Z230,W231-X231),0)</f>
        <v/>
      </c>
      <c r="Z231" s="58">
        <f>Z230-Y231</f>
        <v/>
      </c>
      <c r="AA231" s="58">
        <f>IF(AND(BANCO_OK_4,B231&lt;=MESES),X231+Y231+VINC_MES_4,0)</f>
        <v/>
      </c>
    </row>
    <row r="232">
      <c r="B232" s="56" t="n">
        <v>224</v>
      </c>
      <c r="C232" s="56">
        <f>ROUNDUP(B232/12,0)</f>
        <v/>
      </c>
      <c r="D232" s="52">
        <f>IF(AND(BANCO_OK_1,B232&lt;=MESES),IF(OR(OF_TIPO_1="Fija",C232&lt;=OF_ANIOS_INI_1),OF_TIN_1,MAX(0,EURIBOR+OF_DIF_1)),0)</f>
        <v/>
      </c>
      <c r="E232" s="58">
        <f>IF(AND(BANCO_OK_1,B232&lt;=MESES),IF(OR(B232=1,D232&lt;&gt;D231),PMT(D232/1200,MESES-B232+1,-H231),E231),0)</f>
        <v/>
      </c>
      <c r="F232" s="58">
        <f>H231*D232/1200</f>
        <v/>
      </c>
      <c r="G232" s="58">
        <f>IF(AND(BANCO_OK_1,B232&lt;=MESES),IF(OR(B232=MESES,E232-F232&gt;H231),H231,E232-F232),0)</f>
        <v/>
      </c>
      <c r="H232" s="58">
        <f>H231-G232</f>
        <v/>
      </c>
      <c r="I232" s="58">
        <f>IF(AND(BANCO_OK_1,B232&lt;=MESES),F232+G232+VINC_MES_1,0)</f>
        <v/>
      </c>
      <c r="J232" s="52">
        <f>IF(AND(BANCO_OK_2,B232&lt;=MESES),IF(OR(OF_TIPO_2="Fija",C232&lt;=OF_ANIOS_INI_2),OF_TIN_2,MAX(0,EURIBOR+OF_DIF_2)),0)</f>
        <v/>
      </c>
      <c r="K232" s="58">
        <f>IF(AND(BANCO_OK_2,B232&lt;=MESES),IF(OR(B232=1,J232&lt;&gt;J231),PMT(J232/1200,MESES-B232+1,-N231),K231),0)</f>
        <v/>
      </c>
      <c r="L232" s="58">
        <f>N231*J232/1200</f>
        <v/>
      </c>
      <c r="M232" s="58">
        <f>IF(AND(BANCO_OK_2,B232&lt;=MESES),IF(OR(B232=MESES,K232-L232&gt;N231),N231,K232-L232),0)</f>
        <v/>
      </c>
      <c r="N232" s="58">
        <f>N231-M232</f>
        <v/>
      </c>
      <c r="O232" s="58">
        <f>IF(AND(BANCO_OK_2,B232&lt;=MESES),L232+M232+VINC_MES_2,0)</f>
        <v/>
      </c>
      <c r="P232" s="52">
        <f>IF(AND(BANCO_OK_3,B232&lt;=MESES),IF(OR(OF_TIPO_3="Fija",C232&lt;=OF_ANIOS_INI_3),OF_TIN_3,MAX(0,EURIBOR+OF_DIF_3)),0)</f>
        <v/>
      </c>
      <c r="Q232" s="58">
        <f>IF(AND(BANCO_OK_3,B232&lt;=MESES),IF(OR(B232=1,P232&lt;&gt;P231),PMT(P232/1200,MESES-B232+1,-T231),Q231),0)</f>
        <v/>
      </c>
      <c r="R232" s="58">
        <f>T231*P232/1200</f>
        <v/>
      </c>
      <c r="S232" s="58">
        <f>IF(AND(BANCO_OK_3,B232&lt;=MESES),IF(OR(B232=MESES,Q232-R232&gt;T231),T231,Q232-R232),0)</f>
        <v/>
      </c>
      <c r="T232" s="58">
        <f>T231-S232</f>
        <v/>
      </c>
      <c r="U232" s="58">
        <f>IF(AND(BANCO_OK_3,B232&lt;=MESES),R232+S232+VINC_MES_3,0)</f>
        <v/>
      </c>
      <c r="V232" s="52">
        <f>IF(AND(BANCO_OK_4,B232&lt;=MESES),IF(OR(OF_TIPO_4="Fija",C232&lt;=OF_ANIOS_INI_4),OF_TIN_4,MAX(0,EURIBOR+OF_DIF_4)),0)</f>
        <v/>
      </c>
      <c r="W232" s="58">
        <f>IF(AND(BANCO_OK_4,B232&lt;=MESES),IF(OR(B232=1,V232&lt;&gt;V231),PMT(V232/1200,MESES-B232+1,-Z231),W231),0)</f>
        <v/>
      </c>
      <c r="X232" s="58">
        <f>Z231*V232/1200</f>
        <v/>
      </c>
      <c r="Y232" s="58">
        <f>IF(AND(BANCO_OK_4,B232&lt;=MESES),IF(OR(B232=MESES,W232-X232&gt;Z231),Z231,W232-X232),0)</f>
        <v/>
      </c>
      <c r="Z232" s="58">
        <f>Z231-Y232</f>
        <v/>
      </c>
      <c r="AA232" s="58">
        <f>IF(AND(BANCO_OK_4,B232&lt;=MESES),X232+Y232+VINC_MES_4,0)</f>
        <v/>
      </c>
    </row>
    <row r="233">
      <c r="B233" s="56" t="n">
        <v>225</v>
      </c>
      <c r="C233" s="56">
        <f>ROUNDUP(B233/12,0)</f>
        <v/>
      </c>
      <c r="D233" s="52">
        <f>IF(AND(BANCO_OK_1,B233&lt;=MESES),IF(OR(OF_TIPO_1="Fija",C233&lt;=OF_ANIOS_INI_1),OF_TIN_1,MAX(0,EURIBOR+OF_DIF_1)),0)</f>
        <v/>
      </c>
      <c r="E233" s="58">
        <f>IF(AND(BANCO_OK_1,B233&lt;=MESES),IF(OR(B233=1,D233&lt;&gt;D232),PMT(D233/1200,MESES-B233+1,-H232),E232),0)</f>
        <v/>
      </c>
      <c r="F233" s="58">
        <f>H232*D233/1200</f>
        <v/>
      </c>
      <c r="G233" s="58">
        <f>IF(AND(BANCO_OK_1,B233&lt;=MESES),IF(OR(B233=MESES,E233-F233&gt;H232),H232,E233-F233),0)</f>
        <v/>
      </c>
      <c r="H233" s="58">
        <f>H232-G233</f>
        <v/>
      </c>
      <c r="I233" s="58">
        <f>IF(AND(BANCO_OK_1,B233&lt;=MESES),F233+G233+VINC_MES_1,0)</f>
        <v/>
      </c>
      <c r="J233" s="52">
        <f>IF(AND(BANCO_OK_2,B233&lt;=MESES),IF(OR(OF_TIPO_2="Fija",C233&lt;=OF_ANIOS_INI_2),OF_TIN_2,MAX(0,EURIBOR+OF_DIF_2)),0)</f>
        <v/>
      </c>
      <c r="K233" s="58">
        <f>IF(AND(BANCO_OK_2,B233&lt;=MESES),IF(OR(B233=1,J233&lt;&gt;J232),PMT(J233/1200,MESES-B233+1,-N232),K232),0)</f>
        <v/>
      </c>
      <c r="L233" s="58">
        <f>N232*J233/1200</f>
        <v/>
      </c>
      <c r="M233" s="58">
        <f>IF(AND(BANCO_OK_2,B233&lt;=MESES),IF(OR(B233=MESES,K233-L233&gt;N232),N232,K233-L233),0)</f>
        <v/>
      </c>
      <c r="N233" s="58">
        <f>N232-M233</f>
        <v/>
      </c>
      <c r="O233" s="58">
        <f>IF(AND(BANCO_OK_2,B233&lt;=MESES),L233+M233+VINC_MES_2,0)</f>
        <v/>
      </c>
      <c r="P233" s="52">
        <f>IF(AND(BANCO_OK_3,B233&lt;=MESES),IF(OR(OF_TIPO_3="Fija",C233&lt;=OF_ANIOS_INI_3),OF_TIN_3,MAX(0,EURIBOR+OF_DIF_3)),0)</f>
        <v/>
      </c>
      <c r="Q233" s="58">
        <f>IF(AND(BANCO_OK_3,B233&lt;=MESES),IF(OR(B233=1,P233&lt;&gt;P232),PMT(P233/1200,MESES-B233+1,-T232),Q232),0)</f>
        <v/>
      </c>
      <c r="R233" s="58">
        <f>T232*P233/1200</f>
        <v/>
      </c>
      <c r="S233" s="58">
        <f>IF(AND(BANCO_OK_3,B233&lt;=MESES),IF(OR(B233=MESES,Q233-R233&gt;T232),T232,Q233-R233),0)</f>
        <v/>
      </c>
      <c r="T233" s="58">
        <f>T232-S233</f>
        <v/>
      </c>
      <c r="U233" s="58">
        <f>IF(AND(BANCO_OK_3,B233&lt;=MESES),R233+S233+VINC_MES_3,0)</f>
        <v/>
      </c>
      <c r="V233" s="52">
        <f>IF(AND(BANCO_OK_4,B233&lt;=MESES),IF(OR(OF_TIPO_4="Fija",C233&lt;=OF_ANIOS_INI_4),OF_TIN_4,MAX(0,EURIBOR+OF_DIF_4)),0)</f>
        <v/>
      </c>
      <c r="W233" s="58">
        <f>IF(AND(BANCO_OK_4,B233&lt;=MESES),IF(OR(B233=1,V233&lt;&gt;V232),PMT(V233/1200,MESES-B233+1,-Z232),W232),0)</f>
        <v/>
      </c>
      <c r="X233" s="58">
        <f>Z232*V233/1200</f>
        <v/>
      </c>
      <c r="Y233" s="58">
        <f>IF(AND(BANCO_OK_4,B233&lt;=MESES),IF(OR(B233=MESES,W233-X233&gt;Z232),Z232,W233-X233),0)</f>
        <v/>
      </c>
      <c r="Z233" s="58">
        <f>Z232-Y233</f>
        <v/>
      </c>
      <c r="AA233" s="58">
        <f>IF(AND(BANCO_OK_4,B233&lt;=MESES),X233+Y233+VINC_MES_4,0)</f>
        <v/>
      </c>
    </row>
    <row r="234">
      <c r="B234" s="56" t="n">
        <v>226</v>
      </c>
      <c r="C234" s="56">
        <f>ROUNDUP(B234/12,0)</f>
        <v/>
      </c>
      <c r="D234" s="52">
        <f>IF(AND(BANCO_OK_1,B234&lt;=MESES),IF(OR(OF_TIPO_1="Fija",C234&lt;=OF_ANIOS_INI_1),OF_TIN_1,MAX(0,EURIBOR+OF_DIF_1)),0)</f>
        <v/>
      </c>
      <c r="E234" s="58">
        <f>IF(AND(BANCO_OK_1,B234&lt;=MESES),IF(OR(B234=1,D234&lt;&gt;D233),PMT(D234/1200,MESES-B234+1,-H233),E233),0)</f>
        <v/>
      </c>
      <c r="F234" s="58">
        <f>H233*D234/1200</f>
        <v/>
      </c>
      <c r="G234" s="58">
        <f>IF(AND(BANCO_OK_1,B234&lt;=MESES),IF(OR(B234=MESES,E234-F234&gt;H233),H233,E234-F234),0)</f>
        <v/>
      </c>
      <c r="H234" s="58">
        <f>H233-G234</f>
        <v/>
      </c>
      <c r="I234" s="58">
        <f>IF(AND(BANCO_OK_1,B234&lt;=MESES),F234+G234+VINC_MES_1,0)</f>
        <v/>
      </c>
      <c r="J234" s="52">
        <f>IF(AND(BANCO_OK_2,B234&lt;=MESES),IF(OR(OF_TIPO_2="Fija",C234&lt;=OF_ANIOS_INI_2),OF_TIN_2,MAX(0,EURIBOR+OF_DIF_2)),0)</f>
        <v/>
      </c>
      <c r="K234" s="58">
        <f>IF(AND(BANCO_OK_2,B234&lt;=MESES),IF(OR(B234=1,J234&lt;&gt;J233),PMT(J234/1200,MESES-B234+1,-N233),K233),0)</f>
        <v/>
      </c>
      <c r="L234" s="58">
        <f>N233*J234/1200</f>
        <v/>
      </c>
      <c r="M234" s="58">
        <f>IF(AND(BANCO_OK_2,B234&lt;=MESES),IF(OR(B234=MESES,K234-L234&gt;N233),N233,K234-L234),0)</f>
        <v/>
      </c>
      <c r="N234" s="58">
        <f>N233-M234</f>
        <v/>
      </c>
      <c r="O234" s="58">
        <f>IF(AND(BANCO_OK_2,B234&lt;=MESES),L234+M234+VINC_MES_2,0)</f>
        <v/>
      </c>
      <c r="P234" s="52">
        <f>IF(AND(BANCO_OK_3,B234&lt;=MESES),IF(OR(OF_TIPO_3="Fija",C234&lt;=OF_ANIOS_INI_3),OF_TIN_3,MAX(0,EURIBOR+OF_DIF_3)),0)</f>
        <v/>
      </c>
      <c r="Q234" s="58">
        <f>IF(AND(BANCO_OK_3,B234&lt;=MESES),IF(OR(B234=1,P234&lt;&gt;P233),PMT(P234/1200,MESES-B234+1,-T233),Q233),0)</f>
        <v/>
      </c>
      <c r="R234" s="58">
        <f>T233*P234/1200</f>
        <v/>
      </c>
      <c r="S234" s="58">
        <f>IF(AND(BANCO_OK_3,B234&lt;=MESES),IF(OR(B234=MESES,Q234-R234&gt;T233),T233,Q234-R234),0)</f>
        <v/>
      </c>
      <c r="T234" s="58">
        <f>T233-S234</f>
        <v/>
      </c>
      <c r="U234" s="58">
        <f>IF(AND(BANCO_OK_3,B234&lt;=MESES),R234+S234+VINC_MES_3,0)</f>
        <v/>
      </c>
      <c r="V234" s="52">
        <f>IF(AND(BANCO_OK_4,B234&lt;=MESES),IF(OR(OF_TIPO_4="Fija",C234&lt;=OF_ANIOS_INI_4),OF_TIN_4,MAX(0,EURIBOR+OF_DIF_4)),0)</f>
        <v/>
      </c>
      <c r="W234" s="58">
        <f>IF(AND(BANCO_OK_4,B234&lt;=MESES),IF(OR(B234=1,V234&lt;&gt;V233),PMT(V234/1200,MESES-B234+1,-Z233),W233),0)</f>
        <v/>
      </c>
      <c r="X234" s="58">
        <f>Z233*V234/1200</f>
        <v/>
      </c>
      <c r="Y234" s="58">
        <f>IF(AND(BANCO_OK_4,B234&lt;=MESES),IF(OR(B234=MESES,W234-X234&gt;Z233),Z233,W234-X234),0)</f>
        <v/>
      </c>
      <c r="Z234" s="58">
        <f>Z233-Y234</f>
        <v/>
      </c>
      <c r="AA234" s="58">
        <f>IF(AND(BANCO_OK_4,B234&lt;=MESES),X234+Y234+VINC_MES_4,0)</f>
        <v/>
      </c>
    </row>
    <row r="235">
      <c r="B235" s="56" t="n">
        <v>227</v>
      </c>
      <c r="C235" s="56">
        <f>ROUNDUP(B235/12,0)</f>
        <v/>
      </c>
      <c r="D235" s="52">
        <f>IF(AND(BANCO_OK_1,B235&lt;=MESES),IF(OR(OF_TIPO_1="Fija",C235&lt;=OF_ANIOS_INI_1),OF_TIN_1,MAX(0,EURIBOR+OF_DIF_1)),0)</f>
        <v/>
      </c>
      <c r="E235" s="58">
        <f>IF(AND(BANCO_OK_1,B235&lt;=MESES),IF(OR(B235=1,D235&lt;&gt;D234),PMT(D235/1200,MESES-B235+1,-H234),E234),0)</f>
        <v/>
      </c>
      <c r="F235" s="58">
        <f>H234*D235/1200</f>
        <v/>
      </c>
      <c r="G235" s="58">
        <f>IF(AND(BANCO_OK_1,B235&lt;=MESES),IF(OR(B235=MESES,E235-F235&gt;H234),H234,E235-F235),0)</f>
        <v/>
      </c>
      <c r="H235" s="58">
        <f>H234-G235</f>
        <v/>
      </c>
      <c r="I235" s="58">
        <f>IF(AND(BANCO_OK_1,B235&lt;=MESES),F235+G235+VINC_MES_1,0)</f>
        <v/>
      </c>
      <c r="J235" s="52">
        <f>IF(AND(BANCO_OK_2,B235&lt;=MESES),IF(OR(OF_TIPO_2="Fija",C235&lt;=OF_ANIOS_INI_2),OF_TIN_2,MAX(0,EURIBOR+OF_DIF_2)),0)</f>
        <v/>
      </c>
      <c r="K235" s="58">
        <f>IF(AND(BANCO_OK_2,B235&lt;=MESES),IF(OR(B235=1,J235&lt;&gt;J234),PMT(J235/1200,MESES-B235+1,-N234),K234),0)</f>
        <v/>
      </c>
      <c r="L235" s="58">
        <f>N234*J235/1200</f>
        <v/>
      </c>
      <c r="M235" s="58">
        <f>IF(AND(BANCO_OK_2,B235&lt;=MESES),IF(OR(B235=MESES,K235-L235&gt;N234),N234,K235-L235),0)</f>
        <v/>
      </c>
      <c r="N235" s="58">
        <f>N234-M235</f>
        <v/>
      </c>
      <c r="O235" s="58">
        <f>IF(AND(BANCO_OK_2,B235&lt;=MESES),L235+M235+VINC_MES_2,0)</f>
        <v/>
      </c>
      <c r="P235" s="52">
        <f>IF(AND(BANCO_OK_3,B235&lt;=MESES),IF(OR(OF_TIPO_3="Fija",C235&lt;=OF_ANIOS_INI_3),OF_TIN_3,MAX(0,EURIBOR+OF_DIF_3)),0)</f>
        <v/>
      </c>
      <c r="Q235" s="58">
        <f>IF(AND(BANCO_OK_3,B235&lt;=MESES),IF(OR(B235=1,P235&lt;&gt;P234),PMT(P235/1200,MESES-B235+1,-T234),Q234),0)</f>
        <v/>
      </c>
      <c r="R235" s="58">
        <f>T234*P235/1200</f>
        <v/>
      </c>
      <c r="S235" s="58">
        <f>IF(AND(BANCO_OK_3,B235&lt;=MESES),IF(OR(B235=MESES,Q235-R235&gt;T234),T234,Q235-R235),0)</f>
        <v/>
      </c>
      <c r="T235" s="58">
        <f>T234-S235</f>
        <v/>
      </c>
      <c r="U235" s="58">
        <f>IF(AND(BANCO_OK_3,B235&lt;=MESES),R235+S235+VINC_MES_3,0)</f>
        <v/>
      </c>
      <c r="V235" s="52">
        <f>IF(AND(BANCO_OK_4,B235&lt;=MESES),IF(OR(OF_TIPO_4="Fija",C235&lt;=OF_ANIOS_INI_4),OF_TIN_4,MAX(0,EURIBOR+OF_DIF_4)),0)</f>
        <v/>
      </c>
      <c r="W235" s="58">
        <f>IF(AND(BANCO_OK_4,B235&lt;=MESES),IF(OR(B235=1,V235&lt;&gt;V234),PMT(V235/1200,MESES-B235+1,-Z234),W234),0)</f>
        <v/>
      </c>
      <c r="X235" s="58">
        <f>Z234*V235/1200</f>
        <v/>
      </c>
      <c r="Y235" s="58">
        <f>IF(AND(BANCO_OK_4,B235&lt;=MESES),IF(OR(B235=MESES,W235-X235&gt;Z234),Z234,W235-X235),0)</f>
        <v/>
      </c>
      <c r="Z235" s="58">
        <f>Z234-Y235</f>
        <v/>
      </c>
      <c r="AA235" s="58">
        <f>IF(AND(BANCO_OK_4,B235&lt;=MESES),X235+Y235+VINC_MES_4,0)</f>
        <v/>
      </c>
    </row>
    <row r="236">
      <c r="B236" s="56" t="n">
        <v>228</v>
      </c>
      <c r="C236" s="56">
        <f>ROUNDUP(B236/12,0)</f>
        <v/>
      </c>
      <c r="D236" s="52">
        <f>IF(AND(BANCO_OK_1,B236&lt;=MESES),IF(OR(OF_TIPO_1="Fija",C236&lt;=OF_ANIOS_INI_1),OF_TIN_1,MAX(0,EURIBOR+OF_DIF_1)),0)</f>
        <v/>
      </c>
      <c r="E236" s="58">
        <f>IF(AND(BANCO_OK_1,B236&lt;=MESES),IF(OR(B236=1,D236&lt;&gt;D235),PMT(D236/1200,MESES-B236+1,-H235),E235),0)</f>
        <v/>
      </c>
      <c r="F236" s="58">
        <f>H235*D236/1200</f>
        <v/>
      </c>
      <c r="G236" s="58">
        <f>IF(AND(BANCO_OK_1,B236&lt;=MESES),IF(OR(B236=MESES,E236-F236&gt;H235),H235,E236-F236),0)</f>
        <v/>
      </c>
      <c r="H236" s="58">
        <f>H235-G236</f>
        <v/>
      </c>
      <c r="I236" s="58">
        <f>IF(AND(BANCO_OK_1,B236&lt;=MESES),F236+G236+VINC_MES_1,0)</f>
        <v/>
      </c>
      <c r="J236" s="52">
        <f>IF(AND(BANCO_OK_2,B236&lt;=MESES),IF(OR(OF_TIPO_2="Fija",C236&lt;=OF_ANIOS_INI_2),OF_TIN_2,MAX(0,EURIBOR+OF_DIF_2)),0)</f>
        <v/>
      </c>
      <c r="K236" s="58">
        <f>IF(AND(BANCO_OK_2,B236&lt;=MESES),IF(OR(B236=1,J236&lt;&gt;J235),PMT(J236/1200,MESES-B236+1,-N235),K235),0)</f>
        <v/>
      </c>
      <c r="L236" s="58">
        <f>N235*J236/1200</f>
        <v/>
      </c>
      <c r="M236" s="58">
        <f>IF(AND(BANCO_OK_2,B236&lt;=MESES),IF(OR(B236=MESES,K236-L236&gt;N235),N235,K236-L236),0)</f>
        <v/>
      </c>
      <c r="N236" s="58">
        <f>N235-M236</f>
        <v/>
      </c>
      <c r="O236" s="58">
        <f>IF(AND(BANCO_OK_2,B236&lt;=MESES),L236+M236+VINC_MES_2,0)</f>
        <v/>
      </c>
      <c r="P236" s="52">
        <f>IF(AND(BANCO_OK_3,B236&lt;=MESES),IF(OR(OF_TIPO_3="Fija",C236&lt;=OF_ANIOS_INI_3),OF_TIN_3,MAX(0,EURIBOR+OF_DIF_3)),0)</f>
        <v/>
      </c>
      <c r="Q236" s="58">
        <f>IF(AND(BANCO_OK_3,B236&lt;=MESES),IF(OR(B236=1,P236&lt;&gt;P235),PMT(P236/1200,MESES-B236+1,-T235),Q235),0)</f>
        <v/>
      </c>
      <c r="R236" s="58">
        <f>T235*P236/1200</f>
        <v/>
      </c>
      <c r="S236" s="58">
        <f>IF(AND(BANCO_OK_3,B236&lt;=MESES),IF(OR(B236=MESES,Q236-R236&gt;T235),T235,Q236-R236),0)</f>
        <v/>
      </c>
      <c r="T236" s="58">
        <f>T235-S236</f>
        <v/>
      </c>
      <c r="U236" s="58">
        <f>IF(AND(BANCO_OK_3,B236&lt;=MESES),R236+S236+VINC_MES_3,0)</f>
        <v/>
      </c>
      <c r="V236" s="52">
        <f>IF(AND(BANCO_OK_4,B236&lt;=MESES),IF(OR(OF_TIPO_4="Fija",C236&lt;=OF_ANIOS_INI_4),OF_TIN_4,MAX(0,EURIBOR+OF_DIF_4)),0)</f>
        <v/>
      </c>
      <c r="W236" s="58">
        <f>IF(AND(BANCO_OK_4,B236&lt;=MESES),IF(OR(B236=1,V236&lt;&gt;V235),PMT(V236/1200,MESES-B236+1,-Z235),W235),0)</f>
        <v/>
      </c>
      <c r="X236" s="58">
        <f>Z235*V236/1200</f>
        <v/>
      </c>
      <c r="Y236" s="58">
        <f>IF(AND(BANCO_OK_4,B236&lt;=MESES),IF(OR(B236=MESES,W236-X236&gt;Z235),Z235,W236-X236),0)</f>
        <v/>
      </c>
      <c r="Z236" s="58">
        <f>Z235-Y236</f>
        <v/>
      </c>
      <c r="AA236" s="58">
        <f>IF(AND(BANCO_OK_4,B236&lt;=MESES),X236+Y236+VINC_MES_4,0)</f>
        <v/>
      </c>
    </row>
    <row r="237">
      <c r="B237" s="56" t="n">
        <v>229</v>
      </c>
      <c r="C237" s="56">
        <f>ROUNDUP(B237/12,0)</f>
        <v/>
      </c>
      <c r="D237" s="52">
        <f>IF(AND(BANCO_OK_1,B237&lt;=MESES),IF(OR(OF_TIPO_1="Fija",C237&lt;=OF_ANIOS_INI_1),OF_TIN_1,MAX(0,EURIBOR+OF_DIF_1)),0)</f>
        <v/>
      </c>
      <c r="E237" s="58">
        <f>IF(AND(BANCO_OK_1,B237&lt;=MESES),IF(OR(B237=1,D237&lt;&gt;D236),PMT(D237/1200,MESES-B237+1,-H236),E236),0)</f>
        <v/>
      </c>
      <c r="F237" s="58">
        <f>H236*D237/1200</f>
        <v/>
      </c>
      <c r="G237" s="58">
        <f>IF(AND(BANCO_OK_1,B237&lt;=MESES),IF(OR(B237=MESES,E237-F237&gt;H236),H236,E237-F237),0)</f>
        <v/>
      </c>
      <c r="H237" s="58">
        <f>H236-G237</f>
        <v/>
      </c>
      <c r="I237" s="58">
        <f>IF(AND(BANCO_OK_1,B237&lt;=MESES),F237+G237+VINC_MES_1,0)</f>
        <v/>
      </c>
      <c r="J237" s="52">
        <f>IF(AND(BANCO_OK_2,B237&lt;=MESES),IF(OR(OF_TIPO_2="Fija",C237&lt;=OF_ANIOS_INI_2),OF_TIN_2,MAX(0,EURIBOR+OF_DIF_2)),0)</f>
        <v/>
      </c>
      <c r="K237" s="58">
        <f>IF(AND(BANCO_OK_2,B237&lt;=MESES),IF(OR(B237=1,J237&lt;&gt;J236),PMT(J237/1200,MESES-B237+1,-N236),K236),0)</f>
        <v/>
      </c>
      <c r="L237" s="58">
        <f>N236*J237/1200</f>
        <v/>
      </c>
      <c r="M237" s="58">
        <f>IF(AND(BANCO_OK_2,B237&lt;=MESES),IF(OR(B237=MESES,K237-L237&gt;N236),N236,K237-L237),0)</f>
        <v/>
      </c>
      <c r="N237" s="58">
        <f>N236-M237</f>
        <v/>
      </c>
      <c r="O237" s="58">
        <f>IF(AND(BANCO_OK_2,B237&lt;=MESES),L237+M237+VINC_MES_2,0)</f>
        <v/>
      </c>
      <c r="P237" s="52">
        <f>IF(AND(BANCO_OK_3,B237&lt;=MESES),IF(OR(OF_TIPO_3="Fija",C237&lt;=OF_ANIOS_INI_3),OF_TIN_3,MAX(0,EURIBOR+OF_DIF_3)),0)</f>
        <v/>
      </c>
      <c r="Q237" s="58">
        <f>IF(AND(BANCO_OK_3,B237&lt;=MESES),IF(OR(B237=1,P237&lt;&gt;P236),PMT(P237/1200,MESES-B237+1,-T236),Q236),0)</f>
        <v/>
      </c>
      <c r="R237" s="58">
        <f>T236*P237/1200</f>
        <v/>
      </c>
      <c r="S237" s="58">
        <f>IF(AND(BANCO_OK_3,B237&lt;=MESES),IF(OR(B237=MESES,Q237-R237&gt;T236),T236,Q237-R237),0)</f>
        <v/>
      </c>
      <c r="T237" s="58">
        <f>T236-S237</f>
        <v/>
      </c>
      <c r="U237" s="58">
        <f>IF(AND(BANCO_OK_3,B237&lt;=MESES),R237+S237+VINC_MES_3,0)</f>
        <v/>
      </c>
      <c r="V237" s="52">
        <f>IF(AND(BANCO_OK_4,B237&lt;=MESES),IF(OR(OF_TIPO_4="Fija",C237&lt;=OF_ANIOS_INI_4),OF_TIN_4,MAX(0,EURIBOR+OF_DIF_4)),0)</f>
        <v/>
      </c>
      <c r="W237" s="58">
        <f>IF(AND(BANCO_OK_4,B237&lt;=MESES),IF(OR(B237=1,V237&lt;&gt;V236),PMT(V237/1200,MESES-B237+1,-Z236),W236),0)</f>
        <v/>
      </c>
      <c r="X237" s="58">
        <f>Z236*V237/1200</f>
        <v/>
      </c>
      <c r="Y237" s="58">
        <f>IF(AND(BANCO_OK_4,B237&lt;=MESES),IF(OR(B237=MESES,W237-X237&gt;Z236),Z236,W237-X237),0)</f>
        <v/>
      </c>
      <c r="Z237" s="58">
        <f>Z236-Y237</f>
        <v/>
      </c>
      <c r="AA237" s="58">
        <f>IF(AND(BANCO_OK_4,B237&lt;=MESES),X237+Y237+VINC_MES_4,0)</f>
        <v/>
      </c>
    </row>
    <row r="238">
      <c r="B238" s="56" t="n">
        <v>230</v>
      </c>
      <c r="C238" s="56">
        <f>ROUNDUP(B238/12,0)</f>
        <v/>
      </c>
      <c r="D238" s="52">
        <f>IF(AND(BANCO_OK_1,B238&lt;=MESES),IF(OR(OF_TIPO_1="Fija",C238&lt;=OF_ANIOS_INI_1),OF_TIN_1,MAX(0,EURIBOR+OF_DIF_1)),0)</f>
        <v/>
      </c>
      <c r="E238" s="58">
        <f>IF(AND(BANCO_OK_1,B238&lt;=MESES),IF(OR(B238=1,D238&lt;&gt;D237),PMT(D238/1200,MESES-B238+1,-H237),E237),0)</f>
        <v/>
      </c>
      <c r="F238" s="58">
        <f>H237*D238/1200</f>
        <v/>
      </c>
      <c r="G238" s="58">
        <f>IF(AND(BANCO_OK_1,B238&lt;=MESES),IF(OR(B238=MESES,E238-F238&gt;H237),H237,E238-F238),0)</f>
        <v/>
      </c>
      <c r="H238" s="58">
        <f>H237-G238</f>
        <v/>
      </c>
      <c r="I238" s="58">
        <f>IF(AND(BANCO_OK_1,B238&lt;=MESES),F238+G238+VINC_MES_1,0)</f>
        <v/>
      </c>
      <c r="J238" s="52">
        <f>IF(AND(BANCO_OK_2,B238&lt;=MESES),IF(OR(OF_TIPO_2="Fija",C238&lt;=OF_ANIOS_INI_2),OF_TIN_2,MAX(0,EURIBOR+OF_DIF_2)),0)</f>
        <v/>
      </c>
      <c r="K238" s="58">
        <f>IF(AND(BANCO_OK_2,B238&lt;=MESES),IF(OR(B238=1,J238&lt;&gt;J237),PMT(J238/1200,MESES-B238+1,-N237),K237),0)</f>
        <v/>
      </c>
      <c r="L238" s="58">
        <f>N237*J238/1200</f>
        <v/>
      </c>
      <c r="M238" s="58">
        <f>IF(AND(BANCO_OK_2,B238&lt;=MESES),IF(OR(B238=MESES,K238-L238&gt;N237),N237,K238-L238),0)</f>
        <v/>
      </c>
      <c r="N238" s="58">
        <f>N237-M238</f>
        <v/>
      </c>
      <c r="O238" s="58">
        <f>IF(AND(BANCO_OK_2,B238&lt;=MESES),L238+M238+VINC_MES_2,0)</f>
        <v/>
      </c>
      <c r="P238" s="52">
        <f>IF(AND(BANCO_OK_3,B238&lt;=MESES),IF(OR(OF_TIPO_3="Fija",C238&lt;=OF_ANIOS_INI_3),OF_TIN_3,MAX(0,EURIBOR+OF_DIF_3)),0)</f>
        <v/>
      </c>
      <c r="Q238" s="58">
        <f>IF(AND(BANCO_OK_3,B238&lt;=MESES),IF(OR(B238=1,P238&lt;&gt;P237),PMT(P238/1200,MESES-B238+1,-T237),Q237),0)</f>
        <v/>
      </c>
      <c r="R238" s="58">
        <f>T237*P238/1200</f>
        <v/>
      </c>
      <c r="S238" s="58">
        <f>IF(AND(BANCO_OK_3,B238&lt;=MESES),IF(OR(B238=MESES,Q238-R238&gt;T237),T237,Q238-R238),0)</f>
        <v/>
      </c>
      <c r="T238" s="58">
        <f>T237-S238</f>
        <v/>
      </c>
      <c r="U238" s="58">
        <f>IF(AND(BANCO_OK_3,B238&lt;=MESES),R238+S238+VINC_MES_3,0)</f>
        <v/>
      </c>
      <c r="V238" s="52">
        <f>IF(AND(BANCO_OK_4,B238&lt;=MESES),IF(OR(OF_TIPO_4="Fija",C238&lt;=OF_ANIOS_INI_4),OF_TIN_4,MAX(0,EURIBOR+OF_DIF_4)),0)</f>
        <v/>
      </c>
      <c r="W238" s="58">
        <f>IF(AND(BANCO_OK_4,B238&lt;=MESES),IF(OR(B238=1,V238&lt;&gt;V237),PMT(V238/1200,MESES-B238+1,-Z237),W237),0)</f>
        <v/>
      </c>
      <c r="X238" s="58">
        <f>Z237*V238/1200</f>
        <v/>
      </c>
      <c r="Y238" s="58">
        <f>IF(AND(BANCO_OK_4,B238&lt;=MESES),IF(OR(B238=MESES,W238-X238&gt;Z237),Z237,W238-X238),0)</f>
        <v/>
      </c>
      <c r="Z238" s="58">
        <f>Z237-Y238</f>
        <v/>
      </c>
      <c r="AA238" s="58">
        <f>IF(AND(BANCO_OK_4,B238&lt;=MESES),X238+Y238+VINC_MES_4,0)</f>
        <v/>
      </c>
    </row>
    <row r="239">
      <c r="B239" s="56" t="n">
        <v>231</v>
      </c>
      <c r="C239" s="56">
        <f>ROUNDUP(B239/12,0)</f>
        <v/>
      </c>
      <c r="D239" s="52">
        <f>IF(AND(BANCO_OK_1,B239&lt;=MESES),IF(OR(OF_TIPO_1="Fija",C239&lt;=OF_ANIOS_INI_1),OF_TIN_1,MAX(0,EURIBOR+OF_DIF_1)),0)</f>
        <v/>
      </c>
      <c r="E239" s="58">
        <f>IF(AND(BANCO_OK_1,B239&lt;=MESES),IF(OR(B239=1,D239&lt;&gt;D238),PMT(D239/1200,MESES-B239+1,-H238),E238),0)</f>
        <v/>
      </c>
      <c r="F239" s="58">
        <f>H238*D239/1200</f>
        <v/>
      </c>
      <c r="G239" s="58">
        <f>IF(AND(BANCO_OK_1,B239&lt;=MESES),IF(OR(B239=MESES,E239-F239&gt;H238),H238,E239-F239),0)</f>
        <v/>
      </c>
      <c r="H239" s="58">
        <f>H238-G239</f>
        <v/>
      </c>
      <c r="I239" s="58">
        <f>IF(AND(BANCO_OK_1,B239&lt;=MESES),F239+G239+VINC_MES_1,0)</f>
        <v/>
      </c>
      <c r="J239" s="52">
        <f>IF(AND(BANCO_OK_2,B239&lt;=MESES),IF(OR(OF_TIPO_2="Fija",C239&lt;=OF_ANIOS_INI_2),OF_TIN_2,MAX(0,EURIBOR+OF_DIF_2)),0)</f>
        <v/>
      </c>
      <c r="K239" s="58">
        <f>IF(AND(BANCO_OK_2,B239&lt;=MESES),IF(OR(B239=1,J239&lt;&gt;J238),PMT(J239/1200,MESES-B239+1,-N238),K238),0)</f>
        <v/>
      </c>
      <c r="L239" s="58">
        <f>N238*J239/1200</f>
        <v/>
      </c>
      <c r="M239" s="58">
        <f>IF(AND(BANCO_OK_2,B239&lt;=MESES),IF(OR(B239=MESES,K239-L239&gt;N238),N238,K239-L239),0)</f>
        <v/>
      </c>
      <c r="N239" s="58">
        <f>N238-M239</f>
        <v/>
      </c>
      <c r="O239" s="58">
        <f>IF(AND(BANCO_OK_2,B239&lt;=MESES),L239+M239+VINC_MES_2,0)</f>
        <v/>
      </c>
      <c r="P239" s="52">
        <f>IF(AND(BANCO_OK_3,B239&lt;=MESES),IF(OR(OF_TIPO_3="Fija",C239&lt;=OF_ANIOS_INI_3),OF_TIN_3,MAX(0,EURIBOR+OF_DIF_3)),0)</f>
        <v/>
      </c>
      <c r="Q239" s="58">
        <f>IF(AND(BANCO_OK_3,B239&lt;=MESES),IF(OR(B239=1,P239&lt;&gt;P238),PMT(P239/1200,MESES-B239+1,-T238),Q238),0)</f>
        <v/>
      </c>
      <c r="R239" s="58">
        <f>T238*P239/1200</f>
        <v/>
      </c>
      <c r="S239" s="58">
        <f>IF(AND(BANCO_OK_3,B239&lt;=MESES),IF(OR(B239=MESES,Q239-R239&gt;T238),T238,Q239-R239),0)</f>
        <v/>
      </c>
      <c r="T239" s="58">
        <f>T238-S239</f>
        <v/>
      </c>
      <c r="U239" s="58">
        <f>IF(AND(BANCO_OK_3,B239&lt;=MESES),R239+S239+VINC_MES_3,0)</f>
        <v/>
      </c>
      <c r="V239" s="52">
        <f>IF(AND(BANCO_OK_4,B239&lt;=MESES),IF(OR(OF_TIPO_4="Fija",C239&lt;=OF_ANIOS_INI_4),OF_TIN_4,MAX(0,EURIBOR+OF_DIF_4)),0)</f>
        <v/>
      </c>
      <c r="W239" s="58">
        <f>IF(AND(BANCO_OK_4,B239&lt;=MESES),IF(OR(B239=1,V239&lt;&gt;V238),PMT(V239/1200,MESES-B239+1,-Z238),W238),0)</f>
        <v/>
      </c>
      <c r="X239" s="58">
        <f>Z238*V239/1200</f>
        <v/>
      </c>
      <c r="Y239" s="58">
        <f>IF(AND(BANCO_OK_4,B239&lt;=MESES),IF(OR(B239=MESES,W239-X239&gt;Z238),Z238,W239-X239),0)</f>
        <v/>
      </c>
      <c r="Z239" s="58">
        <f>Z238-Y239</f>
        <v/>
      </c>
      <c r="AA239" s="58">
        <f>IF(AND(BANCO_OK_4,B239&lt;=MESES),X239+Y239+VINC_MES_4,0)</f>
        <v/>
      </c>
    </row>
    <row r="240">
      <c r="B240" s="56" t="n">
        <v>232</v>
      </c>
      <c r="C240" s="56">
        <f>ROUNDUP(B240/12,0)</f>
        <v/>
      </c>
      <c r="D240" s="52">
        <f>IF(AND(BANCO_OK_1,B240&lt;=MESES),IF(OR(OF_TIPO_1="Fija",C240&lt;=OF_ANIOS_INI_1),OF_TIN_1,MAX(0,EURIBOR+OF_DIF_1)),0)</f>
        <v/>
      </c>
      <c r="E240" s="58">
        <f>IF(AND(BANCO_OK_1,B240&lt;=MESES),IF(OR(B240=1,D240&lt;&gt;D239),PMT(D240/1200,MESES-B240+1,-H239),E239),0)</f>
        <v/>
      </c>
      <c r="F240" s="58">
        <f>H239*D240/1200</f>
        <v/>
      </c>
      <c r="G240" s="58">
        <f>IF(AND(BANCO_OK_1,B240&lt;=MESES),IF(OR(B240=MESES,E240-F240&gt;H239),H239,E240-F240),0)</f>
        <v/>
      </c>
      <c r="H240" s="58">
        <f>H239-G240</f>
        <v/>
      </c>
      <c r="I240" s="58">
        <f>IF(AND(BANCO_OK_1,B240&lt;=MESES),F240+G240+VINC_MES_1,0)</f>
        <v/>
      </c>
      <c r="J240" s="52">
        <f>IF(AND(BANCO_OK_2,B240&lt;=MESES),IF(OR(OF_TIPO_2="Fija",C240&lt;=OF_ANIOS_INI_2),OF_TIN_2,MAX(0,EURIBOR+OF_DIF_2)),0)</f>
        <v/>
      </c>
      <c r="K240" s="58">
        <f>IF(AND(BANCO_OK_2,B240&lt;=MESES),IF(OR(B240=1,J240&lt;&gt;J239),PMT(J240/1200,MESES-B240+1,-N239),K239),0)</f>
        <v/>
      </c>
      <c r="L240" s="58">
        <f>N239*J240/1200</f>
        <v/>
      </c>
      <c r="M240" s="58">
        <f>IF(AND(BANCO_OK_2,B240&lt;=MESES),IF(OR(B240=MESES,K240-L240&gt;N239),N239,K240-L240),0)</f>
        <v/>
      </c>
      <c r="N240" s="58">
        <f>N239-M240</f>
        <v/>
      </c>
      <c r="O240" s="58">
        <f>IF(AND(BANCO_OK_2,B240&lt;=MESES),L240+M240+VINC_MES_2,0)</f>
        <v/>
      </c>
      <c r="P240" s="52">
        <f>IF(AND(BANCO_OK_3,B240&lt;=MESES),IF(OR(OF_TIPO_3="Fija",C240&lt;=OF_ANIOS_INI_3),OF_TIN_3,MAX(0,EURIBOR+OF_DIF_3)),0)</f>
        <v/>
      </c>
      <c r="Q240" s="58">
        <f>IF(AND(BANCO_OK_3,B240&lt;=MESES),IF(OR(B240=1,P240&lt;&gt;P239),PMT(P240/1200,MESES-B240+1,-T239),Q239),0)</f>
        <v/>
      </c>
      <c r="R240" s="58">
        <f>T239*P240/1200</f>
        <v/>
      </c>
      <c r="S240" s="58">
        <f>IF(AND(BANCO_OK_3,B240&lt;=MESES),IF(OR(B240=MESES,Q240-R240&gt;T239),T239,Q240-R240),0)</f>
        <v/>
      </c>
      <c r="T240" s="58">
        <f>T239-S240</f>
        <v/>
      </c>
      <c r="U240" s="58">
        <f>IF(AND(BANCO_OK_3,B240&lt;=MESES),R240+S240+VINC_MES_3,0)</f>
        <v/>
      </c>
      <c r="V240" s="52">
        <f>IF(AND(BANCO_OK_4,B240&lt;=MESES),IF(OR(OF_TIPO_4="Fija",C240&lt;=OF_ANIOS_INI_4),OF_TIN_4,MAX(0,EURIBOR+OF_DIF_4)),0)</f>
        <v/>
      </c>
      <c r="W240" s="58">
        <f>IF(AND(BANCO_OK_4,B240&lt;=MESES),IF(OR(B240=1,V240&lt;&gt;V239),PMT(V240/1200,MESES-B240+1,-Z239),W239),0)</f>
        <v/>
      </c>
      <c r="X240" s="58">
        <f>Z239*V240/1200</f>
        <v/>
      </c>
      <c r="Y240" s="58">
        <f>IF(AND(BANCO_OK_4,B240&lt;=MESES),IF(OR(B240=MESES,W240-X240&gt;Z239),Z239,W240-X240),0)</f>
        <v/>
      </c>
      <c r="Z240" s="58">
        <f>Z239-Y240</f>
        <v/>
      </c>
      <c r="AA240" s="58">
        <f>IF(AND(BANCO_OK_4,B240&lt;=MESES),X240+Y240+VINC_MES_4,0)</f>
        <v/>
      </c>
    </row>
    <row r="241">
      <c r="B241" s="56" t="n">
        <v>233</v>
      </c>
      <c r="C241" s="56">
        <f>ROUNDUP(B241/12,0)</f>
        <v/>
      </c>
      <c r="D241" s="52">
        <f>IF(AND(BANCO_OK_1,B241&lt;=MESES),IF(OR(OF_TIPO_1="Fija",C241&lt;=OF_ANIOS_INI_1),OF_TIN_1,MAX(0,EURIBOR+OF_DIF_1)),0)</f>
        <v/>
      </c>
      <c r="E241" s="58">
        <f>IF(AND(BANCO_OK_1,B241&lt;=MESES),IF(OR(B241=1,D241&lt;&gt;D240),PMT(D241/1200,MESES-B241+1,-H240),E240),0)</f>
        <v/>
      </c>
      <c r="F241" s="58">
        <f>H240*D241/1200</f>
        <v/>
      </c>
      <c r="G241" s="58">
        <f>IF(AND(BANCO_OK_1,B241&lt;=MESES),IF(OR(B241=MESES,E241-F241&gt;H240),H240,E241-F241),0)</f>
        <v/>
      </c>
      <c r="H241" s="58">
        <f>H240-G241</f>
        <v/>
      </c>
      <c r="I241" s="58">
        <f>IF(AND(BANCO_OK_1,B241&lt;=MESES),F241+G241+VINC_MES_1,0)</f>
        <v/>
      </c>
      <c r="J241" s="52">
        <f>IF(AND(BANCO_OK_2,B241&lt;=MESES),IF(OR(OF_TIPO_2="Fija",C241&lt;=OF_ANIOS_INI_2),OF_TIN_2,MAX(0,EURIBOR+OF_DIF_2)),0)</f>
        <v/>
      </c>
      <c r="K241" s="58">
        <f>IF(AND(BANCO_OK_2,B241&lt;=MESES),IF(OR(B241=1,J241&lt;&gt;J240),PMT(J241/1200,MESES-B241+1,-N240),K240),0)</f>
        <v/>
      </c>
      <c r="L241" s="58">
        <f>N240*J241/1200</f>
        <v/>
      </c>
      <c r="M241" s="58">
        <f>IF(AND(BANCO_OK_2,B241&lt;=MESES),IF(OR(B241=MESES,K241-L241&gt;N240),N240,K241-L241),0)</f>
        <v/>
      </c>
      <c r="N241" s="58">
        <f>N240-M241</f>
        <v/>
      </c>
      <c r="O241" s="58">
        <f>IF(AND(BANCO_OK_2,B241&lt;=MESES),L241+M241+VINC_MES_2,0)</f>
        <v/>
      </c>
      <c r="P241" s="52">
        <f>IF(AND(BANCO_OK_3,B241&lt;=MESES),IF(OR(OF_TIPO_3="Fija",C241&lt;=OF_ANIOS_INI_3),OF_TIN_3,MAX(0,EURIBOR+OF_DIF_3)),0)</f>
        <v/>
      </c>
      <c r="Q241" s="58">
        <f>IF(AND(BANCO_OK_3,B241&lt;=MESES),IF(OR(B241=1,P241&lt;&gt;P240),PMT(P241/1200,MESES-B241+1,-T240),Q240),0)</f>
        <v/>
      </c>
      <c r="R241" s="58">
        <f>T240*P241/1200</f>
        <v/>
      </c>
      <c r="S241" s="58">
        <f>IF(AND(BANCO_OK_3,B241&lt;=MESES),IF(OR(B241=MESES,Q241-R241&gt;T240),T240,Q241-R241),0)</f>
        <v/>
      </c>
      <c r="T241" s="58">
        <f>T240-S241</f>
        <v/>
      </c>
      <c r="U241" s="58">
        <f>IF(AND(BANCO_OK_3,B241&lt;=MESES),R241+S241+VINC_MES_3,0)</f>
        <v/>
      </c>
      <c r="V241" s="52">
        <f>IF(AND(BANCO_OK_4,B241&lt;=MESES),IF(OR(OF_TIPO_4="Fija",C241&lt;=OF_ANIOS_INI_4),OF_TIN_4,MAX(0,EURIBOR+OF_DIF_4)),0)</f>
        <v/>
      </c>
      <c r="W241" s="58">
        <f>IF(AND(BANCO_OK_4,B241&lt;=MESES),IF(OR(B241=1,V241&lt;&gt;V240),PMT(V241/1200,MESES-B241+1,-Z240),W240),0)</f>
        <v/>
      </c>
      <c r="X241" s="58">
        <f>Z240*V241/1200</f>
        <v/>
      </c>
      <c r="Y241" s="58">
        <f>IF(AND(BANCO_OK_4,B241&lt;=MESES),IF(OR(B241=MESES,W241-X241&gt;Z240),Z240,W241-X241),0)</f>
        <v/>
      </c>
      <c r="Z241" s="58">
        <f>Z240-Y241</f>
        <v/>
      </c>
      <c r="AA241" s="58">
        <f>IF(AND(BANCO_OK_4,B241&lt;=MESES),X241+Y241+VINC_MES_4,0)</f>
        <v/>
      </c>
    </row>
    <row r="242">
      <c r="B242" s="56" t="n">
        <v>234</v>
      </c>
      <c r="C242" s="56">
        <f>ROUNDUP(B242/12,0)</f>
        <v/>
      </c>
      <c r="D242" s="52">
        <f>IF(AND(BANCO_OK_1,B242&lt;=MESES),IF(OR(OF_TIPO_1="Fija",C242&lt;=OF_ANIOS_INI_1),OF_TIN_1,MAX(0,EURIBOR+OF_DIF_1)),0)</f>
        <v/>
      </c>
      <c r="E242" s="58">
        <f>IF(AND(BANCO_OK_1,B242&lt;=MESES),IF(OR(B242=1,D242&lt;&gt;D241),PMT(D242/1200,MESES-B242+1,-H241),E241),0)</f>
        <v/>
      </c>
      <c r="F242" s="58">
        <f>H241*D242/1200</f>
        <v/>
      </c>
      <c r="G242" s="58">
        <f>IF(AND(BANCO_OK_1,B242&lt;=MESES),IF(OR(B242=MESES,E242-F242&gt;H241),H241,E242-F242),0)</f>
        <v/>
      </c>
      <c r="H242" s="58">
        <f>H241-G242</f>
        <v/>
      </c>
      <c r="I242" s="58">
        <f>IF(AND(BANCO_OK_1,B242&lt;=MESES),F242+G242+VINC_MES_1,0)</f>
        <v/>
      </c>
      <c r="J242" s="52">
        <f>IF(AND(BANCO_OK_2,B242&lt;=MESES),IF(OR(OF_TIPO_2="Fija",C242&lt;=OF_ANIOS_INI_2),OF_TIN_2,MAX(0,EURIBOR+OF_DIF_2)),0)</f>
        <v/>
      </c>
      <c r="K242" s="58">
        <f>IF(AND(BANCO_OK_2,B242&lt;=MESES),IF(OR(B242=1,J242&lt;&gt;J241),PMT(J242/1200,MESES-B242+1,-N241),K241),0)</f>
        <v/>
      </c>
      <c r="L242" s="58">
        <f>N241*J242/1200</f>
        <v/>
      </c>
      <c r="M242" s="58">
        <f>IF(AND(BANCO_OK_2,B242&lt;=MESES),IF(OR(B242=MESES,K242-L242&gt;N241),N241,K242-L242),0)</f>
        <v/>
      </c>
      <c r="N242" s="58">
        <f>N241-M242</f>
        <v/>
      </c>
      <c r="O242" s="58">
        <f>IF(AND(BANCO_OK_2,B242&lt;=MESES),L242+M242+VINC_MES_2,0)</f>
        <v/>
      </c>
      <c r="P242" s="52">
        <f>IF(AND(BANCO_OK_3,B242&lt;=MESES),IF(OR(OF_TIPO_3="Fija",C242&lt;=OF_ANIOS_INI_3),OF_TIN_3,MAX(0,EURIBOR+OF_DIF_3)),0)</f>
        <v/>
      </c>
      <c r="Q242" s="58">
        <f>IF(AND(BANCO_OK_3,B242&lt;=MESES),IF(OR(B242=1,P242&lt;&gt;P241),PMT(P242/1200,MESES-B242+1,-T241),Q241),0)</f>
        <v/>
      </c>
      <c r="R242" s="58">
        <f>T241*P242/1200</f>
        <v/>
      </c>
      <c r="S242" s="58">
        <f>IF(AND(BANCO_OK_3,B242&lt;=MESES),IF(OR(B242=MESES,Q242-R242&gt;T241),T241,Q242-R242),0)</f>
        <v/>
      </c>
      <c r="T242" s="58">
        <f>T241-S242</f>
        <v/>
      </c>
      <c r="U242" s="58">
        <f>IF(AND(BANCO_OK_3,B242&lt;=MESES),R242+S242+VINC_MES_3,0)</f>
        <v/>
      </c>
      <c r="V242" s="52">
        <f>IF(AND(BANCO_OK_4,B242&lt;=MESES),IF(OR(OF_TIPO_4="Fija",C242&lt;=OF_ANIOS_INI_4),OF_TIN_4,MAX(0,EURIBOR+OF_DIF_4)),0)</f>
        <v/>
      </c>
      <c r="W242" s="58">
        <f>IF(AND(BANCO_OK_4,B242&lt;=MESES),IF(OR(B242=1,V242&lt;&gt;V241),PMT(V242/1200,MESES-B242+1,-Z241),W241),0)</f>
        <v/>
      </c>
      <c r="X242" s="58">
        <f>Z241*V242/1200</f>
        <v/>
      </c>
      <c r="Y242" s="58">
        <f>IF(AND(BANCO_OK_4,B242&lt;=MESES),IF(OR(B242=MESES,W242-X242&gt;Z241),Z241,W242-X242),0)</f>
        <v/>
      </c>
      <c r="Z242" s="58">
        <f>Z241-Y242</f>
        <v/>
      </c>
      <c r="AA242" s="58">
        <f>IF(AND(BANCO_OK_4,B242&lt;=MESES),X242+Y242+VINC_MES_4,0)</f>
        <v/>
      </c>
    </row>
    <row r="243">
      <c r="B243" s="56" t="n">
        <v>235</v>
      </c>
      <c r="C243" s="56">
        <f>ROUNDUP(B243/12,0)</f>
        <v/>
      </c>
      <c r="D243" s="52">
        <f>IF(AND(BANCO_OK_1,B243&lt;=MESES),IF(OR(OF_TIPO_1="Fija",C243&lt;=OF_ANIOS_INI_1),OF_TIN_1,MAX(0,EURIBOR+OF_DIF_1)),0)</f>
        <v/>
      </c>
      <c r="E243" s="58">
        <f>IF(AND(BANCO_OK_1,B243&lt;=MESES),IF(OR(B243=1,D243&lt;&gt;D242),PMT(D243/1200,MESES-B243+1,-H242),E242),0)</f>
        <v/>
      </c>
      <c r="F243" s="58">
        <f>H242*D243/1200</f>
        <v/>
      </c>
      <c r="G243" s="58">
        <f>IF(AND(BANCO_OK_1,B243&lt;=MESES),IF(OR(B243=MESES,E243-F243&gt;H242),H242,E243-F243),0)</f>
        <v/>
      </c>
      <c r="H243" s="58">
        <f>H242-G243</f>
        <v/>
      </c>
      <c r="I243" s="58">
        <f>IF(AND(BANCO_OK_1,B243&lt;=MESES),F243+G243+VINC_MES_1,0)</f>
        <v/>
      </c>
      <c r="J243" s="52">
        <f>IF(AND(BANCO_OK_2,B243&lt;=MESES),IF(OR(OF_TIPO_2="Fija",C243&lt;=OF_ANIOS_INI_2),OF_TIN_2,MAX(0,EURIBOR+OF_DIF_2)),0)</f>
        <v/>
      </c>
      <c r="K243" s="58">
        <f>IF(AND(BANCO_OK_2,B243&lt;=MESES),IF(OR(B243=1,J243&lt;&gt;J242),PMT(J243/1200,MESES-B243+1,-N242),K242),0)</f>
        <v/>
      </c>
      <c r="L243" s="58">
        <f>N242*J243/1200</f>
        <v/>
      </c>
      <c r="M243" s="58">
        <f>IF(AND(BANCO_OK_2,B243&lt;=MESES),IF(OR(B243=MESES,K243-L243&gt;N242),N242,K243-L243),0)</f>
        <v/>
      </c>
      <c r="N243" s="58">
        <f>N242-M243</f>
        <v/>
      </c>
      <c r="O243" s="58">
        <f>IF(AND(BANCO_OK_2,B243&lt;=MESES),L243+M243+VINC_MES_2,0)</f>
        <v/>
      </c>
      <c r="P243" s="52">
        <f>IF(AND(BANCO_OK_3,B243&lt;=MESES),IF(OR(OF_TIPO_3="Fija",C243&lt;=OF_ANIOS_INI_3),OF_TIN_3,MAX(0,EURIBOR+OF_DIF_3)),0)</f>
        <v/>
      </c>
      <c r="Q243" s="58">
        <f>IF(AND(BANCO_OK_3,B243&lt;=MESES),IF(OR(B243=1,P243&lt;&gt;P242),PMT(P243/1200,MESES-B243+1,-T242),Q242),0)</f>
        <v/>
      </c>
      <c r="R243" s="58">
        <f>T242*P243/1200</f>
        <v/>
      </c>
      <c r="S243" s="58">
        <f>IF(AND(BANCO_OK_3,B243&lt;=MESES),IF(OR(B243=MESES,Q243-R243&gt;T242),T242,Q243-R243),0)</f>
        <v/>
      </c>
      <c r="T243" s="58">
        <f>T242-S243</f>
        <v/>
      </c>
      <c r="U243" s="58">
        <f>IF(AND(BANCO_OK_3,B243&lt;=MESES),R243+S243+VINC_MES_3,0)</f>
        <v/>
      </c>
      <c r="V243" s="52">
        <f>IF(AND(BANCO_OK_4,B243&lt;=MESES),IF(OR(OF_TIPO_4="Fija",C243&lt;=OF_ANIOS_INI_4),OF_TIN_4,MAX(0,EURIBOR+OF_DIF_4)),0)</f>
        <v/>
      </c>
      <c r="W243" s="58">
        <f>IF(AND(BANCO_OK_4,B243&lt;=MESES),IF(OR(B243=1,V243&lt;&gt;V242),PMT(V243/1200,MESES-B243+1,-Z242),W242),0)</f>
        <v/>
      </c>
      <c r="X243" s="58">
        <f>Z242*V243/1200</f>
        <v/>
      </c>
      <c r="Y243" s="58">
        <f>IF(AND(BANCO_OK_4,B243&lt;=MESES),IF(OR(B243=MESES,W243-X243&gt;Z242),Z242,W243-X243),0)</f>
        <v/>
      </c>
      <c r="Z243" s="58">
        <f>Z242-Y243</f>
        <v/>
      </c>
      <c r="AA243" s="58">
        <f>IF(AND(BANCO_OK_4,B243&lt;=MESES),X243+Y243+VINC_MES_4,0)</f>
        <v/>
      </c>
    </row>
    <row r="244">
      <c r="B244" s="56" t="n">
        <v>236</v>
      </c>
      <c r="C244" s="56">
        <f>ROUNDUP(B244/12,0)</f>
        <v/>
      </c>
      <c r="D244" s="52">
        <f>IF(AND(BANCO_OK_1,B244&lt;=MESES),IF(OR(OF_TIPO_1="Fija",C244&lt;=OF_ANIOS_INI_1),OF_TIN_1,MAX(0,EURIBOR+OF_DIF_1)),0)</f>
        <v/>
      </c>
      <c r="E244" s="58">
        <f>IF(AND(BANCO_OK_1,B244&lt;=MESES),IF(OR(B244=1,D244&lt;&gt;D243),PMT(D244/1200,MESES-B244+1,-H243),E243),0)</f>
        <v/>
      </c>
      <c r="F244" s="58">
        <f>H243*D244/1200</f>
        <v/>
      </c>
      <c r="G244" s="58">
        <f>IF(AND(BANCO_OK_1,B244&lt;=MESES),IF(OR(B244=MESES,E244-F244&gt;H243),H243,E244-F244),0)</f>
        <v/>
      </c>
      <c r="H244" s="58">
        <f>H243-G244</f>
        <v/>
      </c>
      <c r="I244" s="58">
        <f>IF(AND(BANCO_OK_1,B244&lt;=MESES),F244+G244+VINC_MES_1,0)</f>
        <v/>
      </c>
      <c r="J244" s="52">
        <f>IF(AND(BANCO_OK_2,B244&lt;=MESES),IF(OR(OF_TIPO_2="Fija",C244&lt;=OF_ANIOS_INI_2),OF_TIN_2,MAX(0,EURIBOR+OF_DIF_2)),0)</f>
        <v/>
      </c>
      <c r="K244" s="58">
        <f>IF(AND(BANCO_OK_2,B244&lt;=MESES),IF(OR(B244=1,J244&lt;&gt;J243),PMT(J244/1200,MESES-B244+1,-N243),K243),0)</f>
        <v/>
      </c>
      <c r="L244" s="58">
        <f>N243*J244/1200</f>
        <v/>
      </c>
      <c r="M244" s="58">
        <f>IF(AND(BANCO_OK_2,B244&lt;=MESES),IF(OR(B244=MESES,K244-L244&gt;N243),N243,K244-L244),0)</f>
        <v/>
      </c>
      <c r="N244" s="58">
        <f>N243-M244</f>
        <v/>
      </c>
      <c r="O244" s="58">
        <f>IF(AND(BANCO_OK_2,B244&lt;=MESES),L244+M244+VINC_MES_2,0)</f>
        <v/>
      </c>
      <c r="P244" s="52">
        <f>IF(AND(BANCO_OK_3,B244&lt;=MESES),IF(OR(OF_TIPO_3="Fija",C244&lt;=OF_ANIOS_INI_3),OF_TIN_3,MAX(0,EURIBOR+OF_DIF_3)),0)</f>
        <v/>
      </c>
      <c r="Q244" s="58">
        <f>IF(AND(BANCO_OK_3,B244&lt;=MESES),IF(OR(B244=1,P244&lt;&gt;P243),PMT(P244/1200,MESES-B244+1,-T243),Q243),0)</f>
        <v/>
      </c>
      <c r="R244" s="58">
        <f>T243*P244/1200</f>
        <v/>
      </c>
      <c r="S244" s="58">
        <f>IF(AND(BANCO_OK_3,B244&lt;=MESES),IF(OR(B244=MESES,Q244-R244&gt;T243),T243,Q244-R244),0)</f>
        <v/>
      </c>
      <c r="T244" s="58">
        <f>T243-S244</f>
        <v/>
      </c>
      <c r="U244" s="58">
        <f>IF(AND(BANCO_OK_3,B244&lt;=MESES),R244+S244+VINC_MES_3,0)</f>
        <v/>
      </c>
      <c r="V244" s="52">
        <f>IF(AND(BANCO_OK_4,B244&lt;=MESES),IF(OR(OF_TIPO_4="Fija",C244&lt;=OF_ANIOS_INI_4),OF_TIN_4,MAX(0,EURIBOR+OF_DIF_4)),0)</f>
        <v/>
      </c>
      <c r="W244" s="58">
        <f>IF(AND(BANCO_OK_4,B244&lt;=MESES),IF(OR(B244=1,V244&lt;&gt;V243),PMT(V244/1200,MESES-B244+1,-Z243),W243),0)</f>
        <v/>
      </c>
      <c r="X244" s="58">
        <f>Z243*V244/1200</f>
        <v/>
      </c>
      <c r="Y244" s="58">
        <f>IF(AND(BANCO_OK_4,B244&lt;=MESES),IF(OR(B244=MESES,W244-X244&gt;Z243),Z243,W244-X244),0)</f>
        <v/>
      </c>
      <c r="Z244" s="58">
        <f>Z243-Y244</f>
        <v/>
      </c>
      <c r="AA244" s="58">
        <f>IF(AND(BANCO_OK_4,B244&lt;=MESES),X244+Y244+VINC_MES_4,0)</f>
        <v/>
      </c>
    </row>
    <row r="245">
      <c r="B245" s="56" t="n">
        <v>237</v>
      </c>
      <c r="C245" s="56">
        <f>ROUNDUP(B245/12,0)</f>
        <v/>
      </c>
      <c r="D245" s="52">
        <f>IF(AND(BANCO_OK_1,B245&lt;=MESES),IF(OR(OF_TIPO_1="Fija",C245&lt;=OF_ANIOS_INI_1),OF_TIN_1,MAX(0,EURIBOR+OF_DIF_1)),0)</f>
        <v/>
      </c>
      <c r="E245" s="58">
        <f>IF(AND(BANCO_OK_1,B245&lt;=MESES),IF(OR(B245=1,D245&lt;&gt;D244),PMT(D245/1200,MESES-B245+1,-H244),E244),0)</f>
        <v/>
      </c>
      <c r="F245" s="58">
        <f>H244*D245/1200</f>
        <v/>
      </c>
      <c r="G245" s="58">
        <f>IF(AND(BANCO_OK_1,B245&lt;=MESES),IF(OR(B245=MESES,E245-F245&gt;H244),H244,E245-F245),0)</f>
        <v/>
      </c>
      <c r="H245" s="58">
        <f>H244-G245</f>
        <v/>
      </c>
      <c r="I245" s="58">
        <f>IF(AND(BANCO_OK_1,B245&lt;=MESES),F245+G245+VINC_MES_1,0)</f>
        <v/>
      </c>
      <c r="J245" s="52">
        <f>IF(AND(BANCO_OK_2,B245&lt;=MESES),IF(OR(OF_TIPO_2="Fija",C245&lt;=OF_ANIOS_INI_2),OF_TIN_2,MAX(0,EURIBOR+OF_DIF_2)),0)</f>
        <v/>
      </c>
      <c r="K245" s="58">
        <f>IF(AND(BANCO_OK_2,B245&lt;=MESES),IF(OR(B245=1,J245&lt;&gt;J244),PMT(J245/1200,MESES-B245+1,-N244),K244),0)</f>
        <v/>
      </c>
      <c r="L245" s="58">
        <f>N244*J245/1200</f>
        <v/>
      </c>
      <c r="M245" s="58">
        <f>IF(AND(BANCO_OK_2,B245&lt;=MESES),IF(OR(B245=MESES,K245-L245&gt;N244),N244,K245-L245),0)</f>
        <v/>
      </c>
      <c r="N245" s="58">
        <f>N244-M245</f>
        <v/>
      </c>
      <c r="O245" s="58">
        <f>IF(AND(BANCO_OK_2,B245&lt;=MESES),L245+M245+VINC_MES_2,0)</f>
        <v/>
      </c>
      <c r="P245" s="52">
        <f>IF(AND(BANCO_OK_3,B245&lt;=MESES),IF(OR(OF_TIPO_3="Fija",C245&lt;=OF_ANIOS_INI_3),OF_TIN_3,MAX(0,EURIBOR+OF_DIF_3)),0)</f>
        <v/>
      </c>
      <c r="Q245" s="58">
        <f>IF(AND(BANCO_OK_3,B245&lt;=MESES),IF(OR(B245=1,P245&lt;&gt;P244),PMT(P245/1200,MESES-B245+1,-T244),Q244),0)</f>
        <v/>
      </c>
      <c r="R245" s="58">
        <f>T244*P245/1200</f>
        <v/>
      </c>
      <c r="S245" s="58">
        <f>IF(AND(BANCO_OK_3,B245&lt;=MESES),IF(OR(B245=MESES,Q245-R245&gt;T244),T244,Q245-R245),0)</f>
        <v/>
      </c>
      <c r="T245" s="58">
        <f>T244-S245</f>
        <v/>
      </c>
      <c r="U245" s="58">
        <f>IF(AND(BANCO_OK_3,B245&lt;=MESES),R245+S245+VINC_MES_3,0)</f>
        <v/>
      </c>
      <c r="V245" s="52">
        <f>IF(AND(BANCO_OK_4,B245&lt;=MESES),IF(OR(OF_TIPO_4="Fija",C245&lt;=OF_ANIOS_INI_4),OF_TIN_4,MAX(0,EURIBOR+OF_DIF_4)),0)</f>
        <v/>
      </c>
      <c r="W245" s="58">
        <f>IF(AND(BANCO_OK_4,B245&lt;=MESES),IF(OR(B245=1,V245&lt;&gt;V244),PMT(V245/1200,MESES-B245+1,-Z244),W244),0)</f>
        <v/>
      </c>
      <c r="X245" s="58">
        <f>Z244*V245/1200</f>
        <v/>
      </c>
      <c r="Y245" s="58">
        <f>IF(AND(BANCO_OK_4,B245&lt;=MESES),IF(OR(B245=MESES,W245-X245&gt;Z244),Z244,W245-X245),0)</f>
        <v/>
      </c>
      <c r="Z245" s="58">
        <f>Z244-Y245</f>
        <v/>
      </c>
      <c r="AA245" s="58">
        <f>IF(AND(BANCO_OK_4,B245&lt;=MESES),X245+Y245+VINC_MES_4,0)</f>
        <v/>
      </c>
    </row>
    <row r="246">
      <c r="B246" s="56" t="n">
        <v>238</v>
      </c>
      <c r="C246" s="56">
        <f>ROUNDUP(B246/12,0)</f>
        <v/>
      </c>
      <c r="D246" s="52">
        <f>IF(AND(BANCO_OK_1,B246&lt;=MESES),IF(OR(OF_TIPO_1="Fija",C246&lt;=OF_ANIOS_INI_1),OF_TIN_1,MAX(0,EURIBOR+OF_DIF_1)),0)</f>
        <v/>
      </c>
      <c r="E246" s="58">
        <f>IF(AND(BANCO_OK_1,B246&lt;=MESES),IF(OR(B246=1,D246&lt;&gt;D245),PMT(D246/1200,MESES-B246+1,-H245),E245),0)</f>
        <v/>
      </c>
      <c r="F246" s="58">
        <f>H245*D246/1200</f>
        <v/>
      </c>
      <c r="G246" s="58">
        <f>IF(AND(BANCO_OK_1,B246&lt;=MESES),IF(OR(B246=MESES,E246-F246&gt;H245),H245,E246-F246),0)</f>
        <v/>
      </c>
      <c r="H246" s="58">
        <f>H245-G246</f>
        <v/>
      </c>
      <c r="I246" s="58">
        <f>IF(AND(BANCO_OK_1,B246&lt;=MESES),F246+G246+VINC_MES_1,0)</f>
        <v/>
      </c>
      <c r="J246" s="52">
        <f>IF(AND(BANCO_OK_2,B246&lt;=MESES),IF(OR(OF_TIPO_2="Fija",C246&lt;=OF_ANIOS_INI_2),OF_TIN_2,MAX(0,EURIBOR+OF_DIF_2)),0)</f>
        <v/>
      </c>
      <c r="K246" s="58">
        <f>IF(AND(BANCO_OK_2,B246&lt;=MESES),IF(OR(B246=1,J246&lt;&gt;J245),PMT(J246/1200,MESES-B246+1,-N245),K245),0)</f>
        <v/>
      </c>
      <c r="L246" s="58">
        <f>N245*J246/1200</f>
        <v/>
      </c>
      <c r="M246" s="58">
        <f>IF(AND(BANCO_OK_2,B246&lt;=MESES),IF(OR(B246=MESES,K246-L246&gt;N245),N245,K246-L246),0)</f>
        <v/>
      </c>
      <c r="N246" s="58">
        <f>N245-M246</f>
        <v/>
      </c>
      <c r="O246" s="58">
        <f>IF(AND(BANCO_OK_2,B246&lt;=MESES),L246+M246+VINC_MES_2,0)</f>
        <v/>
      </c>
      <c r="P246" s="52">
        <f>IF(AND(BANCO_OK_3,B246&lt;=MESES),IF(OR(OF_TIPO_3="Fija",C246&lt;=OF_ANIOS_INI_3),OF_TIN_3,MAX(0,EURIBOR+OF_DIF_3)),0)</f>
        <v/>
      </c>
      <c r="Q246" s="58">
        <f>IF(AND(BANCO_OK_3,B246&lt;=MESES),IF(OR(B246=1,P246&lt;&gt;P245),PMT(P246/1200,MESES-B246+1,-T245),Q245),0)</f>
        <v/>
      </c>
      <c r="R246" s="58">
        <f>T245*P246/1200</f>
        <v/>
      </c>
      <c r="S246" s="58">
        <f>IF(AND(BANCO_OK_3,B246&lt;=MESES),IF(OR(B246=MESES,Q246-R246&gt;T245),T245,Q246-R246),0)</f>
        <v/>
      </c>
      <c r="T246" s="58">
        <f>T245-S246</f>
        <v/>
      </c>
      <c r="U246" s="58">
        <f>IF(AND(BANCO_OK_3,B246&lt;=MESES),R246+S246+VINC_MES_3,0)</f>
        <v/>
      </c>
      <c r="V246" s="52">
        <f>IF(AND(BANCO_OK_4,B246&lt;=MESES),IF(OR(OF_TIPO_4="Fija",C246&lt;=OF_ANIOS_INI_4),OF_TIN_4,MAX(0,EURIBOR+OF_DIF_4)),0)</f>
        <v/>
      </c>
      <c r="W246" s="58">
        <f>IF(AND(BANCO_OK_4,B246&lt;=MESES),IF(OR(B246=1,V246&lt;&gt;V245),PMT(V246/1200,MESES-B246+1,-Z245),W245),0)</f>
        <v/>
      </c>
      <c r="X246" s="58">
        <f>Z245*V246/1200</f>
        <v/>
      </c>
      <c r="Y246" s="58">
        <f>IF(AND(BANCO_OK_4,B246&lt;=MESES),IF(OR(B246=MESES,W246-X246&gt;Z245),Z245,W246-X246),0)</f>
        <v/>
      </c>
      <c r="Z246" s="58">
        <f>Z245-Y246</f>
        <v/>
      </c>
      <c r="AA246" s="58">
        <f>IF(AND(BANCO_OK_4,B246&lt;=MESES),X246+Y246+VINC_MES_4,0)</f>
        <v/>
      </c>
    </row>
    <row r="247">
      <c r="B247" s="56" t="n">
        <v>239</v>
      </c>
      <c r="C247" s="56">
        <f>ROUNDUP(B247/12,0)</f>
        <v/>
      </c>
      <c r="D247" s="52">
        <f>IF(AND(BANCO_OK_1,B247&lt;=MESES),IF(OR(OF_TIPO_1="Fija",C247&lt;=OF_ANIOS_INI_1),OF_TIN_1,MAX(0,EURIBOR+OF_DIF_1)),0)</f>
        <v/>
      </c>
      <c r="E247" s="58">
        <f>IF(AND(BANCO_OK_1,B247&lt;=MESES),IF(OR(B247=1,D247&lt;&gt;D246),PMT(D247/1200,MESES-B247+1,-H246),E246),0)</f>
        <v/>
      </c>
      <c r="F247" s="58">
        <f>H246*D247/1200</f>
        <v/>
      </c>
      <c r="G247" s="58">
        <f>IF(AND(BANCO_OK_1,B247&lt;=MESES),IF(OR(B247=MESES,E247-F247&gt;H246),H246,E247-F247),0)</f>
        <v/>
      </c>
      <c r="H247" s="58">
        <f>H246-G247</f>
        <v/>
      </c>
      <c r="I247" s="58">
        <f>IF(AND(BANCO_OK_1,B247&lt;=MESES),F247+G247+VINC_MES_1,0)</f>
        <v/>
      </c>
      <c r="J247" s="52">
        <f>IF(AND(BANCO_OK_2,B247&lt;=MESES),IF(OR(OF_TIPO_2="Fija",C247&lt;=OF_ANIOS_INI_2),OF_TIN_2,MAX(0,EURIBOR+OF_DIF_2)),0)</f>
        <v/>
      </c>
      <c r="K247" s="58">
        <f>IF(AND(BANCO_OK_2,B247&lt;=MESES),IF(OR(B247=1,J247&lt;&gt;J246),PMT(J247/1200,MESES-B247+1,-N246),K246),0)</f>
        <v/>
      </c>
      <c r="L247" s="58">
        <f>N246*J247/1200</f>
        <v/>
      </c>
      <c r="M247" s="58">
        <f>IF(AND(BANCO_OK_2,B247&lt;=MESES),IF(OR(B247=MESES,K247-L247&gt;N246),N246,K247-L247),0)</f>
        <v/>
      </c>
      <c r="N247" s="58">
        <f>N246-M247</f>
        <v/>
      </c>
      <c r="O247" s="58">
        <f>IF(AND(BANCO_OK_2,B247&lt;=MESES),L247+M247+VINC_MES_2,0)</f>
        <v/>
      </c>
      <c r="P247" s="52">
        <f>IF(AND(BANCO_OK_3,B247&lt;=MESES),IF(OR(OF_TIPO_3="Fija",C247&lt;=OF_ANIOS_INI_3),OF_TIN_3,MAX(0,EURIBOR+OF_DIF_3)),0)</f>
        <v/>
      </c>
      <c r="Q247" s="58">
        <f>IF(AND(BANCO_OK_3,B247&lt;=MESES),IF(OR(B247=1,P247&lt;&gt;P246),PMT(P247/1200,MESES-B247+1,-T246),Q246),0)</f>
        <v/>
      </c>
      <c r="R247" s="58">
        <f>T246*P247/1200</f>
        <v/>
      </c>
      <c r="S247" s="58">
        <f>IF(AND(BANCO_OK_3,B247&lt;=MESES),IF(OR(B247=MESES,Q247-R247&gt;T246),T246,Q247-R247),0)</f>
        <v/>
      </c>
      <c r="T247" s="58">
        <f>T246-S247</f>
        <v/>
      </c>
      <c r="U247" s="58">
        <f>IF(AND(BANCO_OK_3,B247&lt;=MESES),R247+S247+VINC_MES_3,0)</f>
        <v/>
      </c>
      <c r="V247" s="52">
        <f>IF(AND(BANCO_OK_4,B247&lt;=MESES),IF(OR(OF_TIPO_4="Fija",C247&lt;=OF_ANIOS_INI_4),OF_TIN_4,MAX(0,EURIBOR+OF_DIF_4)),0)</f>
        <v/>
      </c>
      <c r="W247" s="58">
        <f>IF(AND(BANCO_OK_4,B247&lt;=MESES),IF(OR(B247=1,V247&lt;&gt;V246),PMT(V247/1200,MESES-B247+1,-Z246),W246),0)</f>
        <v/>
      </c>
      <c r="X247" s="58">
        <f>Z246*V247/1200</f>
        <v/>
      </c>
      <c r="Y247" s="58">
        <f>IF(AND(BANCO_OK_4,B247&lt;=MESES),IF(OR(B247=MESES,W247-X247&gt;Z246),Z246,W247-X247),0)</f>
        <v/>
      </c>
      <c r="Z247" s="58">
        <f>Z246-Y247</f>
        <v/>
      </c>
      <c r="AA247" s="58">
        <f>IF(AND(BANCO_OK_4,B247&lt;=MESES),X247+Y247+VINC_MES_4,0)</f>
        <v/>
      </c>
    </row>
    <row r="248">
      <c r="B248" s="56" t="n">
        <v>240</v>
      </c>
      <c r="C248" s="56">
        <f>ROUNDUP(B248/12,0)</f>
        <v/>
      </c>
      <c r="D248" s="52">
        <f>IF(AND(BANCO_OK_1,B248&lt;=MESES),IF(OR(OF_TIPO_1="Fija",C248&lt;=OF_ANIOS_INI_1),OF_TIN_1,MAX(0,EURIBOR+OF_DIF_1)),0)</f>
        <v/>
      </c>
      <c r="E248" s="58">
        <f>IF(AND(BANCO_OK_1,B248&lt;=MESES),IF(OR(B248=1,D248&lt;&gt;D247),PMT(D248/1200,MESES-B248+1,-H247),E247),0)</f>
        <v/>
      </c>
      <c r="F248" s="58">
        <f>H247*D248/1200</f>
        <v/>
      </c>
      <c r="G248" s="58">
        <f>IF(AND(BANCO_OK_1,B248&lt;=MESES),IF(OR(B248=MESES,E248-F248&gt;H247),H247,E248-F248),0)</f>
        <v/>
      </c>
      <c r="H248" s="58">
        <f>H247-G248</f>
        <v/>
      </c>
      <c r="I248" s="58">
        <f>IF(AND(BANCO_OK_1,B248&lt;=MESES),F248+G248+VINC_MES_1,0)</f>
        <v/>
      </c>
      <c r="J248" s="52">
        <f>IF(AND(BANCO_OK_2,B248&lt;=MESES),IF(OR(OF_TIPO_2="Fija",C248&lt;=OF_ANIOS_INI_2),OF_TIN_2,MAX(0,EURIBOR+OF_DIF_2)),0)</f>
        <v/>
      </c>
      <c r="K248" s="58">
        <f>IF(AND(BANCO_OK_2,B248&lt;=MESES),IF(OR(B248=1,J248&lt;&gt;J247),PMT(J248/1200,MESES-B248+1,-N247),K247),0)</f>
        <v/>
      </c>
      <c r="L248" s="58">
        <f>N247*J248/1200</f>
        <v/>
      </c>
      <c r="M248" s="58">
        <f>IF(AND(BANCO_OK_2,B248&lt;=MESES),IF(OR(B248=MESES,K248-L248&gt;N247),N247,K248-L248),0)</f>
        <v/>
      </c>
      <c r="N248" s="58">
        <f>N247-M248</f>
        <v/>
      </c>
      <c r="O248" s="58">
        <f>IF(AND(BANCO_OK_2,B248&lt;=MESES),L248+M248+VINC_MES_2,0)</f>
        <v/>
      </c>
      <c r="P248" s="52">
        <f>IF(AND(BANCO_OK_3,B248&lt;=MESES),IF(OR(OF_TIPO_3="Fija",C248&lt;=OF_ANIOS_INI_3),OF_TIN_3,MAX(0,EURIBOR+OF_DIF_3)),0)</f>
        <v/>
      </c>
      <c r="Q248" s="58">
        <f>IF(AND(BANCO_OK_3,B248&lt;=MESES),IF(OR(B248=1,P248&lt;&gt;P247),PMT(P248/1200,MESES-B248+1,-T247),Q247),0)</f>
        <v/>
      </c>
      <c r="R248" s="58">
        <f>T247*P248/1200</f>
        <v/>
      </c>
      <c r="S248" s="58">
        <f>IF(AND(BANCO_OK_3,B248&lt;=MESES),IF(OR(B248=MESES,Q248-R248&gt;T247),T247,Q248-R248),0)</f>
        <v/>
      </c>
      <c r="T248" s="58">
        <f>T247-S248</f>
        <v/>
      </c>
      <c r="U248" s="58">
        <f>IF(AND(BANCO_OK_3,B248&lt;=MESES),R248+S248+VINC_MES_3,0)</f>
        <v/>
      </c>
      <c r="V248" s="52">
        <f>IF(AND(BANCO_OK_4,B248&lt;=MESES),IF(OR(OF_TIPO_4="Fija",C248&lt;=OF_ANIOS_INI_4),OF_TIN_4,MAX(0,EURIBOR+OF_DIF_4)),0)</f>
        <v/>
      </c>
      <c r="W248" s="58">
        <f>IF(AND(BANCO_OK_4,B248&lt;=MESES),IF(OR(B248=1,V248&lt;&gt;V247),PMT(V248/1200,MESES-B248+1,-Z247),W247),0)</f>
        <v/>
      </c>
      <c r="X248" s="58">
        <f>Z247*V248/1200</f>
        <v/>
      </c>
      <c r="Y248" s="58">
        <f>IF(AND(BANCO_OK_4,B248&lt;=MESES),IF(OR(B248=MESES,W248-X248&gt;Z247),Z247,W248-X248),0)</f>
        <v/>
      </c>
      <c r="Z248" s="58">
        <f>Z247-Y248</f>
        <v/>
      </c>
      <c r="AA248" s="58">
        <f>IF(AND(BANCO_OK_4,B248&lt;=MESES),X248+Y248+VINC_MES_4,0)</f>
        <v/>
      </c>
    </row>
    <row r="249">
      <c r="B249" s="56" t="n">
        <v>241</v>
      </c>
      <c r="C249" s="56">
        <f>ROUNDUP(B249/12,0)</f>
        <v/>
      </c>
      <c r="D249" s="52">
        <f>IF(AND(BANCO_OK_1,B249&lt;=MESES),IF(OR(OF_TIPO_1="Fija",C249&lt;=OF_ANIOS_INI_1),OF_TIN_1,MAX(0,EURIBOR+OF_DIF_1)),0)</f>
        <v/>
      </c>
      <c r="E249" s="58">
        <f>IF(AND(BANCO_OK_1,B249&lt;=MESES),IF(OR(B249=1,D249&lt;&gt;D248),PMT(D249/1200,MESES-B249+1,-H248),E248),0)</f>
        <v/>
      </c>
      <c r="F249" s="58">
        <f>H248*D249/1200</f>
        <v/>
      </c>
      <c r="G249" s="58">
        <f>IF(AND(BANCO_OK_1,B249&lt;=MESES),IF(OR(B249=MESES,E249-F249&gt;H248),H248,E249-F249),0)</f>
        <v/>
      </c>
      <c r="H249" s="58">
        <f>H248-G249</f>
        <v/>
      </c>
      <c r="I249" s="58">
        <f>IF(AND(BANCO_OK_1,B249&lt;=MESES),F249+G249+VINC_MES_1,0)</f>
        <v/>
      </c>
      <c r="J249" s="52">
        <f>IF(AND(BANCO_OK_2,B249&lt;=MESES),IF(OR(OF_TIPO_2="Fija",C249&lt;=OF_ANIOS_INI_2),OF_TIN_2,MAX(0,EURIBOR+OF_DIF_2)),0)</f>
        <v/>
      </c>
      <c r="K249" s="58">
        <f>IF(AND(BANCO_OK_2,B249&lt;=MESES),IF(OR(B249=1,J249&lt;&gt;J248),PMT(J249/1200,MESES-B249+1,-N248),K248),0)</f>
        <v/>
      </c>
      <c r="L249" s="58">
        <f>N248*J249/1200</f>
        <v/>
      </c>
      <c r="M249" s="58">
        <f>IF(AND(BANCO_OK_2,B249&lt;=MESES),IF(OR(B249=MESES,K249-L249&gt;N248),N248,K249-L249),0)</f>
        <v/>
      </c>
      <c r="N249" s="58">
        <f>N248-M249</f>
        <v/>
      </c>
      <c r="O249" s="58">
        <f>IF(AND(BANCO_OK_2,B249&lt;=MESES),L249+M249+VINC_MES_2,0)</f>
        <v/>
      </c>
      <c r="P249" s="52">
        <f>IF(AND(BANCO_OK_3,B249&lt;=MESES),IF(OR(OF_TIPO_3="Fija",C249&lt;=OF_ANIOS_INI_3),OF_TIN_3,MAX(0,EURIBOR+OF_DIF_3)),0)</f>
        <v/>
      </c>
      <c r="Q249" s="58">
        <f>IF(AND(BANCO_OK_3,B249&lt;=MESES),IF(OR(B249=1,P249&lt;&gt;P248),PMT(P249/1200,MESES-B249+1,-T248),Q248),0)</f>
        <v/>
      </c>
      <c r="R249" s="58">
        <f>T248*P249/1200</f>
        <v/>
      </c>
      <c r="S249" s="58">
        <f>IF(AND(BANCO_OK_3,B249&lt;=MESES),IF(OR(B249=MESES,Q249-R249&gt;T248),T248,Q249-R249),0)</f>
        <v/>
      </c>
      <c r="T249" s="58">
        <f>T248-S249</f>
        <v/>
      </c>
      <c r="U249" s="58">
        <f>IF(AND(BANCO_OK_3,B249&lt;=MESES),R249+S249+VINC_MES_3,0)</f>
        <v/>
      </c>
      <c r="V249" s="52">
        <f>IF(AND(BANCO_OK_4,B249&lt;=MESES),IF(OR(OF_TIPO_4="Fija",C249&lt;=OF_ANIOS_INI_4),OF_TIN_4,MAX(0,EURIBOR+OF_DIF_4)),0)</f>
        <v/>
      </c>
      <c r="W249" s="58">
        <f>IF(AND(BANCO_OK_4,B249&lt;=MESES),IF(OR(B249=1,V249&lt;&gt;V248),PMT(V249/1200,MESES-B249+1,-Z248),W248),0)</f>
        <v/>
      </c>
      <c r="X249" s="58">
        <f>Z248*V249/1200</f>
        <v/>
      </c>
      <c r="Y249" s="58">
        <f>IF(AND(BANCO_OK_4,B249&lt;=MESES),IF(OR(B249=MESES,W249-X249&gt;Z248),Z248,W249-X249),0)</f>
        <v/>
      </c>
      <c r="Z249" s="58">
        <f>Z248-Y249</f>
        <v/>
      </c>
      <c r="AA249" s="58">
        <f>IF(AND(BANCO_OK_4,B249&lt;=MESES),X249+Y249+VINC_MES_4,0)</f>
        <v/>
      </c>
    </row>
    <row r="250">
      <c r="B250" s="56" t="n">
        <v>242</v>
      </c>
      <c r="C250" s="56">
        <f>ROUNDUP(B250/12,0)</f>
        <v/>
      </c>
      <c r="D250" s="52">
        <f>IF(AND(BANCO_OK_1,B250&lt;=MESES),IF(OR(OF_TIPO_1="Fija",C250&lt;=OF_ANIOS_INI_1),OF_TIN_1,MAX(0,EURIBOR+OF_DIF_1)),0)</f>
        <v/>
      </c>
      <c r="E250" s="58">
        <f>IF(AND(BANCO_OK_1,B250&lt;=MESES),IF(OR(B250=1,D250&lt;&gt;D249),PMT(D250/1200,MESES-B250+1,-H249),E249),0)</f>
        <v/>
      </c>
      <c r="F250" s="58">
        <f>H249*D250/1200</f>
        <v/>
      </c>
      <c r="G250" s="58">
        <f>IF(AND(BANCO_OK_1,B250&lt;=MESES),IF(OR(B250=MESES,E250-F250&gt;H249),H249,E250-F250),0)</f>
        <v/>
      </c>
      <c r="H250" s="58">
        <f>H249-G250</f>
        <v/>
      </c>
      <c r="I250" s="58">
        <f>IF(AND(BANCO_OK_1,B250&lt;=MESES),F250+G250+VINC_MES_1,0)</f>
        <v/>
      </c>
      <c r="J250" s="52">
        <f>IF(AND(BANCO_OK_2,B250&lt;=MESES),IF(OR(OF_TIPO_2="Fija",C250&lt;=OF_ANIOS_INI_2),OF_TIN_2,MAX(0,EURIBOR+OF_DIF_2)),0)</f>
        <v/>
      </c>
      <c r="K250" s="58">
        <f>IF(AND(BANCO_OK_2,B250&lt;=MESES),IF(OR(B250=1,J250&lt;&gt;J249),PMT(J250/1200,MESES-B250+1,-N249),K249),0)</f>
        <v/>
      </c>
      <c r="L250" s="58">
        <f>N249*J250/1200</f>
        <v/>
      </c>
      <c r="M250" s="58">
        <f>IF(AND(BANCO_OK_2,B250&lt;=MESES),IF(OR(B250=MESES,K250-L250&gt;N249),N249,K250-L250),0)</f>
        <v/>
      </c>
      <c r="N250" s="58">
        <f>N249-M250</f>
        <v/>
      </c>
      <c r="O250" s="58">
        <f>IF(AND(BANCO_OK_2,B250&lt;=MESES),L250+M250+VINC_MES_2,0)</f>
        <v/>
      </c>
      <c r="P250" s="52">
        <f>IF(AND(BANCO_OK_3,B250&lt;=MESES),IF(OR(OF_TIPO_3="Fija",C250&lt;=OF_ANIOS_INI_3),OF_TIN_3,MAX(0,EURIBOR+OF_DIF_3)),0)</f>
        <v/>
      </c>
      <c r="Q250" s="58">
        <f>IF(AND(BANCO_OK_3,B250&lt;=MESES),IF(OR(B250=1,P250&lt;&gt;P249),PMT(P250/1200,MESES-B250+1,-T249),Q249),0)</f>
        <v/>
      </c>
      <c r="R250" s="58">
        <f>T249*P250/1200</f>
        <v/>
      </c>
      <c r="S250" s="58">
        <f>IF(AND(BANCO_OK_3,B250&lt;=MESES),IF(OR(B250=MESES,Q250-R250&gt;T249),T249,Q250-R250),0)</f>
        <v/>
      </c>
      <c r="T250" s="58">
        <f>T249-S250</f>
        <v/>
      </c>
      <c r="U250" s="58">
        <f>IF(AND(BANCO_OK_3,B250&lt;=MESES),R250+S250+VINC_MES_3,0)</f>
        <v/>
      </c>
      <c r="V250" s="52">
        <f>IF(AND(BANCO_OK_4,B250&lt;=MESES),IF(OR(OF_TIPO_4="Fija",C250&lt;=OF_ANIOS_INI_4),OF_TIN_4,MAX(0,EURIBOR+OF_DIF_4)),0)</f>
        <v/>
      </c>
      <c r="W250" s="58">
        <f>IF(AND(BANCO_OK_4,B250&lt;=MESES),IF(OR(B250=1,V250&lt;&gt;V249),PMT(V250/1200,MESES-B250+1,-Z249),W249),0)</f>
        <v/>
      </c>
      <c r="X250" s="58">
        <f>Z249*V250/1200</f>
        <v/>
      </c>
      <c r="Y250" s="58">
        <f>IF(AND(BANCO_OK_4,B250&lt;=MESES),IF(OR(B250=MESES,W250-X250&gt;Z249),Z249,W250-X250),0)</f>
        <v/>
      </c>
      <c r="Z250" s="58">
        <f>Z249-Y250</f>
        <v/>
      </c>
      <c r="AA250" s="58">
        <f>IF(AND(BANCO_OK_4,B250&lt;=MESES),X250+Y250+VINC_MES_4,0)</f>
        <v/>
      </c>
    </row>
    <row r="251">
      <c r="B251" s="56" t="n">
        <v>243</v>
      </c>
      <c r="C251" s="56">
        <f>ROUNDUP(B251/12,0)</f>
        <v/>
      </c>
      <c r="D251" s="52">
        <f>IF(AND(BANCO_OK_1,B251&lt;=MESES),IF(OR(OF_TIPO_1="Fija",C251&lt;=OF_ANIOS_INI_1),OF_TIN_1,MAX(0,EURIBOR+OF_DIF_1)),0)</f>
        <v/>
      </c>
      <c r="E251" s="58">
        <f>IF(AND(BANCO_OK_1,B251&lt;=MESES),IF(OR(B251=1,D251&lt;&gt;D250),PMT(D251/1200,MESES-B251+1,-H250),E250),0)</f>
        <v/>
      </c>
      <c r="F251" s="58">
        <f>H250*D251/1200</f>
        <v/>
      </c>
      <c r="G251" s="58">
        <f>IF(AND(BANCO_OK_1,B251&lt;=MESES),IF(OR(B251=MESES,E251-F251&gt;H250),H250,E251-F251),0)</f>
        <v/>
      </c>
      <c r="H251" s="58">
        <f>H250-G251</f>
        <v/>
      </c>
      <c r="I251" s="58">
        <f>IF(AND(BANCO_OK_1,B251&lt;=MESES),F251+G251+VINC_MES_1,0)</f>
        <v/>
      </c>
      <c r="J251" s="52">
        <f>IF(AND(BANCO_OK_2,B251&lt;=MESES),IF(OR(OF_TIPO_2="Fija",C251&lt;=OF_ANIOS_INI_2),OF_TIN_2,MAX(0,EURIBOR+OF_DIF_2)),0)</f>
        <v/>
      </c>
      <c r="K251" s="58">
        <f>IF(AND(BANCO_OK_2,B251&lt;=MESES),IF(OR(B251=1,J251&lt;&gt;J250),PMT(J251/1200,MESES-B251+1,-N250),K250),0)</f>
        <v/>
      </c>
      <c r="L251" s="58">
        <f>N250*J251/1200</f>
        <v/>
      </c>
      <c r="M251" s="58">
        <f>IF(AND(BANCO_OK_2,B251&lt;=MESES),IF(OR(B251=MESES,K251-L251&gt;N250),N250,K251-L251),0)</f>
        <v/>
      </c>
      <c r="N251" s="58">
        <f>N250-M251</f>
        <v/>
      </c>
      <c r="O251" s="58">
        <f>IF(AND(BANCO_OK_2,B251&lt;=MESES),L251+M251+VINC_MES_2,0)</f>
        <v/>
      </c>
      <c r="P251" s="52">
        <f>IF(AND(BANCO_OK_3,B251&lt;=MESES),IF(OR(OF_TIPO_3="Fija",C251&lt;=OF_ANIOS_INI_3),OF_TIN_3,MAX(0,EURIBOR+OF_DIF_3)),0)</f>
        <v/>
      </c>
      <c r="Q251" s="58">
        <f>IF(AND(BANCO_OK_3,B251&lt;=MESES),IF(OR(B251=1,P251&lt;&gt;P250),PMT(P251/1200,MESES-B251+1,-T250),Q250),0)</f>
        <v/>
      </c>
      <c r="R251" s="58">
        <f>T250*P251/1200</f>
        <v/>
      </c>
      <c r="S251" s="58">
        <f>IF(AND(BANCO_OK_3,B251&lt;=MESES),IF(OR(B251=MESES,Q251-R251&gt;T250),T250,Q251-R251),0)</f>
        <v/>
      </c>
      <c r="T251" s="58">
        <f>T250-S251</f>
        <v/>
      </c>
      <c r="U251" s="58">
        <f>IF(AND(BANCO_OK_3,B251&lt;=MESES),R251+S251+VINC_MES_3,0)</f>
        <v/>
      </c>
      <c r="V251" s="52">
        <f>IF(AND(BANCO_OK_4,B251&lt;=MESES),IF(OR(OF_TIPO_4="Fija",C251&lt;=OF_ANIOS_INI_4),OF_TIN_4,MAX(0,EURIBOR+OF_DIF_4)),0)</f>
        <v/>
      </c>
      <c r="W251" s="58">
        <f>IF(AND(BANCO_OK_4,B251&lt;=MESES),IF(OR(B251=1,V251&lt;&gt;V250),PMT(V251/1200,MESES-B251+1,-Z250),W250),0)</f>
        <v/>
      </c>
      <c r="X251" s="58">
        <f>Z250*V251/1200</f>
        <v/>
      </c>
      <c r="Y251" s="58">
        <f>IF(AND(BANCO_OK_4,B251&lt;=MESES),IF(OR(B251=MESES,W251-X251&gt;Z250),Z250,W251-X251),0)</f>
        <v/>
      </c>
      <c r="Z251" s="58">
        <f>Z250-Y251</f>
        <v/>
      </c>
      <c r="AA251" s="58">
        <f>IF(AND(BANCO_OK_4,B251&lt;=MESES),X251+Y251+VINC_MES_4,0)</f>
        <v/>
      </c>
    </row>
    <row r="252">
      <c r="B252" s="56" t="n">
        <v>244</v>
      </c>
      <c r="C252" s="56">
        <f>ROUNDUP(B252/12,0)</f>
        <v/>
      </c>
      <c r="D252" s="52">
        <f>IF(AND(BANCO_OK_1,B252&lt;=MESES),IF(OR(OF_TIPO_1="Fija",C252&lt;=OF_ANIOS_INI_1),OF_TIN_1,MAX(0,EURIBOR+OF_DIF_1)),0)</f>
        <v/>
      </c>
      <c r="E252" s="58">
        <f>IF(AND(BANCO_OK_1,B252&lt;=MESES),IF(OR(B252=1,D252&lt;&gt;D251),PMT(D252/1200,MESES-B252+1,-H251),E251),0)</f>
        <v/>
      </c>
      <c r="F252" s="58">
        <f>H251*D252/1200</f>
        <v/>
      </c>
      <c r="G252" s="58">
        <f>IF(AND(BANCO_OK_1,B252&lt;=MESES),IF(OR(B252=MESES,E252-F252&gt;H251),H251,E252-F252),0)</f>
        <v/>
      </c>
      <c r="H252" s="58">
        <f>H251-G252</f>
        <v/>
      </c>
      <c r="I252" s="58">
        <f>IF(AND(BANCO_OK_1,B252&lt;=MESES),F252+G252+VINC_MES_1,0)</f>
        <v/>
      </c>
      <c r="J252" s="52">
        <f>IF(AND(BANCO_OK_2,B252&lt;=MESES),IF(OR(OF_TIPO_2="Fija",C252&lt;=OF_ANIOS_INI_2),OF_TIN_2,MAX(0,EURIBOR+OF_DIF_2)),0)</f>
        <v/>
      </c>
      <c r="K252" s="58">
        <f>IF(AND(BANCO_OK_2,B252&lt;=MESES),IF(OR(B252=1,J252&lt;&gt;J251),PMT(J252/1200,MESES-B252+1,-N251),K251),0)</f>
        <v/>
      </c>
      <c r="L252" s="58">
        <f>N251*J252/1200</f>
        <v/>
      </c>
      <c r="M252" s="58">
        <f>IF(AND(BANCO_OK_2,B252&lt;=MESES),IF(OR(B252=MESES,K252-L252&gt;N251),N251,K252-L252),0)</f>
        <v/>
      </c>
      <c r="N252" s="58">
        <f>N251-M252</f>
        <v/>
      </c>
      <c r="O252" s="58">
        <f>IF(AND(BANCO_OK_2,B252&lt;=MESES),L252+M252+VINC_MES_2,0)</f>
        <v/>
      </c>
      <c r="P252" s="52">
        <f>IF(AND(BANCO_OK_3,B252&lt;=MESES),IF(OR(OF_TIPO_3="Fija",C252&lt;=OF_ANIOS_INI_3),OF_TIN_3,MAX(0,EURIBOR+OF_DIF_3)),0)</f>
        <v/>
      </c>
      <c r="Q252" s="58">
        <f>IF(AND(BANCO_OK_3,B252&lt;=MESES),IF(OR(B252=1,P252&lt;&gt;P251),PMT(P252/1200,MESES-B252+1,-T251),Q251),0)</f>
        <v/>
      </c>
      <c r="R252" s="58">
        <f>T251*P252/1200</f>
        <v/>
      </c>
      <c r="S252" s="58">
        <f>IF(AND(BANCO_OK_3,B252&lt;=MESES),IF(OR(B252=MESES,Q252-R252&gt;T251),T251,Q252-R252),0)</f>
        <v/>
      </c>
      <c r="T252" s="58">
        <f>T251-S252</f>
        <v/>
      </c>
      <c r="U252" s="58">
        <f>IF(AND(BANCO_OK_3,B252&lt;=MESES),R252+S252+VINC_MES_3,0)</f>
        <v/>
      </c>
      <c r="V252" s="52">
        <f>IF(AND(BANCO_OK_4,B252&lt;=MESES),IF(OR(OF_TIPO_4="Fija",C252&lt;=OF_ANIOS_INI_4),OF_TIN_4,MAX(0,EURIBOR+OF_DIF_4)),0)</f>
        <v/>
      </c>
      <c r="W252" s="58">
        <f>IF(AND(BANCO_OK_4,B252&lt;=MESES),IF(OR(B252=1,V252&lt;&gt;V251),PMT(V252/1200,MESES-B252+1,-Z251),W251),0)</f>
        <v/>
      </c>
      <c r="X252" s="58">
        <f>Z251*V252/1200</f>
        <v/>
      </c>
      <c r="Y252" s="58">
        <f>IF(AND(BANCO_OK_4,B252&lt;=MESES),IF(OR(B252=MESES,W252-X252&gt;Z251),Z251,W252-X252),0)</f>
        <v/>
      </c>
      <c r="Z252" s="58">
        <f>Z251-Y252</f>
        <v/>
      </c>
      <c r="AA252" s="58">
        <f>IF(AND(BANCO_OK_4,B252&lt;=MESES),X252+Y252+VINC_MES_4,0)</f>
        <v/>
      </c>
    </row>
    <row r="253">
      <c r="B253" s="56" t="n">
        <v>245</v>
      </c>
      <c r="C253" s="56">
        <f>ROUNDUP(B253/12,0)</f>
        <v/>
      </c>
      <c r="D253" s="52">
        <f>IF(AND(BANCO_OK_1,B253&lt;=MESES),IF(OR(OF_TIPO_1="Fija",C253&lt;=OF_ANIOS_INI_1),OF_TIN_1,MAX(0,EURIBOR+OF_DIF_1)),0)</f>
        <v/>
      </c>
      <c r="E253" s="58">
        <f>IF(AND(BANCO_OK_1,B253&lt;=MESES),IF(OR(B253=1,D253&lt;&gt;D252),PMT(D253/1200,MESES-B253+1,-H252),E252),0)</f>
        <v/>
      </c>
      <c r="F253" s="58">
        <f>H252*D253/1200</f>
        <v/>
      </c>
      <c r="G253" s="58">
        <f>IF(AND(BANCO_OK_1,B253&lt;=MESES),IF(OR(B253=MESES,E253-F253&gt;H252),H252,E253-F253),0)</f>
        <v/>
      </c>
      <c r="H253" s="58">
        <f>H252-G253</f>
        <v/>
      </c>
      <c r="I253" s="58">
        <f>IF(AND(BANCO_OK_1,B253&lt;=MESES),F253+G253+VINC_MES_1,0)</f>
        <v/>
      </c>
      <c r="J253" s="52">
        <f>IF(AND(BANCO_OK_2,B253&lt;=MESES),IF(OR(OF_TIPO_2="Fija",C253&lt;=OF_ANIOS_INI_2),OF_TIN_2,MAX(0,EURIBOR+OF_DIF_2)),0)</f>
        <v/>
      </c>
      <c r="K253" s="58">
        <f>IF(AND(BANCO_OK_2,B253&lt;=MESES),IF(OR(B253=1,J253&lt;&gt;J252),PMT(J253/1200,MESES-B253+1,-N252),K252),0)</f>
        <v/>
      </c>
      <c r="L253" s="58">
        <f>N252*J253/1200</f>
        <v/>
      </c>
      <c r="M253" s="58">
        <f>IF(AND(BANCO_OK_2,B253&lt;=MESES),IF(OR(B253=MESES,K253-L253&gt;N252),N252,K253-L253),0)</f>
        <v/>
      </c>
      <c r="N253" s="58">
        <f>N252-M253</f>
        <v/>
      </c>
      <c r="O253" s="58">
        <f>IF(AND(BANCO_OK_2,B253&lt;=MESES),L253+M253+VINC_MES_2,0)</f>
        <v/>
      </c>
      <c r="P253" s="52">
        <f>IF(AND(BANCO_OK_3,B253&lt;=MESES),IF(OR(OF_TIPO_3="Fija",C253&lt;=OF_ANIOS_INI_3),OF_TIN_3,MAX(0,EURIBOR+OF_DIF_3)),0)</f>
        <v/>
      </c>
      <c r="Q253" s="58">
        <f>IF(AND(BANCO_OK_3,B253&lt;=MESES),IF(OR(B253=1,P253&lt;&gt;P252),PMT(P253/1200,MESES-B253+1,-T252),Q252),0)</f>
        <v/>
      </c>
      <c r="R253" s="58">
        <f>T252*P253/1200</f>
        <v/>
      </c>
      <c r="S253" s="58">
        <f>IF(AND(BANCO_OK_3,B253&lt;=MESES),IF(OR(B253=MESES,Q253-R253&gt;T252),T252,Q253-R253),0)</f>
        <v/>
      </c>
      <c r="T253" s="58">
        <f>T252-S253</f>
        <v/>
      </c>
      <c r="U253" s="58">
        <f>IF(AND(BANCO_OK_3,B253&lt;=MESES),R253+S253+VINC_MES_3,0)</f>
        <v/>
      </c>
      <c r="V253" s="52">
        <f>IF(AND(BANCO_OK_4,B253&lt;=MESES),IF(OR(OF_TIPO_4="Fija",C253&lt;=OF_ANIOS_INI_4),OF_TIN_4,MAX(0,EURIBOR+OF_DIF_4)),0)</f>
        <v/>
      </c>
      <c r="W253" s="58">
        <f>IF(AND(BANCO_OK_4,B253&lt;=MESES),IF(OR(B253=1,V253&lt;&gt;V252),PMT(V253/1200,MESES-B253+1,-Z252),W252),0)</f>
        <v/>
      </c>
      <c r="X253" s="58">
        <f>Z252*V253/1200</f>
        <v/>
      </c>
      <c r="Y253" s="58">
        <f>IF(AND(BANCO_OK_4,B253&lt;=MESES),IF(OR(B253=MESES,W253-X253&gt;Z252),Z252,W253-X253),0)</f>
        <v/>
      </c>
      <c r="Z253" s="58">
        <f>Z252-Y253</f>
        <v/>
      </c>
      <c r="AA253" s="58">
        <f>IF(AND(BANCO_OK_4,B253&lt;=MESES),X253+Y253+VINC_MES_4,0)</f>
        <v/>
      </c>
    </row>
    <row r="254">
      <c r="B254" s="56" t="n">
        <v>246</v>
      </c>
      <c r="C254" s="56">
        <f>ROUNDUP(B254/12,0)</f>
        <v/>
      </c>
      <c r="D254" s="52">
        <f>IF(AND(BANCO_OK_1,B254&lt;=MESES),IF(OR(OF_TIPO_1="Fija",C254&lt;=OF_ANIOS_INI_1),OF_TIN_1,MAX(0,EURIBOR+OF_DIF_1)),0)</f>
        <v/>
      </c>
      <c r="E254" s="58">
        <f>IF(AND(BANCO_OK_1,B254&lt;=MESES),IF(OR(B254=1,D254&lt;&gt;D253),PMT(D254/1200,MESES-B254+1,-H253),E253),0)</f>
        <v/>
      </c>
      <c r="F254" s="58">
        <f>H253*D254/1200</f>
        <v/>
      </c>
      <c r="G254" s="58">
        <f>IF(AND(BANCO_OK_1,B254&lt;=MESES),IF(OR(B254=MESES,E254-F254&gt;H253),H253,E254-F254),0)</f>
        <v/>
      </c>
      <c r="H254" s="58">
        <f>H253-G254</f>
        <v/>
      </c>
      <c r="I254" s="58">
        <f>IF(AND(BANCO_OK_1,B254&lt;=MESES),F254+G254+VINC_MES_1,0)</f>
        <v/>
      </c>
      <c r="J254" s="52">
        <f>IF(AND(BANCO_OK_2,B254&lt;=MESES),IF(OR(OF_TIPO_2="Fija",C254&lt;=OF_ANIOS_INI_2),OF_TIN_2,MAX(0,EURIBOR+OF_DIF_2)),0)</f>
        <v/>
      </c>
      <c r="K254" s="58">
        <f>IF(AND(BANCO_OK_2,B254&lt;=MESES),IF(OR(B254=1,J254&lt;&gt;J253),PMT(J254/1200,MESES-B254+1,-N253),K253),0)</f>
        <v/>
      </c>
      <c r="L254" s="58">
        <f>N253*J254/1200</f>
        <v/>
      </c>
      <c r="M254" s="58">
        <f>IF(AND(BANCO_OK_2,B254&lt;=MESES),IF(OR(B254=MESES,K254-L254&gt;N253),N253,K254-L254),0)</f>
        <v/>
      </c>
      <c r="N254" s="58">
        <f>N253-M254</f>
        <v/>
      </c>
      <c r="O254" s="58">
        <f>IF(AND(BANCO_OK_2,B254&lt;=MESES),L254+M254+VINC_MES_2,0)</f>
        <v/>
      </c>
      <c r="P254" s="52">
        <f>IF(AND(BANCO_OK_3,B254&lt;=MESES),IF(OR(OF_TIPO_3="Fija",C254&lt;=OF_ANIOS_INI_3),OF_TIN_3,MAX(0,EURIBOR+OF_DIF_3)),0)</f>
        <v/>
      </c>
      <c r="Q254" s="58">
        <f>IF(AND(BANCO_OK_3,B254&lt;=MESES),IF(OR(B254=1,P254&lt;&gt;P253),PMT(P254/1200,MESES-B254+1,-T253),Q253),0)</f>
        <v/>
      </c>
      <c r="R254" s="58">
        <f>T253*P254/1200</f>
        <v/>
      </c>
      <c r="S254" s="58">
        <f>IF(AND(BANCO_OK_3,B254&lt;=MESES),IF(OR(B254=MESES,Q254-R254&gt;T253),T253,Q254-R254),0)</f>
        <v/>
      </c>
      <c r="T254" s="58">
        <f>T253-S254</f>
        <v/>
      </c>
      <c r="U254" s="58">
        <f>IF(AND(BANCO_OK_3,B254&lt;=MESES),R254+S254+VINC_MES_3,0)</f>
        <v/>
      </c>
      <c r="V254" s="52">
        <f>IF(AND(BANCO_OK_4,B254&lt;=MESES),IF(OR(OF_TIPO_4="Fija",C254&lt;=OF_ANIOS_INI_4),OF_TIN_4,MAX(0,EURIBOR+OF_DIF_4)),0)</f>
        <v/>
      </c>
      <c r="W254" s="58">
        <f>IF(AND(BANCO_OK_4,B254&lt;=MESES),IF(OR(B254=1,V254&lt;&gt;V253),PMT(V254/1200,MESES-B254+1,-Z253),W253),0)</f>
        <v/>
      </c>
      <c r="X254" s="58">
        <f>Z253*V254/1200</f>
        <v/>
      </c>
      <c r="Y254" s="58">
        <f>IF(AND(BANCO_OK_4,B254&lt;=MESES),IF(OR(B254=MESES,W254-X254&gt;Z253),Z253,W254-X254),0)</f>
        <v/>
      </c>
      <c r="Z254" s="58">
        <f>Z253-Y254</f>
        <v/>
      </c>
      <c r="AA254" s="58">
        <f>IF(AND(BANCO_OK_4,B254&lt;=MESES),X254+Y254+VINC_MES_4,0)</f>
        <v/>
      </c>
    </row>
    <row r="255">
      <c r="B255" s="56" t="n">
        <v>247</v>
      </c>
      <c r="C255" s="56">
        <f>ROUNDUP(B255/12,0)</f>
        <v/>
      </c>
      <c r="D255" s="52">
        <f>IF(AND(BANCO_OK_1,B255&lt;=MESES),IF(OR(OF_TIPO_1="Fija",C255&lt;=OF_ANIOS_INI_1),OF_TIN_1,MAX(0,EURIBOR+OF_DIF_1)),0)</f>
        <v/>
      </c>
      <c r="E255" s="58">
        <f>IF(AND(BANCO_OK_1,B255&lt;=MESES),IF(OR(B255=1,D255&lt;&gt;D254),PMT(D255/1200,MESES-B255+1,-H254),E254),0)</f>
        <v/>
      </c>
      <c r="F255" s="58">
        <f>H254*D255/1200</f>
        <v/>
      </c>
      <c r="G255" s="58">
        <f>IF(AND(BANCO_OK_1,B255&lt;=MESES),IF(OR(B255=MESES,E255-F255&gt;H254),H254,E255-F255),0)</f>
        <v/>
      </c>
      <c r="H255" s="58">
        <f>H254-G255</f>
        <v/>
      </c>
      <c r="I255" s="58">
        <f>IF(AND(BANCO_OK_1,B255&lt;=MESES),F255+G255+VINC_MES_1,0)</f>
        <v/>
      </c>
      <c r="J255" s="52">
        <f>IF(AND(BANCO_OK_2,B255&lt;=MESES),IF(OR(OF_TIPO_2="Fija",C255&lt;=OF_ANIOS_INI_2),OF_TIN_2,MAX(0,EURIBOR+OF_DIF_2)),0)</f>
        <v/>
      </c>
      <c r="K255" s="58">
        <f>IF(AND(BANCO_OK_2,B255&lt;=MESES),IF(OR(B255=1,J255&lt;&gt;J254),PMT(J255/1200,MESES-B255+1,-N254),K254),0)</f>
        <v/>
      </c>
      <c r="L255" s="58">
        <f>N254*J255/1200</f>
        <v/>
      </c>
      <c r="M255" s="58">
        <f>IF(AND(BANCO_OK_2,B255&lt;=MESES),IF(OR(B255=MESES,K255-L255&gt;N254),N254,K255-L255),0)</f>
        <v/>
      </c>
      <c r="N255" s="58">
        <f>N254-M255</f>
        <v/>
      </c>
      <c r="O255" s="58">
        <f>IF(AND(BANCO_OK_2,B255&lt;=MESES),L255+M255+VINC_MES_2,0)</f>
        <v/>
      </c>
      <c r="P255" s="52">
        <f>IF(AND(BANCO_OK_3,B255&lt;=MESES),IF(OR(OF_TIPO_3="Fija",C255&lt;=OF_ANIOS_INI_3),OF_TIN_3,MAX(0,EURIBOR+OF_DIF_3)),0)</f>
        <v/>
      </c>
      <c r="Q255" s="58">
        <f>IF(AND(BANCO_OK_3,B255&lt;=MESES),IF(OR(B255=1,P255&lt;&gt;P254),PMT(P255/1200,MESES-B255+1,-T254),Q254),0)</f>
        <v/>
      </c>
      <c r="R255" s="58">
        <f>T254*P255/1200</f>
        <v/>
      </c>
      <c r="S255" s="58">
        <f>IF(AND(BANCO_OK_3,B255&lt;=MESES),IF(OR(B255=MESES,Q255-R255&gt;T254),T254,Q255-R255),0)</f>
        <v/>
      </c>
      <c r="T255" s="58">
        <f>T254-S255</f>
        <v/>
      </c>
      <c r="U255" s="58">
        <f>IF(AND(BANCO_OK_3,B255&lt;=MESES),R255+S255+VINC_MES_3,0)</f>
        <v/>
      </c>
      <c r="V255" s="52">
        <f>IF(AND(BANCO_OK_4,B255&lt;=MESES),IF(OR(OF_TIPO_4="Fija",C255&lt;=OF_ANIOS_INI_4),OF_TIN_4,MAX(0,EURIBOR+OF_DIF_4)),0)</f>
        <v/>
      </c>
      <c r="W255" s="58">
        <f>IF(AND(BANCO_OK_4,B255&lt;=MESES),IF(OR(B255=1,V255&lt;&gt;V254),PMT(V255/1200,MESES-B255+1,-Z254),W254),0)</f>
        <v/>
      </c>
      <c r="X255" s="58">
        <f>Z254*V255/1200</f>
        <v/>
      </c>
      <c r="Y255" s="58">
        <f>IF(AND(BANCO_OK_4,B255&lt;=MESES),IF(OR(B255=MESES,W255-X255&gt;Z254),Z254,W255-X255),0)</f>
        <v/>
      </c>
      <c r="Z255" s="58">
        <f>Z254-Y255</f>
        <v/>
      </c>
      <c r="AA255" s="58">
        <f>IF(AND(BANCO_OK_4,B255&lt;=MESES),X255+Y255+VINC_MES_4,0)</f>
        <v/>
      </c>
    </row>
    <row r="256">
      <c r="B256" s="56" t="n">
        <v>248</v>
      </c>
      <c r="C256" s="56">
        <f>ROUNDUP(B256/12,0)</f>
        <v/>
      </c>
      <c r="D256" s="52">
        <f>IF(AND(BANCO_OK_1,B256&lt;=MESES),IF(OR(OF_TIPO_1="Fija",C256&lt;=OF_ANIOS_INI_1),OF_TIN_1,MAX(0,EURIBOR+OF_DIF_1)),0)</f>
        <v/>
      </c>
      <c r="E256" s="58">
        <f>IF(AND(BANCO_OK_1,B256&lt;=MESES),IF(OR(B256=1,D256&lt;&gt;D255),PMT(D256/1200,MESES-B256+1,-H255),E255),0)</f>
        <v/>
      </c>
      <c r="F256" s="58">
        <f>H255*D256/1200</f>
        <v/>
      </c>
      <c r="G256" s="58">
        <f>IF(AND(BANCO_OK_1,B256&lt;=MESES),IF(OR(B256=MESES,E256-F256&gt;H255),H255,E256-F256),0)</f>
        <v/>
      </c>
      <c r="H256" s="58">
        <f>H255-G256</f>
        <v/>
      </c>
      <c r="I256" s="58">
        <f>IF(AND(BANCO_OK_1,B256&lt;=MESES),F256+G256+VINC_MES_1,0)</f>
        <v/>
      </c>
      <c r="J256" s="52">
        <f>IF(AND(BANCO_OK_2,B256&lt;=MESES),IF(OR(OF_TIPO_2="Fija",C256&lt;=OF_ANIOS_INI_2),OF_TIN_2,MAX(0,EURIBOR+OF_DIF_2)),0)</f>
        <v/>
      </c>
      <c r="K256" s="58">
        <f>IF(AND(BANCO_OK_2,B256&lt;=MESES),IF(OR(B256=1,J256&lt;&gt;J255),PMT(J256/1200,MESES-B256+1,-N255),K255),0)</f>
        <v/>
      </c>
      <c r="L256" s="58">
        <f>N255*J256/1200</f>
        <v/>
      </c>
      <c r="M256" s="58">
        <f>IF(AND(BANCO_OK_2,B256&lt;=MESES),IF(OR(B256=MESES,K256-L256&gt;N255),N255,K256-L256),0)</f>
        <v/>
      </c>
      <c r="N256" s="58">
        <f>N255-M256</f>
        <v/>
      </c>
      <c r="O256" s="58">
        <f>IF(AND(BANCO_OK_2,B256&lt;=MESES),L256+M256+VINC_MES_2,0)</f>
        <v/>
      </c>
      <c r="P256" s="52">
        <f>IF(AND(BANCO_OK_3,B256&lt;=MESES),IF(OR(OF_TIPO_3="Fija",C256&lt;=OF_ANIOS_INI_3),OF_TIN_3,MAX(0,EURIBOR+OF_DIF_3)),0)</f>
        <v/>
      </c>
      <c r="Q256" s="58">
        <f>IF(AND(BANCO_OK_3,B256&lt;=MESES),IF(OR(B256=1,P256&lt;&gt;P255),PMT(P256/1200,MESES-B256+1,-T255),Q255),0)</f>
        <v/>
      </c>
      <c r="R256" s="58">
        <f>T255*P256/1200</f>
        <v/>
      </c>
      <c r="S256" s="58">
        <f>IF(AND(BANCO_OK_3,B256&lt;=MESES),IF(OR(B256=MESES,Q256-R256&gt;T255),T255,Q256-R256),0)</f>
        <v/>
      </c>
      <c r="T256" s="58">
        <f>T255-S256</f>
        <v/>
      </c>
      <c r="U256" s="58">
        <f>IF(AND(BANCO_OK_3,B256&lt;=MESES),R256+S256+VINC_MES_3,0)</f>
        <v/>
      </c>
      <c r="V256" s="52">
        <f>IF(AND(BANCO_OK_4,B256&lt;=MESES),IF(OR(OF_TIPO_4="Fija",C256&lt;=OF_ANIOS_INI_4),OF_TIN_4,MAX(0,EURIBOR+OF_DIF_4)),0)</f>
        <v/>
      </c>
      <c r="W256" s="58">
        <f>IF(AND(BANCO_OK_4,B256&lt;=MESES),IF(OR(B256=1,V256&lt;&gt;V255),PMT(V256/1200,MESES-B256+1,-Z255),W255),0)</f>
        <v/>
      </c>
      <c r="X256" s="58">
        <f>Z255*V256/1200</f>
        <v/>
      </c>
      <c r="Y256" s="58">
        <f>IF(AND(BANCO_OK_4,B256&lt;=MESES),IF(OR(B256=MESES,W256-X256&gt;Z255),Z255,W256-X256),0)</f>
        <v/>
      </c>
      <c r="Z256" s="58">
        <f>Z255-Y256</f>
        <v/>
      </c>
      <c r="AA256" s="58">
        <f>IF(AND(BANCO_OK_4,B256&lt;=MESES),X256+Y256+VINC_MES_4,0)</f>
        <v/>
      </c>
    </row>
    <row r="257">
      <c r="B257" s="56" t="n">
        <v>249</v>
      </c>
      <c r="C257" s="56">
        <f>ROUNDUP(B257/12,0)</f>
        <v/>
      </c>
      <c r="D257" s="52">
        <f>IF(AND(BANCO_OK_1,B257&lt;=MESES),IF(OR(OF_TIPO_1="Fija",C257&lt;=OF_ANIOS_INI_1),OF_TIN_1,MAX(0,EURIBOR+OF_DIF_1)),0)</f>
        <v/>
      </c>
      <c r="E257" s="58">
        <f>IF(AND(BANCO_OK_1,B257&lt;=MESES),IF(OR(B257=1,D257&lt;&gt;D256),PMT(D257/1200,MESES-B257+1,-H256),E256),0)</f>
        <v/>
      </c>
      <c r="F257" s="58">
        <f>H256*D257/1200</f>
        <v/>
      </c>
      <c r="G257" s="58">
        <f>IF(AND(BANCO_OK_1,B257&lt;=MESES),IF(OR(B257=MESES,E257-F257&gt;H256),H256,E257-F257),0)</f>
        <v/>
      </c>
      <c r="H257" s="58">
        <f>H256-G257</f>
        <v/>
      </c>
      <c r="I257" s="58">
        <f>IF(AND(BANCO_OK_1,B257&lt;=MESES),F257+G257+VINC_MES_1,0)</f>
        <v/>
      </c>
      <c r="J257" s="52">
        <f>IF(AND(BANCO_OK_2,B257&lt;=MESES),IF(OR(OF_TIPO_2="Fija",C257&lt;=OF_ANIOS_INI_2),OF_TIN_2,MAX(0,EURIBOR+OF_DIF_2)),0)</f>
        <v/>
      </c>
      <c r="K257" s="58">
        <f>IF(AND(BANCO_OK_2,B257&lt;=MESES),IF(OR(B257=1,J257&lt;&gt;J256),PMT(J257/1200,MESES-B257+1,-N256),K256),0)</f>
        <v/>
      </c>
      <c r="L257" s="58">
        <f>N256*J257/1200</f>
        <v/>
      </c>
      <c r="M257" s="58">
        <f>IF(AND(BANCO_OK_2,B257&lt;=MESES),IF(OR(B257=MESES,K257-L257&gt;N256),N256,K257-L257),0)</f>
        <v/>
      </c>
      <c r="N257" s="58">
        <f>N256-M257</f>
        <v/>
      </c>
      <c r="O257" s="58">
        <f>IF(AND(BANCO_OK_2,B257&lt;=MESES),L257+M257+VINC_MES_2,0)</f>
        <v/>
      </c>
      <c r="P257" s="52">
        <f>IF(AND(BANCO_OK_3,B257&lt;=MESES),IF(OR(OF_TIPO_3="Fija",C257&lt;=OF_ANIOS_INI_3),OF_TIN_3,MAX(0,EURIBOR+OF_DIF_3)),0)</f>
        <v/>
      </c>
      <c r="Q257" s="58">
        <f>IF(AND(BANCO_OK_3,B257&lt;=MESES),IF(OR(B257=1,P257&lt;&gt;P256),PMT(P257/1200,MESES-B257+1,-T256),Q256),0)</f>
        <v/>
      </c>
      <c r="R257" s="58">
        <f>T256*P257/1200</f>
        <v/>
      </c>
      <c r="S257" s="58">
        <f>IF(AND(BANCO_OK_3,B257&lt;=MESES),IF(OR(B257=MESES,Q257-R257&gt;T256),T256,Q257-R257),0)</f>
        <v/>
      </c>
      <c r="T257" s="58">
        <f>T256-S257</f>
        <v/>
      </c>
      <c r="U257" s="58">
        <f>IF(AND(BANCO_OK_3,B257&lt;=MESES),R257+S257+VINC_MES_3,0)</f>
        <v/>
      </c>
      <c r="V257" s="52">
        <f>IF(AND(BANCO_OK_4,B257&lt;=MESES),IF(OR(OF_TIPO_4="Fija",C257&lt;=OF_ANIOS_INI_4),OF_TIN_4,MAX(0,EURIBOR+OF_DIF_4)),0)</f>
        <v/>
      </c>
      <c r="W257" s="58">
        <f>IF(AND(BANCO_OK_4,B257&lt;=MESES),IF(OR(B257=1,V257&lt;&gt;V256),PMT(V257/1200,MESES-B257+1,-Z256),W256),0)</f>
        <v/>
      </c>
      <c r="X257" s="58">
        <f>Z256*V257/1200</f>
        <v/>
      </c>
      <c r="Y257" s="58">
        <f>IF(AND(BANCO_OK_4,B257&lt;=MESES),IF(OR(B257=MESES,W257-X257&gt;Z256),Z256,W257-X257),0)</f>
        <v/>
      </c>
      <c r="Z257" s="58">
        <f>Z256-Y257</f>
        <v/>
      </c>
      <c r="AA257" s="58">
        <f>IF(AND(BANCO_OK_4,B257&lt;=MESES),X257+Y257+VINC_MES_4,0)</f>
        <v/>
      </c>
    </row>
    <row r="258">
      <c r="B258" s="56" t="n">
        <v>250</v>
      </c>
      <c r="C258" s="56">
        <f>ROUNDUP(B258/12,0)</f>
        <v/>
      </c>
      <c r="D258" s="52">
        <f>IF(AND(BANCO_OK_1,B258&lt;=MESES),IF(OR(OF_TIPO_1="Fija",C258&lt;=OF_ANIOS_INI_1),OF_TIN_1,MAX(0,EURIBOR+OF_DIF_1)),0)</f>
        <v/>
      </c>
      <c r="E258" s="58">
        <f>IF(AND(BANCO_OK_1,B258&lt;=MESES),IF(OR(B258=1,D258&lt;&gt;D257),PMT(D258/1200,MESES-B258+1,-H257),E257),0)</f>
        <v/>
      </c>
      <c r="F258" s="58">
        <f>H257*D258/1200</f>
        <v/>
      </c>
      <c r="G258" s="58">
        <f>IF(AND(BANCO_OK_1,B258&lt;=MESES),IF(OR(B258=MESES,E258-F258&gt;H257),H257,E258-F258),0)</f>
        <v/>
      </c>
      <c r="H258" s="58">
        <f>H257-G258</f>
        <v/>
      </c>
      <c r="I258" s="58">
        <f>IF(AND(BANCO_OK_1,B258&lt;=MESES),F258+G258+VINC_MES_1,0)</f>
        <v/>
      </c>
      <c r="J258" s="52">
        <f>IF(AND(BANCO_OK_2,B258&lt;=MESES),IF(OR(OF_TIPO_2="Fija",C258&lt;=OF_ANIOS_INI_2),OF_TIN_2,MAX(0,EURIBOR+OF_DIF_2)),0)</f>
        <v/>
      </c>
      <c r="K258" s="58">
        <f>IF(AND(BANCO_OK_2,B258&lt;=MESES),IF(OR(B258=1,J258&lt;&gt;J257),PMT(J258/1200,MESES-B258+1,-N257),K257),0)</f>
        <v/>
      </c>
      <c r="L258" s="58">
        <f>N257*J258/1200</f>
        <v/>
      </c>
      <c r="M258" s="58">
        <f>IF(AND(BANCO_OK_2,B258&lt;=MESES),IF(OR(B258=MESES,K258-L258&gt;N257),N257,K258-L258),0)</f>
        <v/>
      </c>
      <c r="N258" s="58">
        <f>N257-M258</f>
        <v/>
      </c>
      <c r="O258" s="58">
        <f>IF(AND(BANCO_OK_2,B258&lt;=MESES),L258+M258+VINC_MES_2,0)</f>
        <v/>
      </c>
      <c r="P258" s="52">
        <f>IF(AND(BANCO_OK_3,B258&lt;=MESES),IF(OR(OF_TIPO_3="Fija",C258&lt;=OF_ANIOS_INI_3),OF_TIN_3,MAX(0,EURIBOR+OF_DIF_3)),0)</f>
        <v/>
      </c>
      <c r="Q258" s="58">
        <f>IF(AND(BANCO_OK_3,B258&lt;=MESES),IF(OR(B258=1,P258&lt;&gt;P257),PMT(P258/1200,MESES-B258+1,-T257),Q257),0)</f>
        <v/>
      </c>
      <c r="R258" s="58">
        <f>T257*P258/1200</f>
        <v/>
      </c>
      <c r="S258" s="58">
        <f>IF(AND(BANCO_OK_3,B258&lt;=MESES),IF(OR(B258=MESES,Q258-R258&gt;T257),T257,Q258-R258),0)</f>
        <v/>
      </c>
      <c r="T258" s="58">
        <f>T257-S258</f>
        <v/>
      </c>
      <c r="U258" s="58">
        <f>IF(AND(BANCO_OK_3,B258&lt;=MESES),R258+S258+VINC_MES_3,0)</f>
        <v/>
      </c>
      <c r="V258" s="52">
        <f>IF(AND(BANCO_OK_4,B258&lt;=MESES),IF(OR(OF_TIPO_4="Fija",C258&lt;=OF_ANIOS_INI_4),OF_TIN_4,MAX(0,EURIBOR+OF_DIF_4)),0)</f>
        <v/>
      </c>
      <c r="W258" s="58">
        <f>IF(AND(BANCO_OK_4,B258&lt;=MESES),IF(OR(B258=1,V258&lt;&gt;V257),PMT(V258/1200,MESES-B258+1,-Z257),W257),0)</f>
        <v/>
      </c>
      <c r="X258" s="58">
        <f>Z257*V258/1200</f>
        <v/>
      </c>
      <c r="Y258" s="58">
        <f>IF(AND(BANCO_OK_4,B258&lt;=MESES),IF(OR(B258=MESES,W258-X258&gt;Z257),Z257,W258-X258),0)</f>
        <v/>
      </c>
      <c r="Z258" s="58">
        <f>Z257-Y258</f>
        <v/>
      </c>
      <c r="AA258" s="58">
        <f>IF(AND(BANCO_OK_4,B258&lt;=MESES),X258+Y258+VINC_MES_4,0)</f>
        <v/>
      </c>
    </row>
    <row r="259">
      <c r="B259" s="56" t="n">
        <v>251</v>
      </c>
      <c r="C259" s="56">
        <f>ROUNDUP(B259/12,0)</f>
        <v/>
      </c>
      <c r="D259" s="52">
        <f>IF(AND(BANCO_OK_1,B259&lt;=MESES),IF(OR(OF_TIPO_1="Fija",C259&lt;=OF_ANIOS_INI_1),OF_TIN_1,MAX(0,EURIBOR+OF_DIF_1)),0)</f>
        <v/>
      </c>
      <c r="E259" s="58">
        <f>IF(AND(BANCO_OK_1,B259&lt;=MESES),IF(OR(B259=1,D259&lt;&gt;D258),PMT(D259/1200,MESES-B259+1,-H258),E258),0)</f>
        <v/>
      </c>
      <c r="F259" s="58">
        <f>H258*D259/1200</f>
        <v/>
      </c>
      <c r="G259" s="58">
        <f>IF(AND(BANCO_OK_1,B259&lt;=MESES),IF(OR(B259=MESES,E259-F259&gt;H258),H258,E259-F259),0)</f>
        <v/>
      </c>
      <c r="H259" s="58">
        <f>H258-G259</f>
        <v/>
      </c>
      <c r="I259" s="58">
        <f>IF(AND(BANCO_OK_1,B259&lt;=MESES),F259+G259+VINC_MES_1,0)</f>
        <v/>
      </c>
      <c r="J259" s="52">
        <f>IF(AND(BANCO_OK_2,B259&lt;=MESES),IF(OR(OF_TIPO_2="Fija",C259&lt;=OF_ANIOS_INI_2),OF_TIN_2,MAX(0,EURIBOR+OF_DIF_2)),0)</f>
        <v/>
      </c>
      <c r="K259" s="58">
        <f>IF(AND(BANCO_OK_2,B259&lt;=MESES),IF(OR(B259=1,J259&lt;&gt;J258),PMT(J259/1200,MESES-B259+1,-N258),K258),0)</f>
        <v/>
      </c>
      <c r="L259" s="58">
        <f>N258*J259/1200</f>
        <v/>
      </c>
      <c r="M259" s="58">
        <f>IF(AND(BANCO_OK_2,B259&lt;=MESES),IF(OR(B259=MESES,K259-L259&gt;N258),N258,K259-L259),0)</f>
        <v/>
      </c>
      <c r="N259" s="58">
        <f>N258-M259</f>
        <v/>
      </c>
      <c r="O259" s="58">
        <f>IF(AND(BANCO_OK_2,B259&lt;=MESES),L259+M259+VINC_MES_2,0)</f>
        <v/>
      </c>
      <c r="P259" s="52">
        <f>IF(AND(BANCO_OK_3,B259&lt;=MESES),IF(OR(OF_TIPO_3="Fija",C259&lt;=OF_ANIOS_INI_3),OF_TIN_3,MAX(0,EURIBOR+OF_DIF_3)),0)</f>
        <v/>
      </c>
      <c r="Q259" s="58">
        <f>IF(AND(BANCO_OK_3,B259&lt;=MESES),IF(OR(B259=1,P259&lt;&gt;P258),PMT(P259/1200,MESES-B259+1,-T258),Q258),0)</f>
        <v/>
      </c>
      <c r="R259" s="58">
        <f>T258*P259/1200</f>
        <v/>
      </c>
      <c r="S259" s="58">
        <f>IF(AND(BANCO_OK_3,B259&lt;=MESES),IF(OR(B259=MESES,Q259-R259&gt;T258),T258,Q259-R259),0)</f>
        <v/>
      </c>
      <c r="T259" s="58">
        <f>T258-S259</f>
        <v/>
      </c>
      <c r="U259" s="58">
        <f>IF(AND(BANCO_OK_3,B259&lt;=MESES),R259+S259+VINC_MES_3,0)</f>
        <v/>
      </c>
      <c r="V259" s="52">
        <f>IF(AND(BANCO_OK_4,B259&lt;=MESES),IF(OR(OF_TIPO_4="Fija",C259&lt;=OF_ANIOS_INI_4),OF_TIN_4,MAX(0,EURIBOR+OF_DIF_4)),0)</f>
        <v/>
      </c>
      <c r="W259" s="58">
        <f>IF(AND(BANCO_OK_4,B259&lt;=MESES),IF(OR(B259=1,V259&lt;&gt;V258),PMT(V259/1200,MESES-B259+1,-Z258),W258),0)</f>
        <v/>
      </c>
      <c r="X259" s="58">
        <f>Z258*V259/1200</f>
        <v/>
      </c>
      <c r="Y259" s="58">
        <f>IF(AND(BANCO_OK_4,B259&lt;=MESES),IF(OR(B259=MESES,W259-X259&gt;Z258),Z258,W259-X259),0)</f>
        <v/>
      </c>
      <c r="Z259" s="58">
        <f>Z258-Y259</f>
        <v/>
      </c>
      <c r="AA259" s="58">
        <f>IF(AND(BANCO_OK_4,B259&lt;=MESES),X259+Y259+VINC_MES_4,0)</f>
        <v/>
      </c>
    </row>
    <row r="260">
      <c r="B260" s="56" t="n">
        <v>252</v>
      </c>
      <c r="C260" s="56">
        <f>ROUNDUP(B260/12,0)</f>
        <v/>
      </c>
      <c r="D260" s="52">
        <f>IF(AND(BANCO_OK_1,B260&lt;=MESES),IF(OR(OF_TIPO_1="Fija",C260&lt;=OF_ANIOS_INI_1),OF_TIN_1,MAX(0,EURIBOR+OF_DIF_1)),0)</f>
        <v/>
      </c>
      <c r="E260" s="58">
        <f>IF(AND(BANCO_OK_1,B260&lt;=MESES),IF(OR(B260=1,D260&lt;&gt;D259),PMT(D260/1200,MESES-B260+1,-H259),E259),0)</f>
        <v/>
      </c>
      <c r="F260" s="58">
        <f>H259*D260/1200</f>
        <v/>
      </c>
      <c r="G260" s="58">
        <f>IF(AND(BANCO_OK_1,B260&lt;=MESES),IF(OR(B260=MESES,E260-F260&gt;H259),H259,E260-F260),0)</f>
        <v/>
      </c>
      <c r="H260" s="58">
        <f>H259-G260</f>
        <v/>
      </c>
      <c r="I260" s="58">
        <f>IF(AND(BANCO_OK_1,B260&lt;=MESES),F260+G260+VINC_MES_1,0)</f>
        <v/>
      </c>
      <c r="J260" s="52">
        <f>IF(AND(BANCO_OK_2,B260&lt;=MESES),IF(OR(OF_TIPO_2="Fija",C260&lt;=OF_ANIOS_INI_2),OF_TIN_2,MAX(0,EURIBOR+OF_DIF_2)),0)</f>
        <v/>
      </c>
      <c r="K260" s="58">
        <f>IF(AND(BANCO_OK_2,B260&lt;=MESES),IF(OR(B260=1,J260&lt;&gt;J259),PMT(J260/1200,MESES-B260+1,-N259),K259),0)</f>
        <v/>
      </c>
      <c r="L260" s="58">
        <f>N259*J260/1200</f>
        <v/>
      </c>
      <c r="M260" s="58">
        <f>IF(AND(BANCO_OK_2,B260&lt;=MESES),IF(OR(B260=MESES,K260-L260&gt;N259),N259,K260-L260),0)</f>
        <v/>
      </c>
      <c r="N260" s="58">
        <f>N259-M260</f>
        <v/>
      </c>
      <c r="O260" s="58">
        <f>IF(AND(BANCO_OK_2,B260&lt;=MESES),L260+M260+VINC_MES_2,0)</f>
        <v/>
      </c>
      <c r="P260" s="52">
        <f>IF(AND(BANCO_OK_3,B260&lt;=MESES),IF(OR(OF_TIPO_3="Fija",C260&lt;=OF_ANIOS_INI_3),OF_TIN_3,MAX(0,EURIBOR+OF_DIF_3)),0)</f>
        <v/>
      </c>
      <c r="Q260" s="58">
        <f>IF(AND(BANCO_OK_3,B260&lt;=MESES),IF(OR(B260=1,P260&lt;&gt;P259),PMT(P260/1200,MESES-B260+1,-T259),Q259),0)</f>
        <v/>
      </c>
      <c r="R260" s="58">
        <f>T259*P260/1200</f>
        <v/>
      </c>
      <c r="S260" s="58">
        <f>IF(AND(BANCO_OK_3,B260&lt;=MESES),IF(OR(B260=MESES,Q260-R260&gt;T259),T259,Q260-R260),0)</f>
        <v/>
      </c>
      <c r="T260" s="58">
        <f>T259-S260</f>
        <v/>
      </c>
      <c r="U260" s="58">
        <f>IF(AND(BANCO_OK_3,B260&lt;=MESES),R260+S260+VINC_MES_3,0)</f>
        <v/>
      </c>
      <c r="V260" s="52">
        <f>IF(AND(BANCO_OK_4,B260&lt;=MESES),IF(OR(OF_TIPO_4="Fija",C260&lt;=OF_ANIOS_INI_4),OF_TIN_4,MAX(0,EURIBOR+OF_DIF_4)),0)</f>
        <v/>
      </c>
      <c r="W260" s="58">
        <f>IF(AND(BANCO_OK_4,B260&lt;=MESES),IF(OR(B260=1,V260&lt;&gt;V259),PMT(V260/1200,MESES-B260+1,-Z259),W259),0)</f>
        <v/>
      </c>
      <c r="X260" s="58">
        <f>Z259*V260/1200</f>
        <v/>
      </c>
      <c r="Y260" s="58">
        <f>IF(AND(BANCO_OK_4,B260&lt;=MESES),IF(OR(B260=MESES,W260-X260&gt;Z259),Z259,W260-X260),0)</f>
        <v/>
      </c>
      <c r="Z260" s="58">
        <f>Z259-Y260</f>
        <v/>
      </c>
      <c r="AA260" s="58">
        <f>IF(AND(BANCO_OK_4,B260&lt;=MESES),X260+Y260+VINC_MES_4,0)</f>
        <v/>
      </c>
    </row>
    <row r="261">
      <c r="B261" s="56" t="n">
        <v>253</v>
      </c>
      <c r="C261" s="56">
        <f>ROUNDUP(B261/12,0)</f>
        <v/>
      </c>
      <c r="D261" s="52">
        <f>IF(AND(BANCO_OK_1,B261&lt;=MESES),IF(OR(OF_TIPO_1="Fija",C261&lt;=OF_ANIOS_INI_1),OF_TIN_1,MAX(0,EURIBOR+OF_DIF_1)),0)</f>
        <v/>
      </c>
      <c r="E261" s="58">
        <f>IF(AND(BANCO_OK_1,B261&lt;=MESES),IF(OR(B261=1,D261&lt;&gt;D260),PMT(D261/1200,MESES-B261+1,-H260),E260),0)</f>
        <v/>
      </c>
      <c r="F261" s="58">
        <f>H260*D261/1200</f>
        <v/>
      </c>
      <c r="G261" s="58">
        <f>IF(AND(BANCO_OK_1,B261&lt;=MESES),IF(OR(B261=MESES,E261-F261&gt;H260),H260,E261-F261),0)</f>
        <v/>
      </c>
      <c r="H261" s="58">
        <f>H260-G261</f>
        <v/>
      </c>
      <c r="I261" s="58">
        <f>IF(AND(BANCO_OK_1,B261&lt;=MESES),F261+G261+VINC_MES_1,0)</f>
        <v/>
      </c>
      <c r="J261" s="52">
        <f>IF(AND(BANCO_OK_2,B261&lt;=MESES),IF(OR(OF_TIPO_2="Fija",C261&lt;=OF_ANIOS_INI_2),OF_TIN_2,MAX(0,EURIBOR+OF_DIF_2)),0)</f>
        <v/>
      </c>
      <c r="K261" s="58">
        <f>IF(AND(BANCO_OK_2,B261&lt;=MESES),IF(OR(B261=1,J261&lt;&gt;J260),PMT(J261/1200,MESES-B261+1,-N260),K260),0)</f>
        <v/>
      </c>
      <c r="L261" s="58">
        <f>N260*J261/1200</f>
        <v/>
      </c>
      <c r="M261" s="58">
        <f>IF(AND(BANCO_OK_2,B261&lt;=MESES),IF(OR(B261=MESES,K261-L261&gt;N260),N260,K261-L261),0)</f>
        <v/>
      </c>
      <c r="N261" s="58">
        <f>N260-M261</f>
        <v/>
      </c>
      <c r="O261" s="58">
        <f>IF(AND(BANCO_OK_2,B261&lt;=MESES),L261+M261+VINC_MES_2,0)</f>
        <v/>
      </c>
      <c r="P261" s="52">
        <f>IF(AND(BANCO_OK_3,B261&lt;=MESES),IF(OR(OF_TIPO_3="Fija",C261&lt;=OF_ANIOS_INI_3),OF_TIN_3,MAX(0,EURIBOR+OF_DIF_3)),0)</f>
        <v/>
      </c>
      <c r="Q261" s="58">
        <f>IF(AND(BANCO_OK_3,B261&lt;=MESES),IF(OR(B261=1,P261&lt;&gt;P260),PMT(P261/1200,MESES-B261+1,-T260),Q260),0)</f>
        <v/>
      </c>
      <c r="R261" s="58">
        <f>T260*P261/1200</f>
        <v/>
      </c>
      <c r="S261" s="58">
        <f>IF(AND(BANCO_OK_3,B261&lt;=MESES),IF(OR(B261=MESES,Q261-R261&gt;T260),T260,Q261-R261),0)</f>
        <v/>
      </c>
      <c r="T261" s="58">
        <f>T260-S261</f>
        <v/>
      </c>
      <c r="U261" s="58">
        <f>IF(AND(BANCO_OK_3,B261&lt;=MESES),R261+S261+VINC_MES_3,0)</f>
        <v/>
      </c>
      <c r="V261" s="52">
        <f>IF(AND(BANCO_OK_4,B261&lt;=MESES),IF(OR(OF_TIPO_4="Fija",C261&lt;=OF_ANIOS_INI_4),OF_TIN_4,MAX(0,EURIBOR+OF_DIF_4)),0)</f>
        <v/>
      </c>
      <c r="W261" s="58">
        <f>IF(AND(BANCO_OK_4,B261&lt;=MESES),IF(OR(B261=1,V261&lt;&gt;V260),PMT(V261/1200,MESES-B261+1,-Z260),W260),0)</f>
        <v/>
      </c>
      <c r="X261" s="58">
        <f>Z260*V261/1200</f>
        <v/>
      </c>
      <c r="Y261" s="58">
        <f>IF(AND(BANCO_OK_4,B261&lt;=MESES),IF(OR(B261=MESES,W261-X261&gt;Z260),Z260,W261-X261),0)</f>
        <v/>
      </c>
      <c r="Z261" s="58">
        <f>Z260-Y261</f>
        <v/>
      </c>
      <c r="AA261" s="58">
        <f>IF(AND(BANCO_OK_4,B261&lt;=MESES),X261+Y261+VINC_MES_4,0)</f>
        <v/>
      </c>
    </row>
    <row r="262">
      <c r="B262" s="56" t="n">
        <v>254</v>
      </c>
      <c r="C262" s="56">
        <f>ROUNDUP(B262/12,0)</f>
        <v/>
      </c>
      <c r="D262" s="52">
        <f>IF(AND(BANCO_OK_1,B262&lt;=MESES),IF(OR(OF_TIPO_1="Fija",C262&lt;=OF_ANIOS_INI_1),OF_TIN_1,MAX(0,EURIBOR+OF_DIF_1)),0)</f>
        <v/>
      </c>
      <c r="E262" s="58">
        <f>IF(AND(BANCO_OK_1,B262&lt;=MESES),IF(OR(B262=1,D262&lt;&gt;D261),PMT(D262/1200,MESES-B262+1,-H261),E261),0)</f>
        <v/>
      </c>
      <c r="F262" s="58">
        <f>H261*D262/1200</f>
        <v/>
      </c>
      <c r="G262" s="58">
        <f>IF(AND(BANCO_OK_1,B262&lt;=MESES),IF(OR(B262=MESES,E262-F262&gt;H261),H261,E262-F262),0)</f>
        <v/>
      </c>
      <c r="H262" s="58">
        <f>H261-G262</f>
        <v/>
      </c>
      <c r="I262" s="58">
        <f>IF(AND(BANCO_OK_1,B262&lt;=MESES),F262+G262+VINC_MES_1,0)</f>
        <v/>
      </c>
      <c r="J262" s="52">
        <f>IF(AND(BANCO_OK_2,B262&lt;=MESES),IF(OR(OF_TIPO_2="Fija",C262&lt;=OF_ANIOS_INI_2),OF_TIN_2,MAX(0,EURIBOR+OF_DIF_2)),0)</f>
        <v/>
      </c>
      <c r="K262" s="58">
        <f>IF(AND(BANCO_OK_2,B262&lt;=MESES),IF(OR(B262=1,J262&lt;&gt;J261),PMT(J262/1200,MESES-B262+1,-N261),K261),0)</f>
        <v/>
      </c>
      <c r="L262" s="58">
        <f>N261*J262/1200</f>
        <v/>
      </c>
      <c r="M262" s="58">
        <f>IF(AND(BANCO_OK_2,B262&lt;=MESES),IF(OR(B262=MESES,K262-L262&gt;N261),N261,K262-L262),0)</f>
        <v/>
      </c>
      <c r="N262" s="58">
        <f>N261-M262</f>
        <v/>
      </c>
      <c r="O262" s="58">
        <f>IF(AND(BANCO_OK_2,B262&lt;=MESES),L262+M262+VINC_MES_2,0)</f>
        <v/>
      </c>
      <c r="P262" s="52">
        <f>IF(AND(BANCO_OK_3,B262&lt;=MESES),IF(OR(OF_TIPO_3="Fija",C262&lt;=OF_ANIOS_INI_3),OF_TIN_3,MAX(0,EURIBOR+OF_DIF_3)),0)</f>
        <v/>
      </c>
      <c r="Q262" s="58">
        <f>IF(AND(BANCO_OK_3,B262&lt;=MESES),IF(OR(B262=1,P262&lt;&gt;P261),PMT(P262/1200,MESES-B262+1,-T261),Q261),0)</f>
        <v/>
      </c>
      <c r="R262" s="58">
        <f>T261*P262/1200</f>
        <v/>
      </c>
      <c r="S262" s="58">
        <f>IF(AND(BANCO_OK_3,B262&lt;=MESES),IF(OR(B262=MESES,Q262-R262&gt;T261),T261,Q262-R262),0)</f>
        <v/>
      </c>
      <c r="T262" s="58">
        <f>T261-S262</f>
        <v/>
      </c>
      <c r="U262" s="58">
        <f>IF(AND(BANCO_OK_3,B262&lt;=MESES),R262+S262+VINC_MES_3,0)</f>
        <v/>
      </c>
      <c r="V262" s="52">
        <f>IF(AND(BANCO_OK_4,B262&lt;=MESES),IF(OR(OF_TIPO_4="Fija",C262&lt;=OF_ANIOS_INI_4),OF_TIN_4,MAX(0,EURIBOR+OF_DIF_4)),0)</f>
        <v/>
      </c>
      <c r="W262" s="58">
        <f>IF(AND(BANCO_OK_4,B262&lt;=MESES),IF(OR(B262=1,V262&lt;&gt;V261),PMT(V262/1200,MESES-B262+1,-Z261),W261),0)</f>
        <v/>
      </c>
      <c r="X262" s="58">
        <f>Z261*V262/1200</f>
        <v/>
      </c>
      <c r="Y262" s="58">
        <f>IF(AND(BANCO_OK_4,B262&lt;=MESES),IF(OR(B262=MESES,W262-X262&gt;Z261),Z261,W262-X262),0)</f>
        <v/>
      </c>
      <c r="Z262" s="58">
        <f>Z261-Y262</f>
        <v/>
      </c>
      <c r="AA262" s="58">
        <f>IF(AND(BANCO_OK_4,B262&lt;=MESES),X262+Y262+VINC_MES_4,0)</f>
        <v/>
      </c>
    </row>
    <row r="263">
      <c r="B263" s="56" t="n">
        <v>255</v>
      </c>
      <c r="C263" s="56">
        <f>ROUNDUP(B263/12,0)</f>
        <v/>
      </c>
      <c r="D263" s="52">
        <f>IF(AND(BANCO_OK_1,B263&lt;=MESES),IF(OR(OF_TIPO_1="Fija",C263&lt;=OF_ANIOS_INI_1),OF_TIN_1,MAX(0,EURIBOR+OF_DIF_1)),0)</f>
        <v/>
      </c>
      <c r="E263" s="58">
        <f>IF(AND(BANCO_OK_1,B263&lt;=MESES),IF(OR(B263=1,D263&lt;&gt;D262),PMT(D263/1200,MESES-B263+1,-H262),E262),0)</f>
        <v/>
      </c>
      <c r="F263" s="58">
        <f>H262*D263/1200</f>
        <v/>
      </c>
      <c r="G263" s="58">
        <f>IF(AND(BANCO_OK_1,B263&lt;=MESES),IF(OR(B263=MESES,E263-F263&gt;H262),H262,E263-F263),0)</f>
        <v/>
      </c>
      <c r="H263" s="58">
        <f>H262-G263</f>
        <v/>
      </c>
      <c r="I263" s="58">
        <f>IF(AND(BANCO_OK_1,B263&lt;=MESES),F263+G263+VINC_MES_1,0)</f>
        <v/>
      </c>
      <c r="J263" s="52">
        <f>IF(AND(BANCO_OK_2,B263&lt;=MESES),IF(OR(OF_TIPO_2="Fija",C263&lt;=OF_ANIOS_INI_2),OF_TIN_2,MAX(0,EURIBOR+OF_DIF_2)),0)</f>
        <v/>
      </c>
      <c r="K263" s="58">
        <f>IF(AND(BANCO_OK_2,B263&lt;=MESES),IF(OR(B263=1,J263&lt;&gt;J262),PMT(J263/1200,MESES-B263+1,-N262),K262),0)</f>
        <v/>
      </c>
      <c r="L263" s="58">
        <f>N262*J263/1200</f>
        <v/>
      </c>
      <c r="M263" s="58">
        <f>IF(AND(BANCO_OK_2,B263&lt;=MESES),IF(OR(B263=MESES,K263-L263&gt;N262),N262,K263-L263),0)</f>
        <v/>
      </c>
      <c r="N263" s="58">
        <f>N262-M263</f>
        <v/>
      </c>
      <c r="O263" s="58">
        <f>IF(AND(BANCO_OK_2,B263&lt;=MESES),L263+M263+VINC_MES_2,0)</f>
        <v/>
      </c>
      <c r="P263" s="52">
        <f>IF(AND(BANCO_OK_3,B263&lt;=MESES),IF(OR(OF_TIPO_3="Fija",C263&lt;=OF_ANIOS_INI_3),OF_TIN_3,MAX(0,EURIBOR+OF_DIF_3)),0)</f>
        <v/>
      </c>
      <c r="Q263" s="58">
        <f>IF(AND(BANCO_OK_3,B263&lt;=MESES),IF(OR(B263=1,P263&lt;&gt;P262),PMT(P263/1200,MESES-B263+1,-T262),Q262),0)</f>
        <v/>
      </c>
      <c r="R263" s="58">
        <f>T262*P263/1200</f>
        <v/>
      </c>
      <c r="S263" s="58">
        <f>IF(AND(BANCO_OK_3,B263&lt;=MESES),IF(OR(B263=MESES,Q263-R263&gt;T262),T262,Q263-R263),0)</f>
        <v/>
      </c>
      <c r="T263" s="58">
        <f>T262-S263</f>
        <v/>
      </c>
      <c r="U263" s="58">
        <f>IF(AND(BANCO_OK_3,B263&lt;=MESES),R263+S263+VINC_MES_3,0)</f>
        <v/>
      </c>
      <c r="V263" s="52">
        <f>IF(AND(BANCO_OK_4,B263&lt;=MESES),IF(OR(OF_TIPO_4="Fija",C263&lt;=OF_ANIOS_INI_4),OF_TIN_4,MAX(0,EURIBOR+OF_DIF_4)),0)</f>
        <v/>
      </c>
      <c r="W263" s="58">
        <f>IF(AND(BANCO_OK_4,B263&lt;=MESES),IF(OR(B263=1,V263&lt;&gt;V262),PMT(V263/1200,MESES-B263+1,-Z262),W262),0)</f>
        <v/>
      </c>
      <c r="X263" s="58">
        <f>Z262*V263/1200</f>
        <v/>
      </c>
      <c r="Y263" s="58">
        <f>IF(AND(BANCO_OK_4,B263&lt;=MESES),IF(OR(B263=MESES,W263-X263&gt;Z262),Z262,W263-X263),0)</f>
        <v/>
      </c>
      <c r="Z263" s="58">
        <f>Z262-Y263</f>
        <v/>
      </c>
      <c r="AA263" s="58">
        <f>IF(AND(BANCO_OK_4,B263&lt;=MESES),X263+Y263+VINC_MES_4,0)</f>
        <v/>
      </c>
    </row>
    <row r="264">
      <c r="B264" s="56" t="n">
        <v>256</v>
      </c>
      <c r="C264" s="56">
        <f>ROUNDUP(B264/12,0)</f>
        <v/>
      </c>
      <c r="D264" s="52">
        <f>IF(AND(BANCO_OK_1,B264&lt;=MESES),IF(OR(OF_TIPO_1="Fija",C264&lt;=OF_ANIOS_INI_1),OF_TIN_1,MAX(0,EURIBOR+OF_DIF_1)),0)</f>
        <v/>
      </c>
      <c r="E264" s="58">
        <f>IF(AND(BANCO_OK_1,B264&lt;=MESES),IF(OR(B264=1,D264&lt;&gt;D263),PMT(D264/1200,MESES-B264+1,-H263),E263),0)</f>
        <v/>
      </c>
      <c r="F264" s="58">
        <f>H263*D264/1200</f>
        <v/>
      </c>
      <c r="G264" s="58">
        <f>IF(AND(BANCO_OK_1,B264&lt;=MESES),IF(OR(B264=MESES,E264-F264&gt;H263),H263,E264-F264),0)</f>
        <v/>
      </c>
      <c r="H264" s="58">
        <f>H263-G264</f>
        <v/>
      </c>
      <c r="I264" s="58">
        <f>IF(AND(BANCO_OK_1,B264&lt;=MESES),F264+G264+VINC_MES_1,0)</f>
        <v/>
      </c>
      <c r="J264" s="52">
        <f>IF(AND(BANCO_OK_2,B264&lt;=MESES),IF(OR(OF_TIPO_2="Fija",C264&lt;=OF_ANIOS_INI_2),OF_TIN_2,MAX(0,EURIBOR+OF_DIF_2)),0)</f>
        <v/>
      </c>
      <c r="K264" s="58">
        <f>IF(AND(BANCO_OK_2,B264&lt;=MESES),IF(OR(B264=1,J264&lt;&gt;J263),PMT(J264/1200,MESES-B264+1,-N263),K263),0)</f>
        <v/>
      </c>
      <c r="L264" s="58">
        <f>N263*J264/1200</f>
        <v/>
      </c>
      <c r="M264" s="58">
        <f>IF(AND(BANCO_OK_2,B264&lt;=MESES),IF(OR(B264=MESES,K264-L264&gt;N263),N263,K264-L264),0)</f>
        <v/>
      </c>
      <c r="N264" s="58">
        <f>N263-M264</f>
        <v/>
      </c>
      <c r="O264" s="58">
        <f>IF(AND(BANCO_OK_2,B264&lt;=MESES),L264+M264+VINC_MES_2,0)</f>
        <v/>
      </c>
      <c r="P264" s="52">
        <f>IF(AND(BANCO_OK_3,B264&lt;=MESES),IF(OR(OF_TIPO_3="Fija",C264&lt;=OF_ANIOS_INI_3),OF_TIN_3,MAX(0,EURIBOR+OF_DIF_3)),0)</f>
        <v/>
      </c>
      <c r="Q264" s="58">
        <f>IF(AND(BANCO_OK_3,B264&lt;=MESES),IF(OR(B264=1,P264&lt;&gt;P263),PMT(P264/1200,MESES-B264+1,-T263),Q263),0)</f>
        <v/>
      </c>
      <c r="R264" s="58">
        <f>T263*P264/1200</f>
        <v/>
      </c>
      <c r="S264" s="58">
        <f>IF(AND(BANCO_OK_3,B264&lt;=MESES),IF(OR(B264=MESES,Q264-R264&gt;T263),T263,Q264-R264),0)</f>
        <v/>
      </c>
      <c r="T264" s="58">
        <f>T263-S264</f>
        <v/>
      </c>
      <c r="U264" s="58">
        <f>IF(AND(BANCO_OK_3,B264&lt;=MESES),R264+S264+VINC_MES_3,0)</f>
        <v/>
      </c>
      <c r="V264" s="52">
        <f>IF(AND(BANCO_OK_4,B264&lt;=MESES),IF(OR(OF_TIPO_4="Fija",C264&lt;=OF_ANIOS_INI_4),OF_TIN_4,MAX(0,EURIBOR+OF_DIF_4)),0)</f>
        <v/>
      </c>
      <c r="W264" s="58">
        <f>IF(AND(BANCO_OK_4,B264&lt;=MESES),IF(OR(B264=1,V264&lt;&gt;V263),PMT(V264/1200,MESES-B264+1,-Z263),W263),0)</f>
        <v/>
      </c>
      <c r="X264" s="58">
        <f>Z263*V264/1200</f>
        <v/>
      </c>
      <c r="Y264" s="58">
        <f>IF(AND(BANCO_OK_4,B264&lt;=MESES),IF(OR(B264=MESES,W264-X264&gt;Z263),Z263,W264-X264),0)</f>
        <v/>
      </c>
      <c r="Z264" s="58">
        <f>Z263-Y264</f>
        <v/>
      </c>
      <c r="AA264" s="58">
        <f>IF(AND(BANCO_OK_4,B264&lt;=MESES),X264+Y264+VINC_MES_4,0)</f>
        <v/>
      </c>
    </row>
    <row r="265">
      <c r="B265" s="56" t="n">
        <v>257</v>
      </c>
      <c r="C265" s="56">
        <f>ROUNDUP(B265/12,0)</f>
        <v/>
      </c>
      <c r="D265" s="52">
        <f>IF(AND(BANCO_OK_1,B265&lt;=MESES),IF(OR(OF_TIPO_1="Fija",C265&lt;=OF_ANIOS_INI_1),OF_TIN_1,MAX(0,EURIBOR+OF_DIF_1)),0)</f>
        <v/>
      </c>
      <c r="E265" s="58">
        <f>IF(AND(BANCO_OK_1,B265&lt;=MESES),IF(OR(B265=1,D265&lt;&gt;D264),PMT(D265/1200,MESES-B265+1,-H264),E264),0)</f>
        <v/>
      </c>
      <c r="F265" s="58">
        <f>H264*D265/1200</f>
        <v/>
      </c>
      <c r="G265" s="58">
        <f>IF(AND(BANCO_OK_1,B265&lt;=MESES),IF(OR(B265=MESES,E265-F265&gt;H264),H264,E265-F265),0)</f>
        <v/>
      </c>
      <c r="H265" s="58">
        <f>H264-G265</f>
        <v/>
      </c>
      <c r="I265" s="58">
        <f>IF(AND(BANCO_OK_1,B265&lt;=MESES),F265+G265+VINC_MES_1,0)</f>
        <v/>
      </c>
      <c r="J265" s="52">
        <f>IF(AND(BANCO_OK_2,B265&lt;=MESES),IF(OR(OF_TIPO_2="Fija",C265&lt;=OF_ANIOS_INI_2),OF_TIN_2,MAX(0,EURIBOR+OF_DIF_2)),0)</f>
        <v/>
      </c>
      <c r="K265" s="58">
        <f>IF(AND(BANCO_OK_2,B265&lt;=MESES),IF(OR(B265=1,J265&lt;&gt;J264),PMT(J265/1200,MESES-B265+1,-N264),K264),0)</f>
        <v/>
      </c>
      <c r="L265" s="58">
        <f>N264*J265/1200</f>
        <v/>
      </c>
      <c r="M265" s="58">
        <f>IF(AND(BANCO_OK_2,B265&lt;=MESES),IF(OR(B265=MESES,K265-L265&gt;N264),N264,K265-L265),0)</f>
        <v/>
      </c>
      <c r="N265" s="58">
        <f>N264-M265</f>
        <v/>
      </c>
      <c r="O265" s="58">
        <f>IF(AND(BANCO_OK_2,B265&lt;=MESES),L265+M265+VINC_MES_2,0)</f>
        <v/>
      </c>
      <c r="P265" s="52">
        <f>IF(AND(BANCO_OK_3,B265&lt;=MESES),IF(OR(OF_TIPO_3="Fija",C265&lt;=OF_ANIOS_INI_3),OF_TIN_3,MAX(0,EURIBOR+OF_DIF_3)),0)</f>
        <v/>
      </c>
      <c r="Q265" s="58">
        <f>IF(AND(BANCO_OK_3,B265&lt;=MESES),IF(OR(B265=1,P265&lt;&gt;P264),PMT(P265/1200,MESES-B265+1,-T264),Q264),0)</f>
        <v/>
      </c>
      <c r="R265" s="58">
        <f>T264*P265/1200</f>
        <v/>
      </c>
      <c r="S265" s="58">
        <f>IF(AND(BANCO_OK_3,B265&lt;=MESES),IF(OR(B265=MESES,Q265-R265&gt;T264),T264,Q265-R265),0)</f>
        <v/>
      </c>
      <c r="T265" s="58">
        <f>T264-S265</f>
        <v/>
      </c>
      <c r="U265" s="58">
        <f>IF(AND(BANCO_OK_3,B265&lt;=MESES),R265+S265+VINC_MES_3,0)</f>
        <v/>
      </c>
      <c r="V265" s="52">
        <f>IF(AND(BANCO_OK_4,B265&lt;=MESES),IF(OR(OF_TIPO_4="Fija",C265&lt;=OF_ANIOS_INI_4),OF_TIN_4,MAX(0,EURIBOR+OF_DIF_4)),0)</f>
        <v/>
      </c>
      <c r="W265" s="58">
        <f>IF(AND(BANCO_OK_4,B265&lt;=MESES),IF(OR(B265=1,V265&lt;&gt;V264),PMT(V265/1200,MESES-B265+1,-Z264),W264),0)</f>
        <v/>
      </c>
      <c r="X265" s="58">
        <f>Z264*V265/1200</f>
        <v/>
      </c>
      <c r="Y265" s="58">
        <f>IF(AND(BANCO_OK_4,B265&lt;=MESES),IF(OR(B265=MESES,W265-X265&gt;Z264),Z264,W265-X265),0)</f>
        <v/>
      </c>
      <c r="Z265" s="58">
        <f>Z264-Y265</f>
        <v/>
      </c>
      <c r="AA265" s="58">
        <f>IF(AND(BANCO_OK_4,B265&lt;=MESES),X265+Y265+VINC_MES_4,0)</f>
        <v/>
      </c>
    </row>
    <row r="266">
      <c r="B266" s="56" t="n">
        <v>258</v>
      </c>
      <c r="C266" s="56">
        <f>ROUNDUP(B266/12,0)</f>
        <v/>
      </c>
      <c r="D266" s="52">
        <f>IF(AND(BANCO_OK_1,B266&lt;=MESES),IF(OR(OF_TIPO_1="Fija",C266&lt;=OF_ANIOS_INI_1),OF_TIN_1,MAX(0,EURIBOR+OF_DIF_1)),0)</f>
        <v/>
      </c>
      <c r="E266" s="58">
        <f>IF(AND(BANCO_OK_1,B266&lt;=MESES),IF(OR(B266=1,D266&lt;&gt;D265),PMT(D266/1200,MESES-B266+1,-H265),E265),0)</f>
        <v/>
      </c>
      <c r="F266" s="58">
        <f>H265*D266/1200</f>
        <v/>
      </c>
      <c r="G266" s="58">
        <f>IF(AND(BANCO_OK_1,B266&lt;=MESES),IF(OR(B266=MESES,E266-F266&gt;H265),H265,E266-F266),0)</f>
        <v/>
      </c>
      <c r="H266" s="58">
        <f>H265-G266</f>
        <v/>
      </c>
      <c r="I266" s="58">
        <f>IF(AND(BANCO_OK_1,B266&lt;=MESES),F266+G266+VINC_MES_1,0)</f>
        <v/>
      </c>
      <c r="J266" s="52">
        <f>IF(AND(BANCO_OK_2,B266&lt;=MESES),IF(OR(OF_TIPO_2="Fija",C266&lt;=OF_ANIOS_INI_2),OF_TIN_2,MAX(0,EURIBOR+OF_DIF_2)),0)</f>
        <v/>
      </c>
      <c r="K266" s="58">
        <f>IF(AND(BANCO_OK_2,B266&lt;=MESES),IF(OR(B266=1,J266&lt;&gt;J265),PMT(J266/1200,MESES-B266+1,-N265),K265),0)</f>
        <v/>
      </c>
      <c r="L266" s="58">
        <f>N265*J266/1200</f>
        <v/>
      </c>
      <c r="M266" s="58">
        <f>IF(AND(BANCO_OK_2,B266&lt;=MESES),IF(OR(B266=MESES,K266-L266&gt;N265),N265,K266-L266),0)</f>
        <v/>
      </c>
      <c r="N266" s="58">
        <f>N265-M266</f>
        <v/>
      </c>
      <c r="O266" s="58">
        <f>IF(AND(BANCO_OK_2,B266&lt;=MESES),L266+M266+VINC_MES_2,0)</f>
        <v/>
      </c>
      <c r="P266" s="52">
        <f>IF(AND(BANCO_OK_3,B266&lt;=MESES),IF(OR(OF_TIPO_3="Fija",C266&lt;=OF_ANIOS_INI_3),OF_TIN_3,MAX(0,EURIBOR+OF_DIF_3)),0)</f>
        <v/>
      </c>
      <c r="Q266" s="58">
        <f>IF(AND(BANCO_OK_3,B266&lt;=MESES),IF(OR(B266=1,P266&lt;&gt;P265),PMT(P266/1200,MESES-B266+1,-T265),Q265),0)</f>
        <v/>
      </c>
      <c r="R266" s="58">
        <f>T265*P266/1200</f>
        <v/>
      </c>
      <c r="S266" s="58">
        <f>IF(AND(BANCO_OK_3,B266&lt;=MESES),IF(OR(B266=MESES,Q266-R266&gt;T265),T265,Q266-R266),0)</f>
        <v/>
      </c>
      <c r="T266" s="58">
        <f>T265-S266</f>
        <v/>
      </c>
      <c r="U266" s="58">
        <f>IF(AND(BANCO_OK_3,B266&lt;=MESES),R266+S266+VINC_MES_3,0)</f>
        <v/>
      </c>
      <c r="V266" s="52">
        <f>IF(AND(BANCO_OK_4,B266&lt;=MESES),IF(OR(OF_TIPO_4="Fija",C266&lt;=OF_ANIOS_INI_4),OF_TIN_4,MAX(0,EURIBOR+OF_DIF_4)),0)</f>
        <v/>
      </c>
      <c r="W266" s="58">
        <f>IF(AND(BANCO_OK_4,B266&lt;=MESES),IF(OR(B266=1,V266&lt;&gt;V265),PMT(V266/1200,MESES-B266+1,-Z265),W265),0)</f>
        <v/>
      </c>
      <c r="X266" s="58">
        <f>Z265*V266/1200</f>
        <v/>
      </c>
      <c r="Y266" s="58">
        <f>IF(AND(BANCO_OK_4,B266&lt;=MESES),IF(OR(B266=MESES,W266-X266&gt;Z265),Z265,W266-X266),0)</f>
        <v/>
      </c>
      <c r="Z266" s="58">
        <f>Z265-Y266</f>
        <v/>
      </c>
      <c r="AA266" s="58">
        <f>IF(AND(BANCO_OK_4,B266&lt;=MESES),X266+Y266+VINC_MES_4,0)</f>
        <v/>
      </c>
    </row>
    <row r="267">
      <c r="B267" s="56" t="n">
        <v>259</v>
      </c>
      <c r="C267" s="56">
        <f>ROUNDUP(B267/12,0)</f>
        <v/>
      </c>
      <c r="D267" s="52">
        <f>IF(AND(BANCO_OK_1,B267&lt;=MESES),IF(OR(OF_TIPO_1="Fija",C267&lt;=OF_ANIOS_INI_1),OF_TIN_1,MAX(0,EURIBOR+OF_DIF_1)),0)</f>
        <v/>
      </c>
      <c r="E267" s="58">
        <f>IF(AND(BANCO_OK_1,B267&lt;=MESES),IF(OR(B267=1,D267&lt;&gt;D266),PMT(D267/1200,MESES-B267+1,-H266),E266),0)</f>
        <v/>
      </c>
      <c r="F267" s="58">
        <f>H266*D267/1200</f>
        <v/>
      </c>
      <c r="G267" s="58">
        <f>IF(AND(BANCO_OK_1,B267&lt;=MESES),IF(OR(B267=MESES,E267-F267&gt;H266),H266,E267-F267),0)</f>
        <v/>
      </c>
      <c r="H267" s="58">
        <f>H266-G267</f>
        <v/>
      </c>
      <c r="I267" s="58">
        <f>IF(AND(BANCO_OK_1,B267&lt;=MESES),F267+G267+VINC_MES_1,0)</f>
        <v/>
      </c>
      <c r="J267" s="52">
        <f>IF(AND(BANCO_OK_2,B267&lt;=MESES),IF(OR(OF_TIPO_2="Fija",C267&lt;=OF_ANIOS_INI_2),OF_TIN_2,MAX(0,EURIBOR+OF_DIF_2)),0)</f>
        <v/>
      </c>
      <c r="K267" s="58">
        <f>IF(AND(BANCO_OK_2,B267&lt;=MESES),IF(OR(B267=1,J267&lt;&gt;J266),PMT(J267/1200,MESES-B267+1,-N266),K266),0)</f>
        <v/>
      </c>
      <c r="L267" s="58">
        <f>N266*J267/1200</f>
        <v/>
      </c>
      <c r="M267" s="58">
        <f>IF(AND(BANCO_OK_2,B267&lt;=MESES),IF(OR(B267=MESES,K267-L267&gt;N266),N266,K267-L267),0)</f>
        <v/>
      </c>
      <c r="N267" s="58">
        <f>N266-M267</f>
        <v/>
      </c>
      <c r="O267" s="58">
        <f>IF(AND(BANCO_OK_2,B267&lt;=MESES),L267+M267+VINC_MES_2,0)</f>
        <v/>
      </c>
      <c r="P267" s="52">
        <f>IF(AND(BANCO_OK_3,B267&lt;=MESES),IF(OR(OF_TIPO_3="Fija",C267&lt;=OF_ANIOS_INI_3),OF_TIN_3,MAX(0,EURIBOR+OF_DIF_3)),0)</f>
        <v/>
      </c>
      <c r="Q267" s="58">
        <f>IF(AND(BANCO_OK_3,B267&lt;=MESES),IF(OR(B267=1,P267&lt;&gt;P266),PMT(P267/1200,MESES-B267+1,-T266),Q266),0)</f>
        <v/>
      </c>
      <c r="R267" s="58">
        <f>T266*P267/1200</f>
        <v/>
      </c>
      <c r="S267" s="58">
        <f>IF(AND(BANCO_OK_3,B267&lt;=MESES),IF(OR(B267=MESES,Q267-R267&gt;T266),T266,Q267-R267),0)</f>
        <v/>
      </c>
      <c r="T267" s="58">
        <f>T266-S267</f>
        <v/>
      </c>
      <c r="U267" s="58">
        <f>IF(AND(BANCO_OK_3,B267&lt;=MESES),R267+S267+VINC_MES_3,0)</f>
        <v/>
      </c>
      <c r="V267" s="52">
        <f>IF(AND(BANCO_OK_4,B267&lt;=MESES),IF(OR(OF_TIPO_4="Fija",C267&lt;=OF_ANIOS_INI_4),OF_TIN_4,MAX(0,EURIBOR+OF_DIF_4)),0)</f>
        <v/>
      </c>
      <c r="W267" s="58">
        <f>IF(AND(BANCO_OK_4,B267&lt;=MESES),IF(OR(B267=1,V267&lt;&gt;V266),PMT(V267/1200,MESES-B267+1,-Z266),W266),0)</f>
        <v/>
      </c>
      <c r="X267" s="58">
        <f>Z266*V267/1200</f>
        <v/>
      </c>
      <c r="Y267" s="58">
        <f>IF(AND(BANCO_OK_4,B267&lt;=MESES),IF(OR(B267=MESES,W267-X267&gt;Z266),Z266,W267-X267),0)</f>
        <v/>
      </c>
      <c r="Z267" s="58">
        <f>Z266-Y267</f>
        <v/>
      </c>
      <c r="AA267" s="58">
        <f>IF(AND(BANCO_OK_4,B267&lt;=MESES),X267+Y267+VINC_MES_4,0)</f>
        <v/>
      </c>
    </row>
    <row r="268">
      <c r="B268" s="56" t="n">
        <v>260</v>
      </c>
      <c r="C268" s="56">
        <f>ROUNDUP(B268/12,0)</f>
        <v/>
      </c>
      <c r="D268" s="52">
        <f>IF(AND(BANCO_OK_1,B268&lt;=MESES),IF(OR(OF_TIPO_1="Fija",C268&lt;=OF_ANIOS_INI_1),OF_TIN_1,MAX(0,EURIBOR+OF_DIF_1)),0)</f>
        <v/>
      </c>
      <c r="E268" s="58">
        <f>IF(AND(BANCO_OK_1,B268&lt;=MESES),IF(OR(B268=1,D268&lt;&gt;D267),PMT(D268/1200,MESES-B268+1,-H267),E267),0)</f>
        <v/>
      </c>
      <c r="F268" s="58">
        <f>H267*D268/1200</f>
        <v/>
      </c>
      <c r="G268" s="58">
        <f>IF(AND(BANCO_OK_1,B268&lt;=MESES),IF(OR(B268=MESES,E268-F268&gt;H267),H267,E268-F268),0)</f>
        <v/>
      </c>
      <c r="H268" s="58">
        <f>H267-G268</f>
        <v/>
      </c>
      <c r="I268" s="58">
        <f>IF(AND(BANCO_OK_1,B268&lt;=MESES),F268+G268+VINC_MES_1,0)</f>
        <v/>
      </c>
      <c r="J268" s="52">
        <f>IF(AND(BANCO_OK_2,B268&lt;=MESES),IF(OR(OF_TIPO_2="Fija",C268&lt;=OF_ANIOS_INI_2),OF_TIN_2,MAX(0,EURIBOR+OF_DIF_2)),0)</f>
        <v/>
      </c>
      <c r="K268" s="58">
        <f>IF(AND(BANCO_OK_2,B268&lt;=MESES),IF(OR(B268=1,J268&lt;&gt;J267),PMT(J268/1200,MESES-B268+1,-N267),K267),0)</f>
        <v/>
      </c>
      <c r="L268" s="58">
        <f>N267*J268/1200</f>
        <v/>
      </c>
      <c r="M268" s="58">
        <f>IF(AND(BANCO_OK_2,B268&lt;=MESES),IF(OR(B268=MESES,K268-L268&gt;N267),N267,K268-L268),0)</f>
        <v/>
      </c>
      <c r="N268" s="58">
        <f>N267-M268</f>
        <v/>
      </c>
      <c r="O268" s="58">
        <f>IF(AND(BANCO_OK_2,B268&lt;=MESES),L268+M268+VINC_MES_2,0)</f>
        <v/>
      </c>
      <c r="P268" s="52">
        <f>IF(AND(BANCO_OK_3,B268&lt;=MESES),IF(OR(OF_TIPO_3="Fija",C268&lt;=OF_ANIOS_INI_3),OF_TIN_3,MAX(0,EURIBOR+OF_DIF_3)),0)</f>
        <v/>
      </c>
      <c r="Q268" s="58">
        <f>IF(AND(BANCO_OK_3,B268&lt;=MESES),IF(OR(B268=1,P268&lt;&gt;P267),PMT(P268/1200,MESES-B268+1,-T267),Q267),0)</f>
        <v/>
      </c>
      <c r="R268" s="58">
        <f>T267*P268/1200</f>
        <v/>
      </c>
      <c r="S268" s="58">
        <f>IF(AND(BANCO_OK_3,B268&lt;=MESES),IF(OR(B268=MESES,Q268-R268&gt;T267),T267,Q268-R268),0)</f>
        <v/>
      </c>
      <c r="T268" s="58">
        <f>T267-S268</f>
        <v/>
      </c>
      <c r="U268" s="58">
        <f>IF(AND(BANCO_OK_3,B268&lt;=MESES),R268+S268+VINC_MES_3,0)</f>
        <v/>
      </c>
      <c r="V268" s="52">
        <f>IF(AND(BANCO_OK_4,B268&lt;=MESES),IF(OR(OF_TIPO_4="Fija",C268&lt;=OF_ANIOS_INI_4),OF_TIN_4,MAX(0,EURIBOR+OF_DIF_4)),0)</f>
        <v/>
      </c>
      <c r="W268" s="58">
        <f>IF(AND(BANCO_OK_4,B268&lt;=MESES),IF(OR(B268=1,V268&lt;&gt;V267),PMT(V268/1200,MESES-B268+1,-Z267),W267),0)</f>
        <v/>
      </c>
      <c r="X268" s="58">
        <f>Z267*V268/1200</f>
        <v/>
      </c>
      <c r="Y268" s="58">
        <f>IF(AND(BANCO_OK_4,B268&lt;=MESES),IF(OR(B268=MESES,W268-X268&gt;Z267),Z267,W268-X268),0)</f>
        <v/>
      </c>
      <c r="Z268" s="58">
        <f>Z267-Y268</f>
        <v/>
      </c>
      <c r="AA268" s="58">
        <f>IF(AND(BANCO_OK_4,B268&lt;=MESES),X268+Y268+VINC_MES_4,0)</f>
        <v/>
      </c>
    </row>
    <row r="269">
      <c r="B269" s="56" t="n">
        <v>261</v>
      </c>
      <c r="C269" s="56">
        <f>ROUNDUP(B269/12,0)</f>
        <v/>
      </c>
      <c r="D269" s="52">
        <f>IF(AND(BANCO_OK_1,B269&lt;=MESES),IF(OR(OF_TIPO_1="Fija",C269&lt;=OF_ANIOS_INI_1),OF_TIN_1,MAX(0,EURIBOR+OF_DIF_1)),0)</f>
        <v/>
      </c>
      <c r="E269" s="58">
        <f>IF(AND(BANCO_OK_1,B269&lt;=MESES),IF(OR(B269=1,D269&lt;&gt;D268),PMT(D269/1200,MESES-B269+1,-H268),E268),0)</f>
        <v/>
      </c>
      <c r="F269" s="58">
        <f>H268*D269/1200</f>
        <v/>
      </c>
      <c r="G269" s="58">
        <f>IF(AND(BANCO_OK_1,B269&lt;=MESES),IF(OR(B269=MESES,E269-F269&gt;H268),H268,E269-F269),0)</f>
        <v/>
      </c>
      <c r="H269" s="58">
        <f>H268-G269</f>
        <v/>
      </c>
      <c r="I269" s="58">
        <f>IF(AND(BANCO_OK_1,B269&lt;=MESES),F269+G269+VINC_MES_1,0)</f>
        <v/>
      </c>
      <c r="J269" s="52">
        <f>IF(AND(BANCO_OK_2,B269&lt;=MESES),IF(OR(OF_TIPO_2="Fija",C269&lt;=OF_ANIOS_INI_2),OF_TIN_2,MAX(0,EURIBOR+OF_DIF_2)),0)</f>
        <v/>
      </c>
      <c r="K269" s="58">
        <f>IF(AND(BANCO_OK_2,B269&lt;=MESES),IF(OR(B269=1,J269&lt;&gt;J268),PMT(J269/1200,MESES-B269+1,-N268),K268),0)</f>
        <v/>
      </c>
      <c r="L269" s="58">
        <f>N268*J269/1200</f>
        <v/>
      </c>
      <c r="M269" s="58">
        <f>IF(AND(BANCO_OK_2,B269&lt;=MESES),IF(OR(B269=MESES,K269-L269&gt;N268),N268,K269-L269),0)</f>
        <v/>
      </c>
      <c r="N269" s="58">
        <f>N268-M269</f>
        <v/>
      </c>
      <c r="O269" s="58">
        <f>IF(AND(BANCO_OK_2,B269&lt;=MESES),L269+M269+VINC_MES_2,0)</f>
        <v/>
      </c>
      <c r="P269" s="52">
        <f>IF(AND(BANCO_OK_3,B269&lt;=MESES),IF(OR(OF_TIPO_3="Fija",C269&lt;=OF_ANIOS_INI_3),OF_TIN_3,MAX(0,EURIBOR+OF_DIF_3)),0)</f>
        <v/>
      </c>
      <c r="Q269" s="58">
        <f>IF(AND(BANCO_OK_3,B269&lt;=MESES),IF(OR(B269=1,P269&lt;&gt;P268),PMT(P269/1200,MESES-B269+1,-T268),Q268),0)</f>
        <v/>
      </c>
      <c r="R269" s="58">
        <f>T268*P269/1200</f>
        <v/>
      </c>
      <c r="S269" s="58">
        <f>IF(AND(BANCO_OK_3,B269&lt;=MESES),IF(OR(B269=MESES,Q269-R269&gt;T268),T268,Q269-R269),0)</f>
        <v/>
      </c>
      <c r="T269" s="58">
        <f>T268-S269</f>
        <v/>
      </c>
      <c r="U269" s="58">
        <f>IF(AND(BANCO_OK_3,B269&lt;=MESES),R269+S269+VINC_MES_3,0)</f>
        <v/>
      </c>
      <c r="V269" s="52">
        <f>IF(AND(BANCO_OK_4,B269&lt;=MESES),IF(OR(OF_TIPO_4="Fija",C269&lt;=OF_ANIOS_INI_4),OF_TIN_4,MAX(0,EURIBOR+OF_DIF_4)),0)</f>
        <v/>
      </c>
      <c r="W269" s="58">
        <f>IF(AND(BANCO_OK_4,B269&lt;=MESES),IF(OR(B269=1,V269&lt;&gt;V268),PMT(V269/1200,MESES-B269+1,-Z268),W268),0)</f>
        <v/>
      </c>
      <c r="X269" s="58">
        <f>Z268*V269/1200</f>
        <v/>
      </c>
      <c r="Y269" s="58">
        <f>IF(AND(BANCO_OK_4,B269&lt;=MESES),IF(OR(B269=MESES,W269-X269&gt;Z268),Z268,W269-X269),0)</f>
        <v/>
      </c>
      <c r="Z269" s="58">
        <f>Z268-Y269</f>
        <v/>
      </c>
      <c r="AA269" s="58">
        <f>IF(AND(BANCO_OK_4,B269&lt;=MESES),X269+Y269+VINC_MES_4,0)</f>
        <v/>
      </c>
    </row>
    <row r="270">
      <c r="B270" s="56" t="n">
        <v>262</v>
      </c>
      <c r="C270" s="56">
        <f>ROUNDUP(B270/12,0)</f>
        <v/>
      </c>
      <c r="D270" s="52">
        <f>IF(AND(BANCO_OK_1,B270&lt;=MESES),IF(OR(OF_TIPO_1="Fija",C270&lt;=OF_ANIOS_INI_1),OF_TIN_1,MAX(0,EURIBOR+OF_DIF_1)),0)</f>
        <v/>
      </c>
      <c r="E270" s="58">
        <f>IF(AND(BANCO_OK_1,B270&lt;=MESES),IF(OR(B270=1,D270&lt;&gt;D269),PMT(D270/1200,MESES-B270+1,-H269),E269),0)</f>
        <v/>
      </c>
      <c r="F270" s="58">
        <f>H269*D270/1200</f>
        <v/>
      </c>
      <c r="G270" s="58">
        <f>IF(AND(BANCO_OK_1,B270&lt;=MESES),IF(OR(B270=MESES,E270-F270&gt;H269),H269,E270-F270),0)</f>
        <v/>
      </c>
      <c r="H270" s="58">
        <f>H269-G270</f>
        <v/>
      </c>
      <c r="I270" s="58">
        <f>IF(AND(BANCO_OK_1,B270&lt;=MESES),F270+G270+VINC_MES_1,0)</f>
        <v/>
      </c>
      <c r="J270" s="52">
        <f>IF(AND(BANCO_OK_2,B270&lt;=MESES),IF(OR(OF_TIPO_2="Fija",C270&lt;=OF_ANIOS_INI_2),OF_TIN_2,MAX(0,EURIBOR+OF_DIF_2)),0)</f>
        <v/>
      </c>
      <c r="K270" s="58">
        <f>IF(AND(BANCO_OK_2,B270&lt;=MESES),IF(OR(B270=1,J270&lt;&gt;J269),PMT(J270/1200,MESES-B270+1,-N269),K269),0)</f>
        <v/>
      </c>
      <c r="L270" s="58">
        <f>N269*J270/1200</f>
        <v/>
      </c>
      <c r="M270" s="58">
        <f>IF(AND(BANCO_OK_2,B270&lt;=MESES),IF(OR(B270=MESES,K270-L270&gt;N269),N269,K270-L270),0)</f>
        <v/>
      </c>
      <c r="N270" s="58">
        <f>N269-M270</f>
        <v/>
      </c>
      <c r="O270" s="58">
        <f>IF(AND(BANCO_OK_2,B270&lt;=MESES),L270+M270+VINC_MES_2,0)</f>
        <v/>
      </c>
      <c r="P270" s="52">
        <f>IF(AND(BANCO_OK_3,B270&lt;=MESES),IF(OR(OF_TIPO_3="Fija",C270&lt;=OF_ANIOS_INI_3),OF_TIN_3,MAX(0,EURIBOR+OF_DIF_3)),0)</f>
        <v/>
      </c>
      <c r="Q270" s="58">
        <f>IF(AND(BANCO_OK_3,B270&lt;=MESES),IF(OR(B270=1,P270&lt;&gt;P269),PMT(P270/1200,MESES-B270+1,-T269),Q269),0)</f>
        <v/>
      </c>
      <c r="R270" s="58">
        <f>T269*P270/1200</f>
        <v/>
      </c>
      <c r="S270" s="58">
        <f>IF(AND(BANCO_OK_3,B270&lt;=MESES),IF(OR(B270=MESES,Q270-R270&gt;T269),T269,Q270-R270),0)</f>
        <v/>
      </c>
      <c r="T270" s="58">
        <f>T269-S270</f>
        <v/>
      </c>
      <c r="U270" s="58">
        <f>IF(AND(BANCO_OK_3,B270&lt;=MESES),R270+S270+VINC_MES_3,0)</f>
        <v/>
      </c>
      <c r="V270" s="52">
        <f>IF(AND(BANCO_OK_4,B270&lt;=MESES),IF(OR(OF_TIPO_4="Fija",C270&lt;=OF_ANIOS_INI_4),OF_TIN_4,MAX(0,EURIBOR+OF_DIF_4)),0)</f>
        <v/>
      </c>
      <c r="W270" s="58">
        <f>IF(AND(BANCO_OK_4,B270&lt;=MESES),IF(OR(B270=1,V270&lt;&gt;V269),PMT(V270/1200,MESES-B270+1,-Z269),W269),0)</f>
        <v/>
      </c>
      <c r="X270" s="58">
        <f>Z269*V270/1200</f>
        <v/>
      </c>
      <c r="Y270" s="58">
        <f>IF(AND(BANCO_OK_4,B270&lt;=MESES),IF(OR(B270=MESES,W270-X270&gt;Z269),Z269,W270-X270),0)</f>
        <v/>
      </c>
      <c r="Z270" s="58">
        <f>Z269-Y270</f>
        <v/>
      </c>
      <c r="AA270" s="58">
        <f>IF(AND(BANCO_OK_4,B270&lt;=MESES),X270+Y270+VINC_MES_4,0)</f>
        <v/>
      </c>
    </row>
    <row r="271">
      <c r="B271" s="56" t="n">
        <v>263</v>
      </c>
      <c r="C271" s="56">
        <f>ROUNDUP(B271/12,0)</f>
        <v/>
      </c>
      <c r="D271" s="52">
        <f>IF(AND(BANCO_OK_1,B271&lt;=MESES),IF(OR(OF_TIPO_1="Fija",C271&lt;=OF_ANIOS_INI_1),OF_TIN_1,MAX(0,EURIBOR+OF_DIF_1)),0)</f>
        <v/>
      </c>
      <c r="E271" s="58">
        <f>IF(AND(BANCO_OK_1,B271&lt;=MESES),IF(OR(B271=1,D271&lt;&gt;D270),PMT(D271/1200,MESES-B271+1,-H270),E270),0)</f>
        <v/>
      </c>
      <c r="F271" s="58">
        <f>H270*D271/1200</f>
        <v/>
      </c>
      <c r="G271" s="58">
        <f>IF(AND(BANCO_OK_1,B271&lt;=MESES),IF(OR(B271=MESES,E271-F271&gt;H270),H270,E271-F271),0)</f>
        <v/>
      </c>
      <c r="H271" s="58">
        <f>H270-G271</f>
        <v/>
      </c>
      <c r="I271" s="58">
        <f>IF(AND(BANCO_OK_1,B271&lt;=MESES),F271+G271+VINC_MES_1,0)</f>
        <v/>
      </c>
      <c r="J271" s="52">
        <f>IF(AND(BANCO_OK_2,B271&lt;=MESES),IF(OR(OF_TIPO_2="Fija",C271&lt;=OF_ANIOS_INI_2),OF_TIN_2,MAX(0,EURIBOR+OF_DIF_2)),0)</f>
        <v/>
      </c>
      <c r="K271" s="58">
        <f>IF(AND(BANCO_OK_2,B271&lt;=MESES),IF(OR(B271=1,J271&lt;&gt;J270),PMT(J271/1200,MESES-B271+1,-N270),K270),0)</f>
        <v/>
      </c>
      <c r="L271" s="58">
        <f>N270*J271/1200</f>
        <v/>
      </c>
      <c r="M271" s="58">
        <f>IF(AND(BANCO_OK_2,B271&lt;=MESES),IF(OR(B271=MESES,K271-L271&gt;N270),N270,K271-L271),0)</f>
        <v/>
      </c>
      <c r="N271" s="58">
        <f>N270-M271</f>
        <v/>
      </c>
      <c r="O271" s="58">
        <f>IF(AND(BANCO_OK_2,B271&lt;=MESES),L271+M271+VINC_MES_2,0)</f>
        <v/>
      </c>
      <c r="P271" s="52">
        <f>IF(AND(BANCO_OK_3,B271&lt;=MESES),IF(OR(OF_TIPO_3="Fija",C271&lt;=OF_ANIOS_INI_3),OF_TIN_3,MAX(0,EURIBOR+OF_DIF_3)),0)</f>
        <v/>
      </c>
      <c r="Q271" s="58">
        <f>IF(AND(BANCO_OK_3,B271&lt;=MESES),IF(OR(B271=1,P271&lt;&gt;P270),PMT(P271/1200,MESES-B271+1,-T270),Q270),0)</f>
        <v/>
      </c>
      <c r="R271" s="58">
        <f>T270*P271/1200</f>
        <v/>
      </c>
      <c r="S271" s="58">
        <f>IF(AND(BANCO_OK_3,B271&lt;=MESES),IF(OR(B271=MESES,Q271-R271&gt;T270),T270,Q271-R271),0)</f>
        <v/>
      </c>
      <c r="T271" s="58">
        <f>T270-S271</f>
        <v/>
      </c>
      <c r="U271" s="58">
        <f>IF(AND(BANCO_OK_3,B271&lt;=MESES),R271+S271+VINC_MES_3,0)</f>
        <v/>
      </c>
      <c r="V271" s="52">
        <f>IF(AND(BANCO_OK_4,B271&lt;=MESES),IF(OR(OF_TIPO_4="Fija",C271&lt;=OF_ANIOS_INI_4),OF_TIN_4,MAX(0,EURIBOR+OF_DIF_4)),0)</f>
        <v/>
      </c>
      <c r="W271" s="58">
        <f>IF(AND(BANCO_OK_4,B271&lt;=MESES),IF(OR(B271=1,V271&lt;&gt;V270),PMT(V271/1200,MESES-B271+1,-Z270),W270),0)</f>
        <v/>
      </c>
      <c r="X271" s="58">
        <f>Z270*V271/1200</f>
        <v/>
      </c>
      <c r="Y271" s="58">
        <f>IF(AND(BANCO_OK_4,B271&lt;=MESES),IF(OR(B271=MESES,W271-X271&gt;Z270),Z270,W271-X271),0)</f>
        <v/>
      </c>
      <c r="Z271" s="58">
        <f>Z270-Y271</f>
        <v/>
      </c>
      <c r="AA271" s="58">
        <f>IF(AND(BANCO_OK_4,B271&lt;=MESES),X271+Y271+VINC_MES_4,0)</f>
        <v/>
      </c>
    </row>
    <row r="272">
      <c r="B272" s="56" t="n">
        <v>264</v>
      </c>
      <c r="C272" s="56">
        <f>ROUNDUP(B272/12,0)</f>
        <v/>
      </c>
      <c r="D272" s="52">
        <f>IF(AND(BANCO_OK_1,B272&lt;=MESES),IF(OR(OF_TIPO_1="Fija",C272&lt;=OF_ANIOS_INI_1),OF_TIN_1,MAX(0,EURIBOR+OF_DIF_1)),0)</f>
        <v/>
      </c>
      <c r="E272" s="58">
        <f>IF(AND(BANCO_OK_1,B272&lt;=MESES),IF(OR(B272=1,D272&lt;&gt;D271),PMT(D272/1200,MESES-B272+1,-H271),E271),0)</f>
        <v/>
      </c>
      <c r="F272" s="58">
        <f>H271*D272/1200</f>
        <v/>
      </c>
      <c r="G272" s="58">
        <f>IF(AND(BANCO_OK_1,B272&lt;=MESES),IF(OR(B272=MESES,E272-F272&gt;H271),H271,E272-F272),0)</f>
        <v/>
      </c>
      <c r="H272" s="58">
        <f>H271-G272</f>
        <v/>
      </c>
      <c r="I272" s="58">
        <f>IF(AND(BANCO_OK_1,B272&lt;=MESES),F272+G272+VINC_MES_1,0)</f>
        <v/>
      </c>
      <c r="J272" s="52">
        <f>IF(AND(BANCO_OK_2,B272&lt;=MESES),IF(OR(OF_TIPO_2="Fija",C272&lt;=OF_ANIOS_INI_2),OF_TIN_2,MAX(0,EURIBOR+OF_DIF_2)),0)</f>
        <v/>
      </c>
      <c r="K272" s="58">
        <f>IF(AND(BANCO_OK_2,B272&lt;=MESES),IF(OR(B272=1,J272&lt;&gt;J271),PMT(J272/1200,MESES-B272+1,-N271),K271),0)</f>
        <v/>
      </c>
      <c r="L272" s="58">
        <f>N271*J272/1200</f>
        <v/>
      </c>
      <c r="M272" s="58">
        <f>IF(AND(BANCO_OK_2,B272&lt;=MESES),IF(OR(B272=MESES,K272-L272&gt;N271),N271,K272-L272),0)</f>
        <v/>
      </c>
      <c r="N272" s="58">
        <f>N271-M272</f>
        <v/>
      </c>
      <c r="O272" s="58">
        <f>IF(AND(BANCO_OK_2,B272&lt;=MESES),L272+M272+VINC_MES_2,0)</f>
        <v/>
      </c>
      <c r="P272" s="52">
        <f>IF(AND(BANCO_OK_3,B272&lt;=MESES),IF(OR(OF_TIPO_3="Fija",C272&lt;=OF_ANIOS_INI_3),OF_TIN_3,MAX(0,EURIBOR+OF_DIF_3)),0)</f>
        <v/>
      </c>
      <c r="Q272" s="58">
        <f>IF(AND(BANCO_OK_3,B272&lt;=MESES),IF(OR(B272=1,P272&lt;&gt;P271),PMT(P272/1200,MESES-B272+1,-T271),Q271),0)</f>
        <v/>
      </c>
      <c r="R272" s="58">
        <f>T271*P272/1200</f>
        <v/>
      </c>
      <c r="S272" s="58">
        <f>IF(AND(BANCO_OK_3,B272&lt;=MESES),IF(OR(B272=MESES,Q272-R272&gt;T271),T271,Q272-R272),0)</f>
        <v/>
      </c>
      <c r="T272" s="58">
        <f>T271-S272</f>
        <v/>
      </c>
      <c r="U272" s="58">
        <f>IF(AND(BANCO_OK_3,B272&lt;=MESES),R272+S272+VINC_MES_3,0)</f>
        <v/>
      </c>
      <c r="V272" s="52">
        <f>IF(AND(BANCO_OK_4,B272&lt;=MESES),IF(OR(OF_TIPO_4="Fija",C272&lt;=OF_ANIOS_INI_4),OF_TIN_4,MAX(0,EURIBOR+OF_DIF_4)),0)</f>
        <v/>
      </c>
      <c r="W272" s="58">
        <f>IF(AND(BANCO_OK_4,B272&lt;=MESES),IF(OR(B272=1,V272&lt;&gt;V271),PMT(V272/1200,MESES-B272+1,-Z271),W271),0)</f>
        <v/>
      </c>
      <c r="X272" s="58">
        <f>Z271*V272/1200</f>
        <v/>
      </c>
      <c r="Y272" s="58">
        <f>IF(AND(BANCO_OK_4,B272&lt;=MESES),IF(OR(B272=MESES,W272-X272&gt;Z271),Z271,W272-X272),0)</f>
        <v/>
      </c>
      <c r="Z272" s="58">
        <f>Z271-Y272</f>
        <v/>
      </c>
      <c r="AA272" s="58">
        <f>IF(AND(BANCO_OK_4,B272&lt;=MESES),X272+Y272+VINC_MES_4,0)</f>
        <v/>
      </c>
    </row>
    <row r="273">
      <c r="B273" s="56" t="n">
        <v>265</v>
      </c>
      <c r="C273" s="56">
        <f>ROUNDUP(B273/12,0)</f>
        <v/>
      </c>
      <c r="D273" s="52">
        <f>IF(AND(BANCO_OK_1,B273&lt;=MESES),IF(OR(OF_TIPO_1="Fija",C273&lt;=OF_ANIOS_INI_1),OF_TIN_1,MAX(0,EURIBOR+OF_DIF_1)),0)</f>
        <v/>
      </c>
      <c r="E273" s="58">
        <f>IF(AND(BANCO_OK_1,B273&lt;=MESES),IF(OR(B273=1,D273&lt;&gt;D272),PMT(D273/1200,MESES-B273+1,-H272),E272),0)</f>
        <v/>
      </c>
      <c r="F273" s="58">
        <f>H272*D273/1200</f>
        <v/>
      </c>
      <c r="G273" s="58">
        <f>IF(AND(BANCO_OK_1,B273&lt;=MESES),IF(OR(B273=MESES,E273-F273&gt;H272),H272,E273-F273),0)</f>
        <v/>
      </c>
      <c r="H273" s="58">
        <f>H272-G273</f>
        <v/>
      </c>
      <c r="I273" s="58">
        <f>IF(AND(BANCO_OK_1,B273&lt;=MESES),F273+G273+VINC_MES_1,0)</f>
        <v/>
      </c>
      <c r="J273" s="52">
        <f>IF(AND(BANCO_OK_2,B273&lt;=MESES),IF(OR(OF_TIPO_2="Fija",C273&lt;=OF_ANIOS_INI_2),OF_TIN_2,MAX(0,EURIBOR+OF_DIF_2)),0)</f>
        <v/>
      </c>
      <c r="K273" s="58">
        <f>IF(AND(BANCO_OK_2,B273&lt;=MESES),IF(OR(B273=1,J273&lt;&gt;J272),PMT(J273/1200,MESES-B273+1,-N272),K272),0)</f>
        <v/>
      </c>
      <c r="L273" s="58">
        <f>N272*J273/1200</f>
        <v/>
      </c>
      <c r="M273" s="58">
        <f>IF(AND(BANCO_OK_2,B273&lt;=MESES),IF(OR(B273=MESES,K273-L273&gt;N272),N272,K273-L273),0)</f>
        <v/>
      </c>
      <c r="N273" s="58">
        <f>N272-M273</f>
        <v/>
      </c>
      <c r="O273" s="58">
        <f>IF(AND(BANCO_OK_2,B273&lt;=MESES),L273+M273+VINC_MES_2,0)</f>
        <v/>
      </c>
      <c r="P273" s="52">
        <f>IF(AND(BANCO_OK_3,B273&lt;=MESES),IF(OR(OF_TIPO_3="Fija",C273&lt;=OF_ANIOS_INI_3),OF_TIN_3,MAX(0,EURIBOR+OF_DIF_3)),0)</f>
        <v/>
      </c>
      <c r="Q273" s="58">
        <f>IF(AND(BANCO_OK_3,B273&lt;=MESES),IF(OR(B273=1,P273&lt;&gt;P272),PMT(P273/1200,MESES-B273+1,-T272),Q272),0)</f>
        <v/>
      </c>
      <c r="R273" s="58">
        <f>T272*P273/1200</f>
        <v/>
      </c>
      <c r="S273" s="58">
        <f>IF(AND(BANCO_OK_3,B273&lt;=MESES),IF(OR(B273=MESES,Q273-R273&gt;T272),T272,Q273-R273),0)</f>
        <v/>
      </c>
      <c r="T273" s="58">
        <f>T272-S273</f>
        <v/>
      </c>
      <c r="U273" s="58">
        <f>IF(AND(BANCO_OK_3,B273&lt;=MESES),R273+S273+VINC_MES_3,0)</f>
        <v/>
      </c>
      <c r="V273" s="52">
        <f>IF(AND(BANCO_OK_4,B273&lt;=MESES),IF(OR(OF_TIPO_4="Fija",C273&lt;=OF_ANIOS_INI_4),OF_TIN_4,MAX(0,EURIBOR+OF_DIF_4)),0)</f>
        <v/>
      </c>
      <c r="W273" s="58">
        <f>IF(AND(BANCO_OK_4,B273&lt;=MESES),IF(OR(B273=1,V273&lt;&gt;V272),PMT(V273/1200,MESES-B273+1,-Z272),W272),0)</f>
        <v/>
      </c>
      <c r="X273" s="58">
        <f>Z272*V273/1200</f>
        <v/>
      </c>
      <c r="Y273" s="58">
        <f>IF(AND(BANCO_OK_4,B273&lt;=MESES),IF(OR(B273=MESES,W273-X273&gt;Z272),Z272,W273-X273),0)</f>
        <v/>
      </c>
      <c r="Z273" s="58">
        <f>Z272-Y273</f>
        <v/>
      </c>
      <c r="AA273" s="58">
        <f>IF(AND(BANCO_OK_4,B273&lt;=MESES),X273+Y273+VINC_MES_4,0)</f>
        <v/>
      </c>
    </row>
    <row r="274">
      <c r="B274" s="56" t="n">
        <v>266</v>
      </c>
      <c r="C274" s="56">
        <f>ROUNDUP(B274/12,0)</f>
        <v/>
      </c>
      <c r="D274" s="52">
        <f>IF(AND(BANCO_OK_1,B274&lt;=MESES),IF(OR(OF_TIPO_1="Fija",C274&lt;=OF_ANIOS_INI_1),OF_TIN_1,MAX(0,EURIBOR+OF_DIF_1)),0)</f>
        <v/>
      </c>
      <c r="E274" s="58">
        <f>IF(AND(BANCO_OK_1,B274&lt;=MESES),IF(OR(B274=1,D274&lt;&gt;D273),PMT(D274/1200,MESES-B274+1,-H273),E273),0)</f>
        <v/>
      </c>
      <c r="F274" s="58">
        <f>H273*D274/1200</f>
        <v/>
      </c>
      <c r="G274" s="58">
        <f>IF(AND(BANCO_OK_1,B274&lt;=MESES),IF(OR(B274=MESES,E274-F274&gt;H273),H273,E274-F274),0)</f>
        <v/>
      </c>
      <c r="H274" s="58">
        <f>H273-G274</f>
        <v/>
      </c>
      <c r="I274" s="58">
        <f>IF(AND(BANCO_OK_1,B274&lt;=MESES),F274+G274+VINC_MES_1,0)</f>
        <v/>
      </c>
      <c r="J274" s="52">
        <f>IF(AND(BANCO_OK_2,B274&lt;=MESES),IF(OR(OF_TIPO_2="Fija",C274&lt;=OF_ANIOS_INI_2),OF_TIN_2,MAX(0,EURIBOR+OF_DIF_2)),0)</f>
        <v/>
      </c>
      <c r="K274" s="58">
        <f>IF(AND(BANCO_OK_2,B274&lt;=MESES),IF(OR(B274=1,J274&lt;&gt;J273),PMT(J274/1200,MESES-B274+1,-N273),K273),0)</f>
        <v/>
      </c>
      <c r="L274" s="58">
        <f>N273*J274/1200</f>
        <v/>
      </c>
      <c r="M274" s="58">
        <f>IF(AND(BANCO_OK_2,B274&lt;=MESES),IF(OR(B274=MESES,K274-L274&gt;N273),N273,K274-L274),0)</f>
        <v/>
      </c>
      <c r="N274" s="58">
        <f>N273-M274</f>
        <v/>
      </c>
      <c r="O274" s="58">
        <f>IF(AND(BANCO_OK_2,B274&lt;=MESES),L274+M274+VINC_MES_2,0)</f>
        <v/>
      </c>
      <c r="P274" s="52">
        <f>IF(AND(BANCO_OK_3,B274&lt;=MESES),IF(OR(OF_TIPO_3="Fija",C274&lt;=OF_ANIOS_INI_3),OF_TIN_3,MAX(0,EURIBOR+OF_DIF_3)),0)</f>
        <v/>
      </c>
      <c r="Q274" s="58">
        <f>IF(AND(BANCO_OK_3,B274&lt;=MESES),IF(OR(B274=1,P274&lt;&gt;P273),PMT(P274/1200,MESES-B274+1,-T273),Q273),0)</f>
        <v/>
      </c>
      <c r="R274" s="58">
        <f>T273*P274/1200</f>
        <v/>
      </c>
      <c r="S274" s="58">
        <f>IF(AND(BANCO_OK_3,B274&lt;=MESES),IF(OR(B274=MESES,Q274-R274&gt;T273),T273,Q274-R274),0)</f>
        <v/>
      </c>
      <c r="T274" s="58">
        <f>T273-S274</f>
        <v/>
      </c>
      <c r="U274" s="58">
        <f>IF(AND(BANCO_OK_3,B274&lt;=MESES),R274+S274+VINC_MES_3,0)</f>
        <v/>
      </c>
      <c r="V274" s="52">
        <f>IF(AND(BANCO_OK_4,B274&lt;=MESES),IF(OR(OF_TIPO_4="Fija",C274&lt;=OF_ANIOS_INI_4),OF_TIN_4,MAX(0,EURIBOR+OF_DIF_4)),0)</f>
        <v/>
      </c>
      <c r="W274" s="58">
        <f>IF(AND(BANCO_OK_4,B274&lt;=MESES),IF(OR(B274=1,V274&lt;&gt;V273),PMT(V274/1200,MESES-B274+1,-Z273),W273),0)</f>
        <v/>
      </c>
      <c r="X274" s="58">
        <f>Z273*V274/1200</f>
        <v/>
      </c>
      <c r="Y274" s="58">
        <f>IF(AND(BANCO_OK_4,B274&lt;=MESES),IF(OR(B274=MESES,W274-X274&gt;Z273),Z273,W274-X274),0)</f>
        <v/>
      </c>
      <c r="Z274" s="58">
        <f>Z273-Y274</f>
        <v/>
      </c>
      <c r="AA274" s="58">
        <f>IF(AND(BANCO_OK_4,B274&lt;=MESES),X274+Y274+VINC_MES_4,0)</f>
        <v/>
      </c>
    </row>
    <row r="275">
      <c r="B275" s="56" t="n">
        <v>267</v>
      </c>
      <c r="C275" s="56">
        <f>ROUNDUP(B275/12,0)</f>
        <v/>
      </c>
      <c r="D275" s="52">
        <f>IF(AND(BANCO_OK_1,B275&lt;=MESES),IF(OR(OF_TIPO_1="Fija",C275&lt;=OF_ANIOS_INI_1),OF_TIN_1,MAX(0,EURIBOR+OF_DIF_1)),0)</f>
        <v/>
      </c>
      <c r="E275" s="58">
        <f>IF(AND(BANCO_OK_1,B275&lt;=MESES),IF(OR(B275=1,D275&lt;&gt;D274),PMT(D275/1200,MESES-B275+1,-H274),E274),0)</f>
        <v/>
      </c>
      <c r="F275" s="58">
        <f>H274*D275/1200</f>
        <v/>
      </c>
      <c r="G275" s="58">
        <f>IF(AND(BANCO_OK_1,B275&lt;=MESES),IF(OR(B275=MESES,E275-F275&gt;H274),H274,E275-F275),0)</f>
        <v/>
      </c>
      <c r="H275" s="58">
        <f>H274-G275</f>
        <v/>
      </c>
      <c r="I275" s="58">
        <f>IF(AND(BANCO_OK_1,B275&lt;=MESES),F275+G275+VINC_MES_1,0)</f>
        <v/>
      </c>
      <c r="J275" s="52">
        <f>IF(AND(BANCO_OK_2,B275&lt;=MESES),IF(OR(OF_TIPO_2="Fija",C275&lt;=OF_ANIOS_INI_2),OF_TIN_2,MAX(0,EURIBOR+OF_DIF_2)),0)</f>
        <v/>
      </c>
      <c r="K275" s="58">
        <f>IF(AND(BANCO_OK_2,B275&lt;=MESES),IF(OR(B275=1,J275&lt;&gt;J274),PMT(J275/1200,MESES-B275+1,-N274),K274),0)</f>
        <v/>
      </c>
      <c r="L275" s="58">
        <f>N274*J275/1200</f>
        <v/>
      </c>
      <c r="M275" s="58">
        <f>IF(AND(BANCO_OK_2,B275&lt;=MESES),IF(OR(B275=MESES,K275-L275&gt;N274),N274,K275-L275),0)</f>
        <v/>
      </c>
      <c r="N275" s="58">
        <f>N274-M275</f>
        <v/>
      </c>
      <c r="O275" s="58">
        <f>IF(AND(BANCO_OK_2,B275&lt;=MESES),L275+M275+VINC_MES_2,0)</f>
        <v/>
      </c>
      <c r="P275" s="52">
        <f>IF(AND(BANCO_OK_3,B275&lt;=MESES),IF(OR(OF_TIPO_3="Fija",C275&lt;=OF_ANIOS_INI_3),OF_TIN_3,MAX(0,EURIBOR+OF_DIF_3)),0)</f>
        <v/>
      </c>
      <c r="Q275" s="58">
        <f>IF(AND(BANCO_OK_3,B275&lt;=MESES),IF(OR(B275=1,P275&lt;&gt;P274),PMT(P275/1200,MESES-B275+1,-T274),Q274),0)</f>
        <v/>
      </c>
      <c r="R275" s="58">
        <f>T274*P275/1200</f>
        <v/>
      </c>
      <c r="S275" s="58">
        <f>IF(AND(BANCO_OK_3,B275&lt;=MESES),IF(OR(B275=MESES,Q275-R275&gt;T274),T274,Q275-R275),0)</f>
        <v/>
      </c>
      <c r="T275" s="58">
        <f>T274-S275</f>
        <v/>
      </c>
      <c r="U275" s="58">
        <f>IF(AND(BANCO_OK_3,B275&lt;=MESES),R275+S275+VINC_MES_3,0)</f>
        <v/>
      </c>
      <c r="V275" s="52">
        <f>IF(AND(BANCO_OK_4,B275&lt;=MESES),IF(OR(OF_TIPO_4="Fija",C275&lt;=OF_ANIOS_INI_4),OF_TIN_4,MAX(0,EURIBOR+OF_DIF_4)),0)</f>
        <v/>
      </c>
      <c r="W275" s="58">
        <f>IF(AND(BANCO_OK_4,B275&lt;=MESES),IF(OR(B275=1,V275&lt;&gt;V274),PMT(V275/1200,MESES-B275+1,-Z274),W274),0)</f>
        <v/>
      </c>
      <c r="X275" s="58">
        <f>Z274*V275/1200</f>
        <v/>
      </c>
      <c r="Y275" s="58">
        <f>IF(AND(BANCO_OK_4,B275&lt;=MESES),IF(OR(B275=MESES,W275-X275&gt;Z274),Z274,W275-X275),0)</f>
        <v/>
      </c>
      <c r="Z275" s="58">
        <f>Z274-Y275</f>
        <v/>
      </c>
      <c r="AA275" s="58">
        <f>IF(AND(BANCO_OK_4,B275&lt;=MESES),X275+Y275+VINC_MES_4,0)</f>
        <v/>
      </c>
    </row>
    <row r="276">
      <c r="B276" s="56" t="n">
        <v>268</v>
      </c>
      <c r="C276" s="56">
        <f>ROUNDUP(B276/12,0)</f>
        <v/>
      </c>
      <c r="D276" s="52">
        <f>IF(AND(BANCO_OK_1,B276&lt;=MESES),IF(OR(OF_TIPO_1="Fija",C276&lt;=OF_ANIOS_INI_1),OF_TIN_1,MAX(0,EURIBOR+OF_DIF_1)),0)</f>
        <v/>
      </c>
      <c r="E276" s="58">
        <f>IF(AND(BANCO_OK_1,B276&lt;=MESES),IF(OR(B276=1,D276&lt;&gt;D275),PMT(D276/1200,MESES-B276+1,-H275),E275),0)</f>
        <v/>
      </c>
      <c r="F276" s="58">
        <f>H275*D276/1200</f>
        <v/>
      </c>
      <c r="G276" s="58">
        <f>IF(AND(BANCO_OK_1,B276&lt;=MESES),IF(OR(B276=MESES,E276-F276&gt;H275),H275,E276-F276),0)</f>
        <v/>
      </c>
      <c r="H276" s="58">
        <f>H275-G276</f>
        <v/>
      </c>
      <c r="I276" s="58">
        <f>IF(AND(BANCO_OK_1,B276&lt;=MESES),F276+G276+VINC_MES_1,0)</f>
        <v/>
      </c>
      <c r="J276" s="52">
        <f>IF(AND(BANCO_OK_2,B276&lt;=MESES),IF(OR(OF_TIPO_2="Fija",C276&lt;=OF_ANIOS_INI_2),OF_TIN_2,MAX(0,EURIBOR+OF_DIF_2)),0)</f>
        <v/>
      </c>
      <c r="K276" s="58">
        <f>IF(AND(BANCO_OK_2,B276&lt;=MESES),IF(OR(B276=1,J276&lt;&gt;J275),PMT(J276/1200,MESES-B276+1,-N275),K275),0)</f>
        <v/>
      </c>
      <c r="L276" s="58">
        <f>N275*J276/1200</f>
        <v/>
      </c>
      <c r="M276" s="58">
        <f>IF(AND(BANCO_OK_2,B276&lt;=MESES),IF(OR(B276=MESES,K276-L276&gt;N275),N275,K276-L276),0)</f>
        <v/>
      </c>
      <c r="N276" s="58">
        <f>N275-M276</f>
        <v/>
      </c>
      <c r="O276" s="58">
        <f>IF(AND(BANCO_OK_2,B276&lt;=MESES),L276+M276+VINC_MES_2,0)</f>
        <v/>
      </c>
      <c r="P276" s="52">
        <f>IF(AND(BANCO_OK_3,B276&lt;=MESES),IF(OR(OF_TIPO_3="Fija",C276&lt;=OF_ANIOS_INI_3),OF_TIN_3,MAX(0,EURIBOR+OF_DIF_3)),0)</f>
        <v/>
      </c>
      <c r="Q276" s="58">
        <f>IF(AND(BANCO_OK_3,B276&lt;=MESES),IF(OR(B276=1,P276&lt;&gt;P275),PMT(P276/1200,MESES-B276+1,-T275),Q275),0)</f>
        <v/>
      </c>
      <c r="R276" s="58">
        <f>T275*P276/1200</f>
        <v/>
      </c>
      <c r="S276" s="58">
        <f>IF(AND(BANCO_OK_3,B276&lt;=MESES),IF(OR(B276=MESES,Q276-R276&gt;T275),T275,Q276-R276),0)</f>
        <v/>
      </c>
      <c r="T276" s="58">
        <f>T275-S276</f>
        <v/>
      </c>
      <c r="U276" s="58">
        <f>IF(AND(BANCO_OK_3,B276&lt;=MESES),R276+S276+VINC_MES_3,0)</f>
        <v/>
      </c>
      <c r="V276" s="52">
        <f>IF(AND(BANCO_OK_4,B276&lt;=MESES),IF(OR(OF_TIPO_4="Fija",C276&lt;=OF_ANIOS_INI_4),OF_TIN_4,MAX(0,EURIBOR+OF_DIF_4)),0)</f>
        <v/>
      </c>
      <c r="W276" s="58">
        <f>IF(AND(BANCO_OK_4,B276&lt;=MESES),IF(OR(B276=1,V276&lt;&gt;V275),PMT(V276/1200,MESES-B276+1,-Z275),W275),0)</f>
        <v/>
      </c>
      <c r="X276" s="58">
        <f>Z275*V276/1200</f>
        <v/>
      </c>
      <c r="Y276" s="58">
        <f>IF(AND(BANCO_OK_4,B276&lt;=MESES),IF(OR(B276=MESES,W276-X276&gt;Z275),Z275,W276-X276),0)</f>
        <v/>
      </c>
      <c r="Z276" s="58">
        <f>Z275-Y276</f>
        <v/>
      </c>
      <c r="AA276" s="58">
        <f>IF(AND(BANCO_OK_4,B276&lt;=MESES),X276+Y276+VINC_MES_4,0)</f>
        <v/>
      </c>
    </row>
    <row r="277">
      <c r="B277" s="56" t="n">
        <v>269</v>
      </c>
      <c r="C277" s="56">
        <f>ROUNDUP(B277/12,0)</f>
        <v/>
      </c>
      <c r="D277" s="52">
        <f>IF(AND(BANCO_OK_1,B277&lt;=MESES),IF(OR(OF_TIPO_1="Fija",C277&lt;=OF_ANIOS_INI_1),OF_TIN_1,MAX(0,EURIBOR+OF_DIF_1)),0)</f>
        <v/>
      </c>
      <c r="E277" s="58">
        <f>IF(AND(BANCO_OK_1,B277&lt;=MESES),IF(OR(B277=1,D277&lt;&gt;D276),PMT(D277/1200,MESES-B277+1,-H276),E276),0)</f>
        <v/>
      </c>
      <c r="F277" s="58">
        <f>H276*D277/1200</f>
        <v/>
      </c>
      <c r="G277" s="58">
        <f>IF(AND(BANCO_OK_1,B277&lt;=MESES),IF(OR(B277=MESES,E277-F277&gt;H276),H276,E277-F277),0)</f>
        <v/>
      </c>
      <c r="H277" s="58">
        <f>H276-G277</f>
        <v/>
      </c>
      <c r="I277" s="58">
        <f>IF(AND(BANCO_OK_1,B277&lt;=MESES),F277+G277+VINC_MES_1,0)</f>
        <v/>
      </c>
      <c r="J277" s="52">
        <f>IF(AND(BANCO_OK_2,B277&lt;=MESES),IF(OR(OF_TIPO_2="Fija",C277&lt;=OF_ANIOS_INI_2),OF_TIN_2,MAX(0,EURIBOR+OF_DIF_2)),0)</f>
        <v/>
      </c>
      <c r="K277" s="58">
        <f>IF(AND(BANCO_OK_2,B277&lt;=MESES),IF(OR(B277=1,J277&lt;&gt;J276),PMT(J277/1200,MESES-B277+1,-N276),K276),0)</f>
        <v/>
      </c>
      <c r="L277" s="58">
        <f>N276*J277/1200</f>
        <v/>
      </c>
      <c r="M277" s="58">
        <f>IF(AND(BANCO_OK_2,B277&lt;=MESES),IF(OR(B277=MESES,K277-L277&gt;N276),N276,K277-L277),0)</f>
        <v/>
      </c>
      <c r="N277" s="58">
        <f>N276-M277</f>
        <v/>
      </c>
      <c r="O277" s="58">
        <f>IF(AND(BANCO_OK_2,B277&lt;=MESES),L277+M277+VINC_MES_2,0)</f>
        <v/>
      </c>
      <c r="P277" s="52">
        <f>IF(AND(BANCO_OK_3,B277&lt;=MESES),IF(OR(OF_TIPO_3="Fija",C277&lt;=OF_ANIOS_INI_3),OF_TIN_3,MAX(0,EURIBOR+OF_DIF_3)),0)</f>
        <v/>
      </c>
      <c r="Q277" s="58">
        <f>IF(AND(BANCO_OK_3,B277&lt;=MESES),IF(OR(B277=1,P277&lt;&gt;P276),PMT(P277/1200,MESES-B277+1,-T276),Q276),0)</f>
        <v/>
      </c>
      <c r="R277" s="58">
        <f>T276*P277/1200</f>
        <v/>
      </c>
      <c r="S277" s="58">
        <f>IF(AND(BANCO_OK_3,B277&lt;=MESES),IF(OR(B277=MESES,Q277-R277&gt;T276),T276,Q277-R277),0)</f>
        <v/>
      </c>
      <c r="T277" s="58">
        <f>T276-S277</f>
        <v/>
      </c>
      <c r="U277" s="58">
        <f>IF(AND(BANCO_OK_3,B277&lt;=MESES),R277+S277+VINC_MES_3,0)</f>
        <v/>
      </c>
      <c r="V277" s="52">
        <f>IF(AND(BANCO_OK_4,B277&lt;=MESES),IF(OR(OF_TIPO_4="Fija",C277&lt;=OF_ANIOS_INI_4),OF_TIN_4,MAX(0,EURIBOR+OF_DIF_4)),0)</f>
        <v/>
      </c>
      <c r="W277" s="58">
        <f>IF(AND(BANCO_OK_4,B277&lt;=MESES),IF(OR(B277=1,V277&lt;&gt;V276),PMT(V277/1200,MESES-B277+1,-Z276),W276),0)</f>
        <v/>
      </c>
      <c r="X277" s="58">
        <f>Z276*V277/1200</f>
        <v/>
      </c>
      <c r="Y277" s="58">
        <f>IF(AND(BANCO_OK_4,B277&lt;=MESES),IF(OR(B277=MESES,W277-X277&gt;Z276),Z276,W277-X277),0)</f>
        <v/>
      </c>
      <c r="Z277" s="58">
        <f>Z276-Y277</f>
        <v/>
      </c>
      <c r="AA277" s="58">
        <f>IF(AND(BANCO_OK_4,B277&lt;=MESES),X277+Y277+VINC_MES_4,0)</f>
        <v/>
      </c>
    </row>
    <row r="278">
      <c r="B278" s="56" t="n">
        <v>270</v>
      </c>
      <c r="C278" s="56">
        <f>ROUNDUP(B278/12,0)</f>
        <v/>
      </c>
      <c r="D278" s="52">
        <f>IF(AND(BANCO_OK_1,B278&lt;=MESES),IF(OR(OF_TIPO_1="Fija",C278&lt;=OF_ANIOS_INI_1),OF_TIN_1,MAX(0,EURIBOR+OF_DIF_1)),0)</f>
        <v/>
      </c>
      <c r="E278" s="58">
        <f>IF(AND(BANCO_OK_1,B278&lt;=MESES),IF(OR(B278=1,D278&lt;&gt;D277),PMT(D278/1200,MESES-B278+1,-H277),E277),0)</f>
        <v/>
      </c>
      <c r="F278" s="58">
        <f>H277*D278/1200</f>
        <v/>
      </c>
      <c r="G278" s="58">
        <f>IF(AND(BANCO_OK_1,B278&lt;=MESES),IF(OR(B278=MESES,E278-F278&gt;H277),H277,E278-F278),0)</f>
        <v/>
      </c>
      <c r="H278" s="58">
        <f>H277-G278</f>
        <v/>
      </c>
      <c r="I278" s="58">
        <f>IF(AND(BANCO_OK_1,B278&lt;=MESES),F278+G278+VINC_MES_1,0)</f>
        <v/>
      </c>
      <c r="J278" s="52">
        <f>IF(AND(BANCO_OK_2,B278&lt;=MESES),IF(OR(OF_TIPO_2="Fija",C278&lt;=OF_ANIOS_INI_2),OF_TIN_2,MAX(0,EURIBOR+OF_DIF_2)),0)</f>
        <v/>
      </c>
      <c r="K278" s="58">
        <f>IF(AND(BANCO_OK_2,B278&lt;=MESES),IF(OR(B278=1,J278&lt;&gt;J277),PMT(J278/1200,MESES-B278+1,-N277),K277),0)</f>
        <v/>
      </c>
      <c r="L278" s="58">
        <f>N277*J278/1200</f>
        <v/>
      </c>
      <c r="M278" s="58">
        <f>IF(AND(BANCO_OK_2,B278&lt;=MESES),IF(OR(B278=MESES,K278-L278&gt;N277),N277,K278-L278),0)</f>
        <v/>
      </c>
      <c r="N278" s="58">
        <f>N277-M278</f>
        <v/>
      </c>
      <c r="O278" s="58">
        <f>IF(AND(BANCO_OK_2,B278&lt;=MESES),L278+M278+VINC_MES_2,0)</f>
        <v/>
      </c>
      <c r="P278" s="52">
        <f>IF(AND(BANCO_OK_3,B278&lt;=MESES),IF(OR(OF_TIPO_3="Fija",C278&lt;=OF_ANIOS_INI_3),OF_TIN_3,MAX(0,EURIBOR+OF_DIF_3)),0)</f>
        <v/>
      </c>
      <c r="Q278" s="58">
        <f>IF(AND(BANCO_OK_3,B278&lt;=MESES),IF(OR(B278=1,P278&lt;&gt;P277),PMT(P278/1200,MESES-B278+1,-T277),Q277),0)</f>
        <v/>
      </c>
      <c r="R278" s="58">
        <f>T277*P278/1200</f>
        <v/>
      </c>
      <c r="S278" s="58">
        <f>IF(AND(BANCO_OK_3,B278&lt;=MESES),IF(OR(B278=MESES,Q278-R278&gt;T277),T277,Q278-R278),0)</f>
        <v/>
      </c>
      <c r="T278" s="58">
        <f>T277-S278</f>
        <v/>
      </c>
      <c r="U278" s="58">
        <f>IF(AND(BANCO_OK_3,B278&lt;=MESES),R278+S278+VINC_MES_3,0)</f>
        <v/>
      </c>
      <c r="V278" s="52">
        <f>IF(AND(BANCO_OK_4,B278&lt;=MESES),IF(OR(OF_TIPO_4="Fija",C278&lt;=OF_ANIOS_INI_4),OF_TIN_4,MAX(0,EURIBOR+OF_DIF_4)),0)</f>
        <v/>
      </c>
      <c r="W278" s="58">
        <f>IF(AND(BANCO_OK_4,B278&lt;=MESES),IF(OR(B278=1,V278&lt;&gt;V277),PMT(V278/1200,MESES-B278+1,-Z277),W277),0)</f>
        <v/>
      </c>
      <c r="X278" s="58">
        <f>Z277*V278/1200</f>
        <v/>
      </c>
      <c r="Y278" s="58">
        <f>IF(AND(BANCO_OK_4,B278&lt;=MESES),IF(OR(B278=MESES,W278-X278&gt;Z277),Z277,W278-X278),0)</f>
        <v/>
      </c>
      <c r="Z278" s="58">
        <f>Z277-Y278</f>
        <v/>
      </c>
      <c r="AA278" s="58">
        <f>IF(AND(BANCO_OK_4,B278&lt;=MESES),X278+Y278+VINC_MES_4,0)</f>
        <v/>
      </c>
    </row>
    <row r="279">
      <c r="B279" s="56" t="n">
        <v>271</v>
      </c>
      <c r="C279" s="56">
        <f>ROUNDUP(B279/12,0)</f>
        <v/>
      </c>
      <c r="D279" s="52">
        <f>IF(AND(BANCO_OK_1,B279&lt;=MESES),IF(OR(OF_TIPO_1="Fija",C279&lt;=OF_ANIOS_INI_1),OF_TIN_1,MAX(0,EURIBOR+OF_DIF_1)),0)</f>
        <v/>
      </c>
      <c r="E279" s="58">
        <f>IF(AND(BANCO_OK_1,B279&lt;=MESES),IF(OR(B279=1,D279&lt;&gt;D278),PMT(D279/1200,MESES-B279+1,-H278),E278),0)</f>
        <v/>
      </c>
      <c r="F279" s="58">
        <f>H278*D279/1200</f>
        <v/>
      </c>
      <c r="G279" s="58">
        <f>IF(AND(BANCO_OK_1,B279&lt;=MESES),IF(OR(B279=MESES,E279-F279&gt;H278),H278,E279-F279),0)</f>
        <v/>
      </c>
      <c r="H279" s="58">
        <f>H278-G279</f>
        <v/>
      </c>
      <c r="I279" s="58">
        <f>IF(AND(BANCO_OK_1,B279&lt;=MESES),F279+G279+VINC_MES_1,0)</f>
        <v/>
      </c>
      <c r="J279" s="52">
        <f>IF(AND(BANCO_OK_2,B279&lt;=MESES),IF(OR(OF_TIPO_2="Fija",C279&lt;=OF_ANIOS_INI_2),OF_TIN_2,MAX(0,EURIBOR+OF_DIF_2)),0)</f>
        <v/>
      </c>
      <c r="K279" s="58">
        <f>IF(AND(BANCO_OK_2,B279&lt;=MESES),IF(OR(B279=1,J279&lt;&gt;J278),PMT(J279/1200,MESES-B279+1,-N278),K278),0)</f>
        <v/>
      </c>
      <c r="L279" s="58">
        <f>N278*J279/1200</f>
        <v/>
      </c>
      <c r="M279" s="58">
        <f>IF(AND(BANCO_OK_2,B279&lt;=MESES),IF(OR(B279=MESES,K279-L279&gt;N278),N278,K279-L279),0)</f>
        <v/>
      </c>
      <c r="N279" s="58">
        <f>N278-M279</f>
        <v/>
      </c>
      <c r="O279" s="58">
        <f>IF(AND(BANCO_OK_2,B279&lt;=MESES),L279+M279+VINC_MES_2,0)</f>
        <v/>
      </c>
      <c r="P279" s="52">
        <f>IF(AND(BANCO_OK_3,B279&lt;=MESES),IF(OR(OF_TIPO_3="Fija",C279&lt;=OF_ANIOS_INI_3),OF_TIN_3,MAX(0,EURIBOR+OF_DIF_3)),0)</f>
        <v/>
      </c>
      <c r="Q279" s="58">
        <f>IF(AND(BANCO_OK_3,B279&lt;=MESES),IF(OR(B279=1,P279&lt;&gt;P278),PMT(P279/1200,MESES-B279+1,-T278),Q278),0)</f>
        <v/>
      </c>
      <c r="R279" s="58">
        <f>T278*P279/1200</f>
        <v/>
      </c>
      <c r="S279" s="58">
        <f>IF(AND(BANCO_OK_3,B279&lt;=MESES),IF(OR(B279=MESES,Q279-R279&gt;T278),T278,Q279-R279),0)</f>
        <v/>
      </c>
      <c r="T279" s="58">
        <f>T278-S279</f>
        <v/>
      </c>
      <c r="U279" s="58">
        <f>IF(AND(BANCO_OK_3,B279&lt;=MESES),R279+S279+VINC_MES_3,0)</f>
        <v/>
      </c>
      <c r="V279" s="52">
        <f>IF(AND(BANCO_OK_4,B279&lt;=MESES),IF(OR(OF_TIPO_4="Fija",C279&lt;=OF_ANIOS_INI_4),OF_TIN_4,MAX(0,EURIBOR+OF_DIF_4)),0)</f>
        <v/>
      </c>
      <c r="W279" s="58">
        <f>IF(AND(BANCO_OK_4,B279&lt;=MESES),IF(OR(B279=1,V279&lt;&gt;V278),PMT(V279/1200,MESES-B279+1,-Z278),W278),0)</f>
        <v/>
      </c>
      <c r="X279" s="58">
        <f>Z278*V279/1200</f>
        <v/>
      </c>
      <c r="Y279" s="58">
        <f>IF(AND(BANCO_OK_4,B279&lt;=MESES),IF(OR(B279=MESES,W279-X279&gt;Z278),Z278,W279-X279),0)</f>
        <v/>
      </c>
      <c r="Z279" s="58">
        <f>Z278-Y279</f>
        <v/>
      </c>
      <c r="AA279" s="58">
        <f>IF(AND(BANCO_OK_4,B279&lt;=MESES),X279+Y279+VINC_MES_4,0)</f>
        <v/>
      </c>
    </row>
    <row r="280">
      <c r="B280" s="56" t="n">
        <v>272</v>
      </c>
      <c r="C280" s="56">
        <f>ROUNDUP(B280/12,0)</f>
        <v/>
      </c>
      <c r="D280" s="52">
        <f>IF(AND(BANCO_OK_1,B280&lt;=MESES),IF(OR(OF_TIPO_1="Fija",C280&lt;=OF_ANIOS_INI_1),OF_TIN_1,MAX(0,EURIBOR+OF_DIF_1)),0)</f>
        <v/>
      </c>
      <c r="E280" s="58">
        <f>IF(AND(BANCO_OK_1,B280&lt;=MESES),IF(OR(B280=1,D280&lt;&gt;D279),PMT(D280/1200,MESES-B280+1,-H279),E279),0)</f>
        <v/>
      </c>
      <c r="F280" s="58">
        <f>H279*D280/1200</f>
        <v/>
      </c>
      <c r="G280" s="58">
        <f>IF(AND(BANCO_OK_1,B280&lt;=MESES),IF(OR(B280=MESES,E280-F280&gt;H279),H279,E280-F280),0)</f>
        <v/>
      </c>
      <c r="H280" s="58">
        <f>H279-G280</f>
        <v/>
      </c>
      <c r="I280" s="58">
        <f>IF(AND(BANCO_OK_1,B280&lt;=MESES),F280+G280+VINC_MES_1,0)</f>
        <v/>
      </c>
      <c r="J280" s="52">
        <f>IF(AND(BANCO_OK_2,B280&lt;=MESES),IF(OR(OF_TIPO_2="Fija",C280&lt;=OF_ANIOS_INI_2),OF_TIN_2,MAX(0,EURIBOR+OF_DIF_2)),0)</f>
        <v/>
      </c>
      <c r="K280" s="58">
        <f>IF(AND(BANCO_OK_2,B280&lt;=MESES),IF(OR(B280=1,J280&lt;&gt;J279),PMT(J280/1200,MESES-B280+1,-N279),K279),0)</f>
        <v/>
      </c>
      <c r="L280" s="58">
        <f>N279*J280/1200</f>
        <v/>
      </c>
      <c r="M280" s="58">
        <f>IF(AND(BANCO_OK_2,B280&lt;=MESES),IF(OR(B280=MESES,K280-L280&gt;N279),N279,K280-L280),0)</f>
        <v/>
      </c>
      <c r="N280" s="58">
        <f>N279-M280</f>
        <v/>
      </c>
      <c r="O280" s="58">
        <f>IF(AND(BANCO_OK_2,B280&lt;=MESES),L280+M280+VINC_MES_2,0)</f>
        <v/>
      </c>
      <c r="P280" s="52">
        <f>IF(AND(BANCO_OK_3,B280&lt;=MESES),IF(OR(OF_TIPO_3="Fija",C280&lt;=OF_ANIOS_INI_3),OF_TIN_3,MAX(0,EURIBOR+OF_DIF_3)),0)</f>
        <v/>
      </c>
      <c r="Q280" s="58">
        <f>IF(AND(BANCO_OK_3,B280&lt;=MESES),IF(OR(B280=1,P280&lt;&gt;P279),PMT(P280/1200,MESES-B280+1,-T279),Q279),0)</f>
        <v/>
      </c>
      <c r="R280" s="58">
        <f>T279*P280/1200</f>
        <v/>
      </c>
      <c r="S280" s="58">
        <f>IF(AND(BANCO_OK_3,B280&lt;=MESES),IF(OR(B280=MESES,Q280-R280&gt;T279),T279,Q280-R280),0)</f>
        <v/>
      </c>
      <c r="T280" s="58">
        <f>T279-S280</f>
        <v/>
      </c>
      <c r="U280" s="58">
        <f>IF(AND(BANCO_OK_3,B280&lt;=MESES),R280+S280+VINC_MES_3,0)</f>
        <v/>
      </c>
      <c r="V280" s="52">
        <f>IF(AND(BANCO_OK_4,B280&lt;=MESES),IF(OR(OF_TIPO_4="Fija",C280&lt;=OF_ANIOS_INI_4),OF_TIN_4,MAX(0,EURIBOR+OF_DIF_4)),0)</f>
        <v/>
      </c>
      <c r="W280" s="58">
        <f>IF(AND(BANCO_OK_4,B280&lt;=MESES),IF(OR(B280=1,V280&lt;&gt;V279),PMT(V280/1200,MESES-B280+1,-Z279),W279),0)</f>
        <v/>
      </c>
      <c r="X280" s="58">
        <f>Z279*V280/1200</f>
        <v/>
      </c>
      <c r="Y280" s="58">
        <f>IF(AND(BANCO_OK_4,B280&lt;=MESES),IF(OR(B280=MESES,W280-X280&gt;Z279),Z279,W280-X280),0)</f>
        <v/>
      </c>
      <c r="Z280" s="58">
        <f>Z279-Y280</f>
        <v/>
      </c>
      <c r="AA280" s="58">
        <f>IF(AND(BANCO_OK_4,B280&lt;=MESES),X280+Y280+VINC_MES_4,0)</f>
        <v/>
      </c>
    </row>
    <row r="281">
      <c r="B281" s="56" t="n">
        <v>273</v>
      </c>
      <c r="C281" s="56">
        <f>ROUNDUP(B281/12,0)</f>
        <v/>
      </c>
      <c r="D281" s="52">
        <f>IF(AND(BANCO_OK_1,B281&lt;=MESES),IF(OR(OF_TIPO_1="Fija",C281&lt;=OF_ANIOS_INI_1),OF_TIN_1,MAX(0,EURIBOR+OF_DIF_1)),0)</f>
        <v/>
      </c>
      <c r="E281" s="58">
        <f>IF(AND(BANCO_OK_1,B281&lt;=MESES),IF(OR(B281=1,D281&lt;&gt;D280),PMT(D281/1200,MESES-B281+1,-H280),E280),0)</f>
        <v/>
      </c>
      <c r="F281" s="58">
        <f>H280*D281/1200</f>
        <v/>
      </c>
      <c r="G281" s="58">
        <f>IF(AND(BANCO_OK_1,B281&lt;=MESES),IF(OR(B281=MESES,E281-F281&gt;H280),H280,E281-F281),0)</f>
        <v/>
      </c>
      <c r="H281" s="58">
        <f>H280-G281</f>
        <v/>
      </c>
      <c r="I281" s="58">
        <f>IF(AND(BANCO_OK_1,B281&lt;=MESES),F281+G281+VINC_MES_1,0)</f>
        <v/>
      </c>
      <c r="J281" s="52">
        <f>IF(AND(BANCO_OK_2,B281&lt;=MESES),IF(OR(OF_TIPO_2="Fija",C281&lt;=OF_ANIOS_INI_2),OF_TIN_2,MAX(0,EURIBOR+OF_DIF_2)),0)</f>
        <v/>
      </c>
      <c r="K281" s="58">
        <f>IF(AND(BANCO_OK_2,B281&lt;=MESES),IF(OR(B281=1,J281&lt;&gt;J280),PMT(J281/1200,MESES-B281+1,-N280),K280),0)</f>
        <v/>
      </c>
      <c r="L281" s="58">
        <f>N280*J281/1200</f>
        <v/>
      </c>
      <c r="M281" s="58">
        <f>IF(AND(BANCO_OK_2,B281&lt;=MESES),IF(OR(B281=MESES,K281-L281&gt;N280),N280,K281-L281),0)</f>
        <v/>
      </c>
      <c r="N281" s="58">
        <f>N280-M281</f>
        <v/>
      </c>
      <c r="O281" s="58">
        <f>IF(AND(BANCO_OK_2,B281&lt;=MESES),L281+M281+VINC_MES_2,0)</f>
        <v/>
      </c>
      <c r="P281" s="52">
        <f>IF(AND(BANCO_OK_3,B281&lt;=MESES),IF(OR(OF_TIPO_3="Fija",C281&lt;=OF_ANIOS_INI_3),OF_TIN_3,MAX(0,EURIBOR+OF_DIF_3)),0)</f>
        <v/>
      </c>
      <c r="Q281" s="58">
        <f>IF(AND(BANCO_OK_3,B281&lt;=MESES),IF(OR(B281=1,P281&lt;&gt;P280),PMT(P281/1200,MESES-B281+1,-T280),Q280),0)</f>
        <v/>
      </c>
      <c r="R281" s="58">
        <f>T280*P281/1200</f>
        <v/>
      </c>
      <c r="S281" s="58">
        <f>IF(AND(BANCO_OK_3,B281&lt;=MESES),IF(OR(B281=MESES,Q281-R281&gt;T280),T280,Q281-R281),0)</f>
        <v/>
      </c>
      <c r="T281" s="58">
        <f>T280-S281</f>
        <v/>
      </c>
      <c r="U281" s="58">
        <f>IF(AND(BANCO_OK_3,B281&lt;=MESES),R281+S281+VINC_MES_3,0)</f>
        <v/>
      </c>
      <c r="V281" s="52">
        <f>IF(AND(BANCO_OK_4,B281&lt;=MESES),IF(OR(OF_TIPO_4="Fija",C281&lt;=OF_ANIOS_INI_4),OF_TIN_4,MAX(0,EURIBOR+OF_DIF_4)),0)</f>
        <v/>
      </c>
      <c r="W281" s="58">
        <f>IF(AND(BANCO_OK_4,B281&lt;=MESES),IF(OR(B281=1,V281&lt;&gt;V280),PMT(V281/1200,MESES-B281+1,-Z280),W280),0)</f>
        <v/>
      </c>
      <c r="X281" s="58">
        <f>Z280*V281/1200</f>
        <v/>
      </c>
      <c r="Y281" s="58">
        <f>IF(AND(BANCO_OK_4,B281&lt;=MESES),IF(OR(B281=MESES,W281-X281&gt;Z280),Z280,W281-X281),0)</f>
        <v/>
      </c>
      <c r="Z281" s="58">
        <f>Z280-Y281</f>
        <v/>
      </c>
      <c r="AA281" s="58">
        <f>IF(AND(BANCO_OK_4,B281&lt;=MESES),X281+Y281+VINC_MES_4,0)</f>
        <v/>
      </c>
    </row>
    <row r="282">
      <c r="B282" s="56" t="n">
        <v>274</v>
      </c>
      <c r="C282" s="56">
        <f>ROUNDUP(B282/12,0)</f>
        <v/>
      </c>
      <c r="D282" s="52">
        <f>IF(AND(BANCO_OK_1,B282&lt;=MESES),IF(OR(OF_TIPO_1="Fija",C282&lt;=OF_ANIOS_INI_1),OF_TIN_1,MAX(0,EURIBOR+OF_DIF_1)),0)</f>
        <v/>
      </c>
      <c r="E282" s="58">
        <f>IF(AND(BANCO_OK_1,B282&lt;=MESES),IF(OR(B282=1,D282&lt;&gt;D281),PMT(D282/1200,MESES-B282+1,-H281),E281),0)</f>
        <v/>
      </c>
      <c r="F282" s="58">
        <f>H281*D282/1200</f>
        <v/>
      </c>
      <c r="G282" s="58">
        <f>IF(AND(BANCO_OK_1,B282&lt;=MESES),IF(OR(B282=MESES,E282-F282&gt;H281),H281,E282-F282),0)</f>
        <v/>
      </c>
      <c r="H282" s="58">
        <f>H281-G282</f>
        <v/>
      </c>
      <c r="I282" s="58">
        <f>IF(AND(BANCO_OK_1,B282&lt;=MESES),F282+G282+VINC_MES_1,0)</f>
        <v/>
      </c>
      <c r="J282" s="52">
        <f>IF(AND(BANCO_OK_2,B282&lt;=MESES),IF(OR(OF_TIPO_2="Fija",C282&lt;=OF_ANIOS_INI_2),OF_TIN_2,MAX(0,EURIBOR+OF_DIF_2)),0)</f>
        <v/>
      </c>
      <c r="K282" s="58">
        <f>IF(AND(BANCO_OK_2,B282&lt;=MESES),IF(OR(B282=1,J282&lt;&gt;J281),PMT(J282/1200,MESES-B282+1,-N281),K281),0)</f>
        <v/>
      </c>
      <c r="L282" s="58">
        <f>N281*J282/1200</f>
        <v/>
      </c>
      <c r="M282" s="58">
        <f>IF(AND(BANCO_OK_2,B282&lt;=MESES),IF(OR(B282=MESES,K282-L282&gt;N281),N281,K282-L282),0)</f>
        <v/>
      </c>
      <c r="N282" s="58">
        <f>N281-M282</f>
        <v/>
      </c>
      <c r="O282" s="58">
        <f>IF(AND(BANCO_OK_2,B282&lt;=MESES),L282+M282+VINC_MES_2,0)</f>
        <v/>
      </c>
      <c r="P282" s="52">
        <f>IF(AND(BANCO_OK_3,B282&lt;=MESES),IF(OR(OF_TIPO_3="Fija",C282&lt;=OF_ANIOS_INI_3),OF_TIN_3,MAX(0,EURIBOR+OF_DIF_3)),0)</f>
        <v/>
      </c>
      <c r="Q282" s="58">
        <f>IF(AND(BANCO_OK_3,B282&lt;=MESES),IF(OR(B282=1,P282&lt;&gt;P281),PMT(P282/1200,MESES-B282+1,-T281),Q281),0)</f>
        <v/>
      </c>
      <c r="R282" s="58">
        <f>T281*P282/1200</f>
        <v/>
      </c>
      <c r="S282" s="58">
        <f>IF(AND(BANCO_OK_3,B282&lt;=MESES),IF(OR(B282=MESES,Q282-R282&gt;T281),T281,Q282-R282),0)</f>
        <v/>
      </c>
      <c r="T282" s="58">
        <f>T281-S282</f>
        <v/>
      </c>
      <c r="U282" s="58">
        <f>IF(AND(BANCO_OK_3,B282&lt;=MESES),R282+S282+VINC_MES_3,0)</f>
        <v/>
      </c>
      <c r="V282" s="52">
        <f>IF(AND(BANCO_OK_4,B282&lt;=MESES),IF(OR(OF_TIPO_4="Fija",C282&lt;=OF_ANIOS_INI_4),OF_TIN_4,MAX(0,EURIBOR+OF_DIF_4)),0)</f>
        <v/>
      </c>
      <c r="W282" s="58">
        <f>IF(AND(BANCO_OK_4,B282&lt;=MESES),IF(OR(B282=1,V282&lt;&gt;V281),PMT(V282/1200,MESES-B282+1,-Z281),W281),0)</f>
        <v/>
      </c>
      <c r="X282" s="58">
        <f>Z281*V282/1200</f>
        <v/>
      </c>
      <c r="Y282" s="58">
        <f>IF(AND(BANCO_OK_4,B282&lt;=MESES),IF(OR(B282=MESES,W282-X282&gt;Z281),Z281,W282-X282),0)</f>
        <v/>
      </c>
      <c r="Z282" s="58">
        <f>Z281-Y282</f>
        <v/>
      </c>
      <c r="AA282" s="58">
        <f>IF(AND(BANCO_OK_4,B282&lt;=MESES),X282+Y282+VINC_MES_4,0)</f>
        <v/>
      </c>
    </row>
    <row r="283">
      <c r="B283" s="56" t="n">
        <v>275</v>
      </c>
      <c r="C283" s="56">
        <f>ROUNDUP(B283/12,0)</f>
        <v/>
      </c>
      <c r="D283" s="52">
        <f>IF(AND(BANCO_OK_1,B283&lt;=MESES),IF(OR(OF_TIPO_1="Fija",C283&lt;=OF_ANIOS_INI_1),OF_TIN_1,MAX(0,EURIBOR+OF_DIF_1)),0)</f>
        <v/>
      </c>
      <c r="E283" s="58">
        <f>IF(AND(BANCO_OK_1,B283&lt;=MESES),IF(OR(B283=1,D283&lt;&gt;D282),PMT(D283/1200,MESES-B283+1,-H282),E282),0)</f>
        <v/>
      </c>
      <c r="F283" s="58">
        <f>H282*D283/1200</f>
        <v/>
      </c>
      <c r="G283" s="58">
        <f>IF(AND(BANCO_OK_1,B283&lt;=MESES),IF(OR(B283=MESES,E283-F283&gt;H282),H282,E283-F283),0)</f>
        <v/>
      </c>
      <c r="H283" s="58">
        <f>H282-G283</f>
        <v/>
      </c>
      <c r="I283" s="58">
        <f>IF(AND(BANCO_OK_1,B283&lt;=MESES),F283+G283+VINC_MES_1,0)</f>
        <v/>
      </c>
      <c r="J283" s="52">
        <f>IF(AND(BANCO_OK_2,B283&lt;=MESES),IF(OR(OF_TIPO_2="Fija",C283&lt;=OF_ANIOS_INI_2),OF_TIN_2,MAX(0,EURIBOR+OF_DIF_2)),0)</f>
        <v/>
      </c>
      <c r="K283" s="58">
        <f>IF(AND(BANCO_OK_2,B283&lt;=MESES),IF(OR(B283=1,J283&lt;&gt;J282),PMT(J283/1200,MESES-B283+1,-N282),K282),0)</f>
        <v/>
      </c>
      <c r="L283" s="58">
        <f>N282*J283/1200</f>
        <v/>
      </c>
      <c r="M283" s="58">
        <f>IF(AND(BANCO_OK_2,B283&lt;=MESES),IF(OR(B283=MESES,K283-L283&gt;N282),N282,K283-L283),0)</f>
        <v/>
      </c>
      <c r="N283" s="58">
        <f>N282-M283</f>
        <v/>
      </c>
      <c r="O283" s="58">
        <f>IF(AND(BANCO_OK_2,B283&lt;=MESES),L283+M283+VINC_MES_2,0)</f>
        <v/>
      </c>
      <c r="P283" s="52">
        <f>IF(AND(BANCO_OK_3,B283&lt;=MESES),IF(OR(OF_TIPO_3="Fija",C283&lt;=OF_ANIOS_INI_3),OF_TIN_3,MAX(0,EURIBOR+OF_DIF_3)),0)</f>
        <v/>
      </c>
      <c r="Q283" s="58">
        <f>IF(AND(BANCO_OK_3,B283&lt;=MESES),IF(OR(B283=1,P283&lt;&gt;P282),PMT(P283/1200,MESES-B283+1,-T282),Q282),0)</f>
        <v/>
      </c>
      <c r="R283" s="58">
        <f>T282*P283/1200</f>
        <v/>
      </c>
      <c r="S283" s="58">
        <f>IF(AND(BANCO_OK_3,B283&lt;=MESES),IF(OR(B283=MESES,Q283-R283&gt;T282),T282,Q283-R283),0)</f>
        <v/>
      </c>
      <c r="T283" s="58">
        <f>T282-S283</f>
        <v/>
      </c>
      <c r="U283" s="58">
        <f>IF(AND(BANCO_OK_3,B283&lt;=MESES),R283+S283+VINC_MES_3,0)</f>
        <v/>
      </c>
      <c r="V283" s="52">
        <f>IF(AND(BANCO_OK_4,B283&lt;=MESES),IF(OR(OF_TIPO_4="Fija",C283&lt;=OF_ANIOS_INI_4),OF_TIN_4,MAX(0,EURIBOR+OF_DIF_4)),0)</f>
        <v/>
      </c>
      <c r="W283" s="58">
        <f>IF(AND(BANCO_OK_4,B283&lt;=MESES),IF(OR(B283=1,V283&lt;&gt;V282),PMT(V283/1200,MESES-B283+1,-Z282),W282),0)</f>
        <v/>
      </c>
      <c r="X283" s="58">
        <f>Z282*V283/1200</f>
        <v/>
      </c>
      <c r="Y283" s="58">
        <f>IF(AND(BANCO_OK_4,B283&lt;=MESES),IF(OR(B283=MESES,W283-X283&gt;Z282),Z282,W283-X283),0)</f>
        <v/>
      </c>
      <c r="Z283" s="58">
        <f>Z282-Y283</f>
        <v/>
      </c>
      <c r="AA283" s="58">
        <f>IF(AND(BANCO_OK_4,B283&lt;=MESES),X283+Y283+VINC_MES_4,0)</f>
        <v/>
      </c>
    </row>
    <row r="284">
      <c r="B284" s="56" t="n">
        <v>276</v>
      </c>
      <c r="C284" s="56">
        <f>ROUNDUP(B284/12,0)</f>
        <v/>
      </c>
      <c r="D284" s="52">
        <f>IF(AND(BANCO_OK_1,B284&lt;=MESES),IF(OR(OF_TIPO_1="Fija",C284&lt;=OF_ANIOS_INI_1),OF_TIN_1,MAX(0,EURIBOR+OF_DIF_1)),0)</f>
        <v/>
      </c>
      <c r="E284" s="58">
        <f>IF(AND(BANCO_OK_1,B284&lt;=MESES),IF(OR(B284=1,D284&lt;&gt;D283),PMT(D284/1200,MESES-B284+1,-H283),E283),0)</f>
        <v/>
      </c>
      <c r="F284" s="58">
        <f>H283*D284/1200</f>
        <v/>
      </c>
      <c r="G284" s="58">
        <f>IF(AND(BANCO_OK_1,B284&lt;=MESES),IF(OR(B284=MESES,E284-F284&gt;H283),H283,E284-F284),0)</f>
        <v/>
      </c>
      <c r="H284" s="58">
        <f>H283-G284</f>
        <v/>
      </c>
      <c r="I284" s="58">
        <f>IF(AND(BANCO_OK_1,B284&lt;=MESES),F284+G284+VINC_MES_1,0)</f>
        <v/>
      </c>
      <c r="J284" s="52">
        <f>IF(AND(BANCO_OK_2,B284&lt;=MESES),IF(OR(OF_TIPO_2="Fija",C284&lt;=OF_ANIOS_INI_2),OF_TIN_2,MAX(0,EURIBOR+OF_DIF_2)),0)</f>
        <v/>
      </c>
      <c r="K284" s="58">
        <f>IF(AND(BANCO_OK_2,B284&lt;=MESES),IF(OR(B284=1,J284&lt;&gt;J283),PMT(J284/1200,MESES-B284+1,-N283),K283),0)</f>
        <v/>
      </c>
      <c r="L284" s="58">
        <f>N283*J284/1200</f>
        <v/>
      </c>
      <c r="M284" s="58">
        <f>IF(AND(BANCO_OK_2,B284&lt;=MESES),IF(OR(B284=MESES,K284-L284&gt;N283),N283,K284-L284),0)</f>
        <v/>
      </c>
      <c r="N284" s="58">
        <f>N283-M284</f>
        <v/>
      </c>
      <c r="O284" s="58">
        <f>IF(AND(BANCO_OK_2,B284&lt;=MESES),L284+M284+VINC_MES_2,0)</f>
        <v/>
      </c>
      <c r="P284" s="52">
        <f>IF(AND(BANCO_OK_3,B284&lt;=MESES),IF(OR(OF_TIPO_3="Fija",C284&lt;=OF_ANIOS_INI_3),OF_TIN_3,MAX(0,EURIBOR+OF_DIF_3)),0)</f>
        <v/>
      </c>
      <c r="Q284" s="58">
        <f>IF(AND(BANCO_OK_3,B284&lt;=MESES),IF(OR(B284=1,P284&lt;&gt;P283),PMT(P284/1200,MESES-B284+1,-T283),Q283),0)</f>
        <v/>
      </c>
      <c r="R284" s="58">
        <f>T283*P284/1200</f>
        <v/>
      </c>
      <c r="S284" s="58">
        <f>IF(AND(BANCO_OK_3,B284&lt;=MESES),IF(OR(B284=MESES,Q284-R284&gt;T283),T283,Q284-R284),0)</f>
        <v/>
      </c>
      <c r="T284" s="58">
        <f>T283-S284</f>
        <v/>
      </c>
      <c r="U284" s="58">
        <f>IF(AND(BANCO_OK_3,B284&lt;=MESES),R284+S284+VINC_MES_3,0)</f>
        <v/>
      </c>
      <c r="V284" s="52">
        <f>IF(AND(BANCO_OK_4,B284&lt;=MESES),IF(OR(OF_TIPO_4="Fija",C284&lt;=OF_ANIOS_INI_4),OF_TIN_4,MAX(0,EURIBOR+OF_DIF_4)),0)</f>
        <v/>
      </c>
      <c r="W284" s="58">
        <f>IF(AND(BANCO_OK_4,B284&lt;=MESES),IF(OR(B284=1,V284&lt;&gt;V283),PMT(V284/1200,MESES-B284+1,-Z283),W283),0)</f>
        <v/>
      </c>
      <c r="X284" s="58">
        <f>Z283*V284/1200</f>
        <v/>
      </c>
      <c r="Y284" s="58">
        <f>IF(AND(BANCO_OK_4,B284&lt;=MESES),IF(OR(B284=MESES,W284-X284&gt;Z283),Z283,W284-X284),0)</f>
        <v/>
      </c>
      <c r="Z284" s="58">
        <f>Z283-Y284</f>
        <v/>
      </c>
      <c r="AA284" s="58">
        <f>IF(AND(BANCO_OK_4,B284&lt;=MESES),X284+Y284+VINC_MES_4,0)</f>
        <v/>
      </c>
    </row>
    <row r="285">
      <c r="B285" s="56" t="n">
        <v>277</v>
      </c>
      <c r="C285" s="56">
        <f>ROUNDUP(B285/12,0)</f>
        <v/>
      </c>
      <c r="D285" s="52">
        <f>IF(AND(BANCO_OK_1,B285&lt;=MESES),IF(OR(OF_TIPO_1="Fija",C285&lt;=OF_ANIOS_INI_1),OF_TIN_1,MAX(0,EURIBOR+OF_DIF_1)),0)</f>
        <v/>
      </c>
      <c r="E285" s="58">
        <f>IF(AND(BANCO_OK_1,B285&lt;=MESES),IF(OR(B285=1,D285&lt;&gt;D284),PMT(D285/1200,MESES-B285+1,-H284),E284),0)</f>
        <v/>
      </c>
      <c r="F285" s="58">
        <f>H284*D285/1200</f>
        <v/>
      </c>
      <c r="G285" s="58">
        <f>IF(AND(BANCO_OK_1,B285&lt;=MESES),IF(OR(B285=MESES,E285-F285&gt;H284),H284,E285-F285),0)</f>
        <v/>
      </c>
      <c r="H285" s="58">
        <f>H284-G285</f>
        <v/>
      </c>
      <c r="I285" s="58">
        <f>IF(AND(BANCO_OK_1,B285&lt;=MESES),F285+G285+VINC_MES_1,0)</f>
        <v/>
      </c>
      <c r="J285" s="52">
        <f>IF(AND(BANCO_OK_2,B285&lt;=MESES),IF(OR(OF_TIPO_2="Fija",C285&lt;=OF_ANIOS_INI_2),OF_TIN_2,MAX(0,EURIBOR+OF_DIF_2)),0)</f>
        <v/>
      </c>
      <c r="K285" s="58">
        <f>IF(AND(BANCO_OK_2,B285&lt;=MESES),IF(OR(B285=1,J285&lt;&gt;J284),PMT(J285/1200,MESES-B285+1,-N284),K284),0)</f>
        <v/>
      </c>
      <c r="L285" s="58">
        <f>N284*J285/1200</f>
        <v/>
      </c>
      <c r="M285" s="58">
        <f>IF(AND(BANCO_OK_2,B285&lt;=MESES),IF(OR(B285=MESES,K285-L285&gt;N284),N284,K285-L285),0)</f>
        <v/>
      </c>
      <c r="N285" s="58">
        <f>N284-M285</f>
        <v/>
      </c>
      <c r="O285" s="58">
        <f>IF(AND(BANCO_OK_2,B285&lt;=MESES),L285+M285+VINC_MES_2,0)</f>
        <v/>
      </c>
      <c r="P285" s="52">
        <f>IF(AND(BANCO_OK_3,B285&lt;=MESES),IF(OR(OF_TIPO_3="Fija",C285&lt;=OF_ANIOS_INI_3),OF_TIN_3,MAX(0,EURIBOR+OF_DIF_3)),0)</f>
        <v/>
      </c>
      <c r="Q285" s="58">
        <f>IF(AND(BANCO_OK_3,B285&lt;=MESES),IF(OR(B285=1,P285&lt;&gt;P284),PMT(P285/1200,MESES-B285+1,-T284),Q284),0)</f>
        <v/>
      </c>
      <c r="R285" s="58">
        <f>T284*P285/1200</f>
        <v/>
      </c>
      <c r="S285" s="58">
        <f>IF(AND(BANCO_OK_3,B285&lt;=MESES),IF(OR(B285=MESES,Q285-R285&gt;T284),T284,Q285-R285),0)</f>
        <v/>
      </c>
      <c r="T285" s="58">
        <f>T284-S285</f>
        <v/>
      </c>
      <c r="U285" s="58">
        <f>IF(AND(BANCO_OK_3,B285&lt;=MESES),R285+S285+VINC_MES_3,0)</f>
        <v/>
      </c>
      <c r="V285" s="52">
        <f>IF(AND(BANCO_OK_4,B285&lt;=MESES),IF(OR(OF_TIPO_4="Fija",C285&lt;=OF_ANIOS_INI_4),OF_TIN_4,MAX(0,EURIBOR+OF_DIF_4)),0)</f>
        <v/>
      </c>
      <c r="W285" s="58">
        <f>IF(AND(BANCO_OK_4,B285&lt;=MESES),IF(OR(B285=1,V285&lt;&gt;V284),PMT(V285/1200,MESES-B285+1,-Z284),W284),0)</f>
        <v/>
      </c>
      <c r="X285" s="58">
        <f>Z284*V285/1200</f>
        <v/>
      </c>
      <c r="Y285" s="58">
        <f>IF(AND(BANCO_OK_4,B285&lt;=MESES),IF(OR(B285=MESES,W285-X285&gt;Z284),Z284,W285-X285),0)</f>
        <v/>
      </c>
      <c r="Z285" s="58">
        <f>Z284-Y285</f>
        <v/>
      </c>
      <c r="AA285" s="58">
        <f>IF(AND(BANCO_OK_4,B285&lt;=MESES),X285+Y285+VINC_MES_4,0)</f>
        <v/>
      </c>
    </row>
    <row r="286">
      <c r="B286" s="56" t="n">
        <v>278</v>
      </c>
      <c r="C286" s="56">
        <f>ROUNDUP(B286/12,0)</f>
        <v/>
      </c>
      <c r="D286" s="52">
        <f>IF(AND(BANCO_OK_1,B286&lt;=MESES),IF(OR(OF_TIPO_1="Fija",C286&lt;=OF_ANIOS_INI_1),OF_TIN_1,MAX(0,EURIBOR+OF_DIF_1)),0)</f>
        <v/>
      </c>
      <c r="E286" s="58">
        <f>IF(AND(BANCO_OK_1,B286&lt;=MESES),IF(OR(B286=1,D286&lt;&gt;D285),PMT(D286/1200,MESES-B286+1,-H285),E285),0)</f>
        <v/>
      </c>
      <c r="F286" s="58">
        <f>H285*D286/1200</f>
        <v/>
      </c>
      <c r="G286" s="58">
        <f>IF(AND(BANCO_OK_1,B286&lt;=MESES),IF(OR(B286=MESES,E286-F286&gt;H285),H285,E286-F286),0)</f>
        <v/>
      </c>
      <c r="H286" s="58">
        <f>H285-G286</f>
        <v/>
      </c>
      <c r="I286" s="58">
        <f>IF(AND(BANCO_OK_1,B286&lt;=MESES),F286+G286+VINC_MES_1,0)</f>
        <v/>
      </c>
      <c r="J286" s="52">
        <f>IF(AND(BANCO_OK_2,B286&lt;=MESES),IF(OR(OF_TIPO_2="Fija",C286&lt;=OF_ANIOS_INI_2),OF_TIN_2,MAX(0,EURIBOR+OF_DIF_2)),0)</f>
        <v/>
      </c>
      <c r="K286" s="58">
        <f>IF(AND(BANCO_OK_2,B286&lt;=MESES),IF(OR(B286=1,J286&lt;&gt;J285),PMT(J286/1200,MESES-B286+1,-N285),K285),0)</f>
        <v/>
      </c>
      <c r="L286" s="58">
        <f>N285*J286/1200</f>
        <v/>
      </c>
      <c r="M286" s="58">
        <f>IF(AND(BANCO_OK_2,B286&lt;=MESES),IF(OR(B286=MESES,K286-L286&gt;N285),N285,K286-L286),0)</f>
        <v/>
      </c>
      <c r="N286" s="58">
        <f>N285-M286</f>
        <v/>
      </c>
      <c r="O286" s="58">
        <f>IF(AND(BANCO_OK_2,B286&lt;=MESES),L286+M286+VINC_MES_2,0)</f>
        <v/>
      </c>
      <c r="P286" s="52">
        <f>IF(AND(BANCO_OK_3,B286&lt;=MESES),IF(OR(OF_TIPO_3="Fija",C286&lt;=OF_ANIOS_INI_3),OF_TIN_3,MAX(0,EURIBOR+OF_DIF_3)),0)</f>
        <v/>
      </c>
      <c r="Q286" s="58">
        <f>IF(AND(BANCO_OK_3,B286&lt;=MESES),IF(OR(B286=1,P286&lt;&gt;P285),PMT(P286/1200,MESES-B286+1,-T285),Q285),0)</f>
        <v/>
      </c>
      <c r="R286" s="58">
        <f>T285*P286/1200</f>
        <v/>
      </c>
      <c r="S286" s="58">
        <f>IF(AND(BANCO_OK_3,B286&lt;=MESES),IF(OR(B286=MESES,Q286-R286&gt;T285),T285,Q286-R286),0)</f>
        <v/>
      </c>
      <c r="T286" s="58">
        <f>T285-S286</f>
        <v/>
      </c>
      <c r="U286" s="58">
        <f>IF(AND(BANCO_OK_3,B286&lt;=MESES),R286+S286+VINC_MES_3,0)</f>
        <v/>
      </c>
      <c r="V286" s="52">
        <f>IF(AND(BANCO_OK_4,B286&lt;=MESES),IF(OR(OF_TIPO_4="Fija",C286&lt;=OF_ANIOS_INI_4),OF_TIN_4,MAX(0,EURIBOR+OF_DIF_4)),0)</f>
        <v/>
      </c>
      <c r="W286" s="58">
        <f>IF(AND(BANCO_OK_4,B286&lt;=MESES),IF(OR(B286=1,V286&lt;&gt;V285),PMT(V286/1200,MESES-B286+1,-Z285),W285),0)</f>
        <v/>
      </c>
      <c r="X286" s="58">
        <f>Z285*V286/1200</f>
        <v/>
      </c>
      <c r="Y286" s="58">
        <f>IF(AND(BANCO_OK_4,B286&lt;=MESES),IF(OR(B286=MESES,W286-X286&gt;Z285),Z285,W286-X286),0)</f>
        <v/>
      </c>
      <c r="Z286" s="58">
        <f>Z285-Y286</f>
        <v/>
      </c>
      <c r="AA286" s="58">
        <f>IF(AND(BANCO_OK_4,B286&lt;=MESES),X286+Y286+VINC_MES_4,0)</f>
        <v/>
      </c>
    </row>
    <row r="287">
      <c r="B287" s="56" t="n">
        <v>279</v>
      </c>
      <c r="C287" s="56">
        <f>ROUNDUP(B287/12,0)</f>
        <v/>
      </c>
      <c r="D287" s="52">
        <f>IF(AND(BANCO_OK_1,B287&lt;=MESES),IF(OR(OF_TIPO_1="Fija",C287&lt;=OF_ANIOS_INI_1),OF_TIN_1,MAX(0,EURIBOR+OF_DIF_1)),0)</f>
        <v/>
      </c>
      <c r="E287" s="58">
        <f>IF(AND(BANCO_OK_1,B287&lt;=MESES),IF(OR(B287=1,D287&lt;&gt;D286),PMT(D287/1200,MESES-B287+1,-H286),E286),0)</f>
        <v/>
      </c>
      <c r="F287" s="58">
        <f>H286*D287/1200</f>
        <v/>
      </c>
      <c r="G287" s="58">
        <f>IF(AND(BANCO_OK_1,B287&lt;=MESES),IF(OR(B287=MESES,E287-F287&gt;H286),H286,E287-F287),0)</f>
        <v/>
      </c>
      <c r="H287" s="58">
        <f>H286-G287</f>
        <v/>
      </c>
      <c r="I287" s="58">
        <f>IF(AND(BANCO_OK_1,B287&lt;=MESES),F287+G287+VINC_MES_1,0)</f>
        <v/>
      </c>
      <c r="J287" s="52">
        <f>IF(AND(BANCO_OK_2,B287&lt;=MESES),IF(OR(OF_TIPO_2="Fija",C287&lt;=OF_ANIOS_INI_2),OF_TIN_2,MAX(0,EURIBOR+OF_DIF_2)),0)</f>
        <v/>
      </c>
      <c r="K287" s="58">
        <f>IF(AND(BANCO_OK_2,B287&lt;=MESES),IF(OR(B287=1,J287&lt;&gt;J286),PMT(J287/1200,MESES-B287+1,-N286),K286),0)</f>
        <v/>
      </c>
      <c r="L287" s="58">
        <f>N286*J287/1200</f>
        <v/>
      </c>
      <c r="M287" s="58">
        <f>IF(AND(BANCO_OK_2,B287&lt;=MESES),IF(OR(B287=MESES,K287-L287&gt;N286),N286,K287-L287),0)</f>
        <v/>
      </c>
      <c r="N287" s="58">
        <f>N286-M287</f>
        <v/>
      </c>
      <c r="O287" s="58">
        <f>IF(AND(BANCO_OK_2,B287&lt;=MESES),L287+M287+VINC_MES_2,0)</f>
        <v/>
      </c>
      <c r="P287" s="52">
        <f>IF(AND(BANCO_OK_3,B287&lt;=MESES),IF(OR(OF_TIPO_3="Fija",C287&lt;=OF_ANIOS_INI_3),OF_TIN_3,MAX(0,EURIBOR+OF_DIF_3)),0)</f>
        <v/>
      </c>
      <c r="Q287" s="58">
        <f>IF(AND(BANCO_OK_3,B287&lt;=MESES),IF(OR(B287=1,P287&lt;&gt;P286),PMT(P287/1200,MESES-B287+1,-T286),Q286),0)</f>
        <v/>
      </c>
      <c r="R287" s="58">
        <f>T286*P287/1200</f>
        <v/>
      </c>
      <c r="S287" s="58">
        <f>IF(AND(BANCO_OK_3,B287&lt;=MESES),IF(OR(B287=MESES,Q287-R287&gt;T286),T286,Q287-R287),0)</f>
        <v/>
      </c>
      <c r="T287" s="58">
        <f>T286-S287</f>
        <v/>
      </c>
      <c r="U287" s="58">
        <f>IF(AND(BANCO_OK_3,B287&lt;=MESES),R287+S287+VINC_MES_3,0)</f>
        <v/>
      </c>
      <c r="V287" s="52">
        <f>IF(AND(BANCO_OK_4,B287&lt;=MESES),IF(OR(OF_TIPO_4="Fija",C287&lt;=OF_ANIOS_INI_4),OF_TIN_4,MAX(0,EURIBOR+OF_DIF_4)),0)</f>
        <v/>
      </c>
      <c r="W287" s="58">
        <f>IF(AND(BANCO_OK_4,B287&lt;=MESES),IF(OR(B287=1,V287&lt;&gt;V286),PMT(V287/1200,MESES-B287+1,-Z286),W286),0)</f>
        <v/>
      </c>
      <c r="X287" s="58">
        <f>Z286*V287/1200</f>
        <v/>
      </c>
      <c r="Y287" s="58">
        <f>IF(AND(BANCO_OK_4,B287&lt;=MESES),IF(OR(B287=MESES,W287-X287&gt;Z286),Z286,W287-X287),0)</f>
        <v/>
      </c>
      <c r="Z287" s="58">
        <f>Z286-Y287</f>
        <v/>
      </c>
      <c r="AA287" s="58">
        <f>IF(AND(BANCO_OK_4,B287&lt;=MESES),X287+Y287+VINC_MES_4,0)</f>
        <v/>
      </c>
    </row>
    <row r="288">
      <c r="B288" s="56" t="n">
        <v>280</v>
      </c>
      <c r="C288" s="56">
        <f>ROUNDUP(B288/12,0)</f>
        <v/>
      </c>
      <c r="D288" s="52">
        <f>IF(AND(BANCO_OK_1,B288&lt;=MESES),IF(OR(OF_TIPO_1="Fija",C288&lt;=OF_ANIOS_INI_1),OF_TIN_1,MAX(0,EURIBOR+OF_DIF_1)),0)</f>
        <v/>
      </c>
      <c r="E288" s="58">
        <f>IF(AND(BANCO_OK_1,B288&lt;=MESES),IF(OR(B288=1,D288&lt;&gt;D287),PMT(D288/1200,MESES-B288+1,-H287),E287),0)</f>
        <v/>
      </c>
      <c r="F288" s="58">
        <f>H287*D288/1200</f>
        <v/>
      </c>
      <c r="G288" s="58">
        <f>IF(AND(BANCO_OK_1,B288&lt;=MESES),IF(OR(B288=MESES,E288-F288&gt;H287),H287,E288-F288),0)</f>
        <v/>
      </c>
      <c r="H288" s="58">
        <f>H287-G288</f>
        <v/>
      </c>
      <c r="I288" s="58">
        <f>IF(AND(BANCO_OK_1,B288&lt;=MESES),F288+G288+VINC_MES_1,0)</f>
        <v/>
      </c>
      <c r="J288" s="52">
        <f>IF(AND(BANCO_OK_2,B288&lt;=MESES),IF(OR(OF_TIPO_2="Fija",C288&lt;=OF_ANIOS_INI_2),OF_TIN_2,MAX(0,EURIBOR+OF_DIF_2)),0)</f>
        <v/>
      </c>
      <c r="K288" s="58">
        <f>IF(AND(BANCO_OK_2,B288&lt;=MESES),IF(OR(B288=1,J288&lt;&gt;J287),PMT(J288/1200,MESES-B288+1,-N287),K287),0)</f>
        <v/>
      </c>
      <c r="L288" s="58">
        <f>N287*J288/1200</f>
        <v/>
      </c>
      <c r="M288" s="58">
        <f>IF(AND(BANCO_OK_2,B288&lt;=MESES),IF(OR(B288=MESES,K288-L288&gt;N287),N287,K288-L288),0)</f>
        <v/>
      </c>
      <c r="N288" s="58">
        <f>N287-M288</f>
        <v/>
      </c>
      <c r="O288" s="58">
        <f>IF(AND(BANCO_OK_2,B288&lt;=MESES),L288+M288+VINC_MES_2,0)</f>
        <v/>
      </c>
      <c r="P288" s="52">
        <f>IF(AND(BANCO_OK_3,B288&lt;=MESES),IF(OR(OF_TIPO_3="Fija",C288&lt;=OF_ANIOS_INI_3),OF_TIN_3,MAX(0,EURIBOR+OF_DIF_3)),0)</f>
        <v/>
      </c>
      <c r="Q288" s="58">
        <f>IF(AND(BANCO_OK_3,B288&lt;=MESES),IF(OR(B288=1,P288&lt;&gt;P287),PMT(P288/1200,MESES-B288+1,-T287),Q287),0)</f>
        <v/>
      </c>
      <c r="R288" s="58">
        <f>T287*P288/1200</f>
        <v/>
      </c>
      <c r="S288" s="58">
        <f>IF(AND(BANCO_OK_3,B288&lt;=MESES),IF(OR(B288=MESES,Q288-R288&gt;T287),T287,Q288-R288),0)</f>
        <v/>
      </c>
      <c r="T288" s="58">
        <f>T287-S288</f>
        <v/>
      </c>
      <c r="U288" s="58">
        <f>IF(AND(BANCO_OK_3,B288&lt;=MESES),R288+S288+VINC_MES_3,0)</f>
        <v/>
      </c>
      <c r="V288" s="52">
        <f>IF(AND(BANCO_OK_4,B288&lt;=MESES),IF(OR(OF_TIPO_4="Fija",C288&lt;=OF_ANIOS_INI_4),OF_TIN_4,MAX(0,EURIBOR+OF_DIF_4)),0)</f>
        <v/>
      </c>
      <c r="W288" s="58">
        <f>IF(AND(BANCO_OK_4,B288&lt;=MESES),IF(OR(B288=1,V288&lt;&gt;V287),PMT(V288/1200,MESES-B288+1,-Z287),W287),0)</f>
        <v/>
      </c>
      <c r="X288" s="58">
        <f>Z287*V288/1200</f>
        <v/>
      </c>
      <c r="Y288" s="58">
        <f>IF(AND(BANCO_OK_4,B288&lt;=MESES),IF(OR(B288=MESES,W288-X288&gt;Z287),Z287,W288-X288),0)</f>
        <v/>
      </c>
      <c r="Z288" s="58">
        <f>Z287-Y288</f>
        <v/>
      </c>
      <c r="AA288" s="58">
        <f>IF(AND(BANCO_OK_4,B288&lt;=MESES),X288+Y288+VINC_MES_4,0)</f>
        <v/>
      </c>
    </row>
    <row r="289">
      <c r="B289" s="56" t="n">
        <v>281</v>
      </c>
      <c r="C289" s="56">
        <f>ROUNDUP(B289/12,0)</f>
        <v/>
      </c>
      <c r="D289" s="52">
        <f>IF(AND(BANCO_OK_1,B289&lt;=MESES),IF(OR(OF_TIPO_1="Fija",C289&lt;=OF_ANIOS_INI_1),OF_TIN_1,MAX(0,EURIBOR+OF_DIF_1)),0)</f>
        <v/>
      </c>
      <c r="E289" s="58">
        <f>IF(AND(BANCO_OK_1,B289&lt;=MESES),IF(OR(B289=1,D289&lt;&gt;D288),PMT(D289/1200,MESES-B289+1,-H288),E288),0)</f>
        <v/>
      </c>
      <c r="F289" s="58">
        <f>H288*D289/1200</f>
        <v/>
      </c>
      <c r="G289" s="58">
        <f>IF(AND(BANCO_OK_1,B289&lt;=MESES),IF(OR(B289=MESES,E289-F289&gt;H288),H288,E289-F289),0)</f>
        <v/>
      </c>
      <c r="H289" s="58">
        <f>H288-G289</f>
        <v/>
      </c>
      <c r="I289" s="58">
        <f>IF(AND(BANCO_OK_1,B289&lt;=MESES),F289+G289+VINC_MES_1,0)</f>
        <v/>
      </c>
      <c r="J289" s="52">
        <f>IF(AND(BANCO_OK_2,B289&lt;=MESES),IF(OR(OF_TIPO_2="Fija",C289&lt;=OF_ANIOS_INI_2),OF_TIN_2,MAX(0,EURIBOR+OF_DIF_2)),0)</f>
        <v/>
      </c>
      <c r="K289" s="58">
        <f>IF(AND(BANCO_OK_2,B289&lt;=MESES),IF(OR(B289=1,J289&lt;&gt;J288),PMT(J289/1200,MESES-B289+1,-N288),K288),0)</f>
        <v/>
      </c>
      <c r="L289" s="58">
        <f>N288*J289/1200</f>
        <v/>
      </c>
      <c r="M289" s="58">
        <f>IF(AND(BANCO_OK_2,B289&lt;=MESES),IF(OR(B289=MESES,K289-L289&gt;N288),N288,K289-L289),0)</f>
        <v/>
      </c>
      <c r="N289" s="58">
        <f>N288-M289</f>
        <v/>
      </c>
      <c r="O289" s="58">
        <f>IF(AND(BANCO_OK_2,B289&lt;=MESES),L289+M289+VINC_MES_2,0)</f>
        <v/>
      </c>
      <c r="P289" s="52">
        <f>IF(AND(BANCO_OK_3,B289&lt;=MESES),IF(OR(OF_TIPO_3="Fija",C289&lt;=OF_ANIOS_INI_3),OF_TIN_3,MAX(0,EURIBOR+OF_DIF_3)),0)</f>
        <v/>
      </c>
      <c r="Q289" s="58">
        <f>IF(AND(BANCO_OK_3,B289&lt;=MESES),IF(OR(B289=1,P289&lt;&gt;P288),PMT(P289/1200,MESES-B289+1,-T288),Q288),0)</f>
        <v/>
      </c>
      <c r="R289" s="58">
        <f>T288*P289/1200</f>
        <v/>
      </c>
      <c r="S289" s="58">
        <f>IF(AND(BANCO_OK_3,B289&lt;=MESES),IF(OR(B289=MESES,Q289-R289&gt;T288),T288,Q289-R289),0)</f>
        <v/>
      </c>
      <c r="T289" s="58">
        <f>T288-S289</f>
        <v/>
      </c>
      <c r="U289" s="58">
        <f>IF(AND(BANCO_OK_3,B289&lt;=MESES),R289+S289+VINC_MES_3,0)</f>
        <v/>
      </c>
      <c r="V289" s="52">
        <f>IF(AND(BANCO_OK_4,B289&lt;=MESES),IF(OR(OF_TIPO_4="Fija",C289&lt;=OF_ANIOS_INI_4),OF_TIN_4,MAX(0,EURIBOR+OF_DIF_4)),0)</f>
        <v/>
      </c>
      <c r="W289" s="58">
        <f>IF(AND(BANCO_OK_4,B289&lt;=MESES),IF(OR(B289=1,V289&lt;&gt;V288),PMT(V289/1200,MESES-B289+1,-Z288),W288),0)</f>
        <v/>
      </c>
      <c r="X289" s="58">
        <f>Z288*V289/1200</f>
        <v/>
      </c>
      <c r="Y289" s="58">
        <f>IF(AND(BANCO_OK_4,B289&lt;=MESES),IF(OR(B289=MESES,W289-X289&gt;Z288),Z288,W289-X289),0)</f>
        <v/>
      </c>
      <c r="Z289" s="58">
        <f>Z288-Y289</f>
        <v/>
      </c>
      <c r="AA289" s="58">
        <f>IF(AND(BANCO_OK_4,B289&lt;=MESES),X289+Y289+VINC_MES_4,0)</f>
        <v/>
      </c>
    </row>
    <row r="290">
      <c r="B290" s="56" t="n">
        <v>282</v>
      </c>
      <c r="C290" s="56">
        <f>ROUNDUP(B290/12,0)</f>
        <v/>
      </c>
      <c r="D290" s="52">
        <f>IF(AND(BANCO_OK_1,B290&lt;=MESES),IF(OR(OF_TIPO_1="Fija",C290&lt;=OF_ANIOS_INI_1),OF_TIN_1,MAX(0,EURIBOR+OF_DIF_1)),0)</f>
        <v/>
      </c>
      <c r="E290" s="58">
        <f>IF(AND(BANCO_OK_1,B290&lt;=MESES),IF(OR(B290=1,D290&lt;&gt;D289),PMT(D290/1200,MESES-B290+1,-H289),E289),0)</f>
        <v/>
      </c>
      <c r="F290" s="58">
        <f>H289*D290/1200</f>
        <v/>
      </c>
      <c r="G290" s="58">
        <f>IF(AND(BANCO_OK_1,B290&lt;=MESES),IF(OR(B290=MESES,E290-F290&gt;H289),H289,E290-F290),0)</f>
        <v/>
      </c>
      <c r="H290" s="58">
        <f>H289-G290</f>
        <v/>
      </c>
      <c r="I290" s="58">
        <f>IF(AND(BANCO_OK_1,B290&lt;=MESES),F290+G290+VINC_MES_1,0)</f>
        <v/>
      </c>
      <c r="J290" s="52">
        <f>IF(AND(BANCO_OK_2,B290&lt;=MESES),IF(OR(OF_TIPO_2="Fija",C290&lt;=OF_ANIOS_INI_2),OF_TIN_2,MAX(0,EURIBOR+OF_DIF_2)),0)</f>
        <v/>
      </c>
      <c r="K290" s="58">
        <f>IF(AND(BANCO_OK_2,B290&lt;=MESES),IF(OR(B290=1,J290&lt;&gt;J289),PMT(J290/1200,MESES-B290+1,-N289),K289),0)</f>
        <v/>
      </c>
      <c r="L290" s="58">
        <f>N289*J290/1200</f>
        <v/>
      </c>
      <c r="M290" s="58">
        <f>IF(AND(BANCO_OK_2,B290&lt;=MESES),IF(OR(B290=MESES,K290-L290&gt;N289),N289,K290-L290),0)</f>
        <v/>
      </c>
      <c r="N290" s="58">
        <f>N289-M290</f>
        <v/>
      </c>
      <c r="O290" s="58">
        <f>IF(AND(BANCO_OK_2,B290&lt;=MESES),L290+M290+VINC_MES_2,0)</f>
        <v/>
      </c>
      <c r="P290" s="52">
        <f>IF(AND(BANCO_OK_3,B290&lt;=MESES),IF(OR(OF_TIPO_3="Fija",C290&lt;=OF_ANIOS_INI_3),OF_TIN_3,MAX(0,EURIBOR+OF_DIF_3)),0)</f>
        <v/>
      </c>
      <c r="Q290" s="58">
        <f>IF(AND(BANCO_OK_3,B290&lt;=MESES),IF(OR(B290=1,P290&lt;&gt;P289),PMT(P290/1200,MESES-B290+1,-T289),Q289),0)</f>
        <v/>
      </c>
      <c r="R290" s="58">
        <f>T289*P290/1200</f>
        <v/>
      </c>
      <c r="S290" s="58">
        <f>IF(AND(BANCO_OK_3,B290&lt;=MESES),IF(OR(B290=MESES,Q290-R290&gt;T289),T289,Q290-R290),0)</f>
        <v/>
      </c>
      <c r="T290" s="58">
        <f>T289-S290</f>
        <v/>
      </c>
      <c r="U290" s="58">
        <f>IF(AND(BANCO_OK_3,B290&lt;=MESES),R290+S290+VINC_MES_3,0)</f>
        <v/>
      </c>
      <c r="V290" s="52">
        <f>IF(AND(BANCO_OK_4,B290&lt;=MESES),IF(OR(OF_TIPO_4="Fija",C290&lt;=OF_ANIOS_INI_4),OF_TIN_4,MAX(0,EURIBOR+OF_DIF_4)),0)</f>
        <v/>
      </c>
      <c r="W290" s="58">
        <f>IF(AND(BANCO_OK_4,B290&lt;=MESES),IF(OR(B290=1,V290&lt;&gt;V289),PMT(V290/1200,MESES-B290+1,-Z289),W289),0)</f>
        <v/>
      </c>
      <c r="X290" s="58">
        <f>Z289*V290/1200</f>
        <v/>
      </c>
      <c r="Y290" s="58">
        <f>IF(AND(BANCO_OK_4,B290&lt;=MESES),IF(OR(B290=MESES,W290-X290&gt;Z289),Z289,W290-X290),0)</f>
        <v/>
      </c>
      <c r="Z290" s="58">
        <f>Z289-Y290</f>
        <v/>
      </c>
      <c r="AA290" s="58">
        <f>IF(AND(BANCO_OK_4,B290&lt;=MESES),X290+Y290+VINC_MES_4,0)</f>
        <v/>
      </c>
    </row>
    <row r="291">
      <c r="B291" s="56" t="n">
        <v>283</v>
      </c>
      <c r="C291" s="56">
        <f>ROUNDUP(B291/12,0)</f>
        <v/>
      </c>
      <c r="D291" s="52">
        <f>IF(AND(BANCO_OK_1,B291&lt;=MESES),IF(OR(OF_TIPO_1="Fija",C291&lt;=OF_ANIOS_INI_1),OF_TIN_1,MAX(0,EURIBOR+OF_DIF_1)),0)</f>
        <v/>
      </c>
      <c r="E291" s="58">
        <f>IF(AND(BANCO_OK_1,B291&lt;=MESES),IF(OR(B291=1,D291&lt;&gt;D290),PMT(D291/1200,MESES-B291+1,-H290),E290),0)</f>
        <v/>
      </c>
      <c r="F291" s="58">
        <f>H290*D291/1200</f>
        <v/>
      </c>
      <c r="G291" s="58">
        <f>IF(AND(BANCO_OK_1,B291&lt;=MESES),IF(OR(B291=MESES,E291-F291&gt;H290),H290,E291-F291),0)</f>
        <v/>
      </c>
      <c r="H291" s="58">
        <f>H290-G291</f>
        <v/>
      </c>
      <c r="I291" s="58">
        <f>IF(AND(BANCO_OK_1,B291&lt;=MESES),F291+G291+VINC_MES_1,0)</f>
        <v/>
      </c>
      <c r="J291" s="52">
        <f>IF(AND(BANCO_OK_2,B291&lt;=MESES),IF(OR(OF_TIPO_2="Fija",C291&lt;=OF_ANIOS_INI_2),OF_TIN_2,MAX(0,EURIBOR+OF_DIF_2)),0)</f>
        <v/>
      </c>
      <c r="K291" s="58">
        <f>IF(AND(BANCO_OK_2,B291&lt;=MESES),IF(OR(B291=1,J291&lt;&gt;J290),PMT(J291/1200,MESES-B291+1,-N290),K290),0)</f>
        <v/>
      </c>
      <c r="L291" s="58">
        <f>N290*J291/1200</f>
        <v/>
      </c>
      <c r="M291" s="58">
        <f>IF(AND(BANCO_OK_2,B291&lt;=MESES),IF(OR(B291=MESES,K291-L291&gt;N290),N290,K291-L291),0)</f>
        <v/>
      </c>
      <c r="N291" s="58">
        <f>N290-M291</f>
        <v/>
      </c>
      <c r="O291" s="58">
        <f>IF(AND(BANCO_OK_2,B291&lt;=MESES),L291+M291+VINC_MES_2,0)</f>
        <v/>
      </c>
      <c r="P291" s="52">
        <f>IF(AND(BANCO_OK_3,B291&lt;=MESES),IF(OR(OF_TIPO_3="Fija",C291&lt;=OF_ANIOS_INI_3),OF_TIN_3,MAX(0,EURIBOR+OF_DIF_3)),0)</f>
        <v/>
      </c>
      <c r="Q291" s="58">
        <f>IF(AND(BANCO_OK_3,B291&lt;=MESES),IF(OR(B291=1,P291&lt;&gt;P290),PMT(P291/1200,MESES-B291+1,-T290),Q290),0)</f>
        <v/>
      </c>
      <c r="R291" s="58">
        <f>T290*P291/1200</f>
        <v/>
      </c>
      <c r="S291" s="58">
        <f>IF(AND(BANCO_OK_3,B291&lt;=MESES),IF(OR(B291=MESES,Q291-R291&gt;T290),T290,Q291-R291),0)</f>
        <v/>
      </c>
      <c r="T291" s="58">
        <f>T290-S291</f>
        <v/>
      </c>
      <c r="U291" s="58">
        <f>IF(AND(BANCO_OK_3,B291&lt;=MESES),R291+S291+VINC_MES_3,0)</f>
        <v/>
      </c>
      <c r="V291" s="52">
        <f>IF(AND(BANCO_OK_4,B291&lt;=MESES),IF(OR(OF_TIPO_4="Fija",C291&lt;=OF_ANIOS_INI_4),OF_TIN_4,MAX(0,EURIBOR+OF_DIF_4)),0)</f>
        <v/>
      </c>
      <c r="W291" s="58">
        <f>IF(AND(BANCO_OK_4,B291&lt;=MESES),IF(OR(B291=1,V291&lt;&gt;V290),PMT(V291/1200,MESES-B291+1,-Z290),W290),0)</f>
        <v/>
      </c>
      <c r="X291" s="58">
        <f>Z290*V291/1200</f>
        <v/>
      </c>
      <c r="Y291" s="58">
        <f>IF(AND(BANCO_OK_4,B291&lt;=MESES),IF(OR(B291=MESES,W291-X291&gt;Z290),Z290,W291-X291),0)</f>
        <v/>
      </c>
      <c r="Z291" s="58">
        <f>Z290-Y291</f>
        <v/>
      </c>
      <c r="AA291" s="58">
        <f>IF(AND(BANCO_OK_4,B291&lt;=MESES),X291+Y291+VINC_MES_4,0)</f>
        <v/>
      </c>
    </row>
    <row r="292">
      <c r="B292" s="56" t="n">
        <v>284</v>
      </c>
      <c r="C292" s="56">
        <f>ROUNDUP(B292/12,0)</f>
        <v/>
      </c>
      <c r="D292" s="52">
        <f>IF(AND(BANCO_OK_1,B292&lt;=MESES),IF(OR(OF_TIPO_1="Fija",C292&lt;=OF_ANIOS_INI_1),OF_TIN_1,MAX(0,EURIBOR+OF_DIF_1)),0)</f>
        <v/>
      </c>
      <c r="E292" s="58">
        <f>IF(AND(BANCO_OK_1,B292&lt;=MESES),IF(OR(B292=1,D292&lt;&gt;D291),PMT(D292/1200,MESES-B292+1,-H291),E291),0)</f>
        <v/>
      </c>
      <c r="F292" s="58">
        <f>H291*D292/1200</f>
        <v/>
      </c>
      <c r="G292" s="58">
        <f>IF(AND(BANCO_OK_1,B292&lt;=MESES),IF(OR(B292=MESES,E292-F292&gt;H291),H291,E292-F292),0)</f>
        <v/>
      </c>
      <c r="H292" s="58">
        <f>H291-G292</f>
        <v/>
      </c>
      <c r="I292" s="58">
        <f>IF(AND(BANCO_OK_1,B292&lt;=MESES),F292+G292+VINC_MES_1,0)</f>
        <v/>
      </c>
      <c r="J292" s="52">
        <f>IF(AND(BANCO_OK_2,B292&lt;=MESES),IF(OR(OF_TIPO_2="Fija",C292&lt;=OF_ANIOS_INI_2),OF_TIN_2,MAX(0,EURIBOR+OF_DIF_2)),0)</f>
        <v/>
      </c>
      <c r="K292" s="58">
        <f>IF(AND(BANCO_OK_2,B292&lt;=MESES),IF(OR(B292=1,J292&lt;&gt;J291),PMT(J292/1200,MESES-B292+1,-N291),K291),0)</f>
        <v/>
      </c>
      <c r="L292" s="58">
        <f>N291*J292/1200</f>
        <v/>
      </c>
      <c r="M292" s="58">
        <f>IF(AND(BANCO_OK_2,B292&lt;=MESES),IF(OR(B292=MESES,K292-L292&gt;N291),N291,K292-L292),0)</f>
        <v/>
      </c>
      <c r="N292" s="58">
        <f>N291-M292</f>
        <v/>
      </c>
      <c r="O292" s="58">
        <f>IF(AND(BANCO_OK_2,B292&lt;=MESES),L292+M292+VINC_MES_2,0)</f>
        <v/>
      </c>
      <c r="P292" s="52">
        <f>IF(AND(BANCO_OK_3,B292&lt;=MESES),IF(OR(OF_TIPO_3="Fija",C292&lt;=OF_ANIOS_INI_3),OF_TIN_3,MAX(0,EURIBOR+OF_DIF_3)),0)</f>
        <v/>
      </c>
      <c r="Q292" s="58">
        <f>IF(AND(BANCO_OK_3,B292&lt;=MESES),IF(OR(B292=1,P292&lt;&gt;P291),PMT(P292/1200,MESES-B292+1,-T291),Q291),0)</f>
        <v/>
      </c>
      <c r="R292" s="58">
        <f>T291*P292/1200</f>
        <v/>
      </c>
      <c r="S292" s="58">
        <f>IF(AND(BANCO_OK_3,B292&lt;=MESES),IF(OR(B292=MESES,Q292-R292&gt;T291),T291,Q292-R292),0)</f>
        <v/>
      </c>
      <c r="T292" s="58">
        <f>T291-S292</f>
        <v/>
      </c>
      <c r="U292" s="58">
        <f>IF(AND(BANCO_OK_3,B292&lt;=MESES),R292+S292+VINC_MES_3,0)</f>
        <v/>
      </c>
      <c r="V292" s="52">
        <f>IF(AND(BANCO_OK_4,B292&lt;=MESES),IF(OR(OF_TIPO_4="Fija",C292&lt;=OF_ANIOS_INI_4),OF_TIN_4,MAX(0,EURIBOR+OF_DIF_4)),0)</f>
        <v/>
      </c>
      <c r="W292" s="58">
        <f>IF(AND(BANCO_OK_4,B292&lt;=MESES),IF(OR(B292=1,V292&lt;&gt;V291),PMT(V292/1200,MESES-B292+1,-Z291),W291),0)</f>
        <v/>
      </c>
      <c r="X292" s="58">
        <f>Z291*V292/1200</f>
        <v/>
      </c>
      <c r="Y292" s="58">
        <f>IF(AND(BANCO_OK_4,B292&lt;=MESES),IF(OR(B292=MESES,W292-X292&gt;Z291),Z291,W292-X292),0)</f>
        <v/>
      </c>
      <c r="Z292" s="58">
        <f>Z291-Y292</f>
        <v/>
      </c>
      <c r="AA292" s="58">
        <f>IF(AND(BANCO_OK_4,B292&lt;=MESES),X292+Y292+VINC_MES_4,0)</f>
        <v/>
      </c>
    </row>
    <row r="293">
      <c r="B293" s="56" t="n">
        <v>285</v>
      </c>
      <c r="C293" s="56">
        <f>ROUNDUP(B293/12,0)</f>
        <v/>
      </c>
      <c r="D293" s="52">
        <f>IF(AND(BANCO_OK_1,B293&lt;=MESES),IF(OR(OF_TIPO_1="Fija",C293&lt;=OF_ANIOS_INI_1),OF_TIN_1,MAX(0,EURIBOR+OF_DIF_1)),0)</f>
        <v/>
      </c>
      <c r="E293" s="58">
        <f>IF(AND(BANCO_OK_1,B293&lt;=MESES),IF(OR(B293=1,D293&lt;&gt;D292),PMT(D293/1200,MESES-B293+1,-H292),E292),0)</f>
        <v/>
      </c>
      <c r="F293" s="58">
        <f>H292*D293/1200</f>
        <v/>
      </c>
      <c r="G293" s="58">
        <f>IF(AND(BANCO_OK_1,B293&lt;=MESES),IF(OR(B293=MESES,E293-F293&gt;H292),H292,E293-F293),0)</f>
        <v/>
      </c>
      <c r="H293" s="58">
        <f>H292-G293</f>
        <v/>
      </c>
      <c r="I293" s="58">
        <f>IF(AND(BANCO_OK_1,B293&lt;=MESES),F293+G293+VINC_MES_1,0)</f>
        <v/>
      </c>
      <c r="J293" s="52">
        <f>IF(AND(BANCO_OK_2,B293&lt;=MESES),IF(OR(OF_TIPO_2="Fija",C293&lt;=OF_ANIOS_INI_2),OF_TIN_2,MAX(0,EURIBOR+OF_DIF_2)),0)</f>
        <v/>
      </c>
      <c r="K293" s="58">
        <f>IF(AND(BANCO_OK_2,B293&lt;=MESES),IF(OR(B293=1,J293&lt;&gt;J292),PMT(J293/1200,MESES-B293+1,-N292),K292),0)</f>
        <v/>
      </c>
      <c r="L293" s="58">
        <f>N292*J293/1200</f>
        <v/>
      </c>
      <c r="M293" s="58">
        <f>IF(AND(BANCO_OK_2,B293&lt;=MESES),IF(OR(B293=MESES,K293-L293&gt;N292),N292,K293-L293),0)</f>
        <v/>
      </c>
      <c r="N293" s="58">
        <f>N292-M293</f>
        <v/>
      </c>
      <c r="O293" s="58">
        <f>IF(AND(BANCO_OK_2,B293&lt;=MESES),L293+M293+VINC_MES_2,0)</f>
        <v/>
      </c>
      <c r="P293" s="52">
        <f>IF(AND(BANCO_OK_3,B293&lt;=MESES),IF(OR(OF_TIPO_3="Fija",C293&lt;=OF_ANIOS_INI_3),OF_TIN_3,MAX(0,EURIBOR+OF_DIF_3)),0)</f>
        <v/>
      </c>
      <c r="Q293" s="58">
        <f>IF(AND(BANCO_OK_3,B293&lt;=MESES),IF(OR(B293=1,P293&lt;&gt;P292),PMT(P293/1200,MESES-B293+1,-T292),Q292),0)</f>
        <v/>
      </c>
      <c r="R293" s="58">
        <f>T292*P293/1200</f>
        <v/>
      </c>
      <c r="S293" s="58">
        <f>IF(AND(BANCO_OK_3,B293&lt;=MESES),IF(OR(B293=MESES,Q293-R293&gt;T292),T292,Q293-R293),0)</f>
        <v/>
      </c>
      <c r="T293" s="58">
        <f>T292-S293</f>
        <v/>
      </c>
      <c r="U293" s="58">
        <f>IF(AND(BANCO_OK_3,B293&lt;=MESES),R293+S293+VINC_MES_3,0)</f>
        <v/>
      </c>
      <c r="V293" s="52">
        <f>IF(AND(BANCO_OK_4,B293&lt;=MESES),IF(OR(OF_TIPO_4="Fija",C293&lt;=OF_ANIOS_INI_4),OF_TIN_4,MAX(0,EURIBOR+OF_DIF_4)),0)</f>
        <v/>
      </c>
      <c r="W293" s="58">
        <f>IF(AND(BANCO_OK_4,B293&lt;=MESES),IF(OR(B293=1,V293&lt;&gt;V292),PMT(V293/1200,MESES-B293+1,-Z292),W292),0)</f>
        <v/>
      </c>
      <c r="X293" s="58">
        <f>Z292*V293/1200</f>
        <v/>
      </c>
      <c r="Y293" s="58">
        <f>IF(AND(BANCO_OK_4,B293&lt;=MESES),IF(OR(B293=MESES,W293-X293&gt;Z292),Z292,W293-X293),0)</f>
        <v/>
      </c>
      <c r="Z293" s="58">
        <f>Z292-Y293</f>
        <v/>
      </c>
      <c r="AA293" s="58">
        <f>IF(AND(BANCO_OK_4,B293&lt;=MESES),X293+Y293+VINC_MES_4,0)</f>
        <v/>
      </c>
    </row>
    <row r="294">
      <c r="B294" s="56" t="n">
        <v>286</v>
      </c>
      <c r="C294" s="56">
        <f>ROUNDUP(B294/12,0)</f>
        <v/>
      </c>
      <c r="D294" s="52">
        <f>IF(AND(BANCO_OK_1,B294&lt;=MESES),IF(OR(OF_TIPO_1="Fija",C294&lt;=OF_ANIOS_INI_1),OF_TIN_1,MAX(0,EURIBOR+OF_DIF_1)),0)</f>
        <v/>
      </c>
      <c r="E294" s="58">
        <f>IF(AND(BANCO_OK_1,B294&lt;=MESES),IF(OR(B294=1,D294&lt;&gt;D293),PMT(D294/1200,MESES-B294+1,-H293),E293),0)</f>
        <v/>
      </c>
      <c r="F294" s="58">
        <f>H293*D294/1200</f>
        <v/>
      </c>
      <c r="G294" s="58">
        <f>IF(AND(BANCO_OK_1,B294&lt;=MESES),IF(OR(B294=MESES,E294-F294&gt;H293),H293,E294-F294),0)</f>
        <v/>
      </c>
      <c r="H294" s="58">
        <f>H293-G294</f>
        <v/>
      </c>
      <c r="I294" s="58">
        <f>IF(AND(BANCO_OK_1,B294&lt;=MESES),F294+G294+VINC_MES_1,0)</f>
        <v/>
      </c>
      <c r="J294" s="52">
        <f>IF(AND(BANCO_OK_2,B294&lt;=MESES),IF(OR(OF_TIPO_2="Fija",C294&lt;=OF_ANIOS_INI_2),OF_TIN_2,MAX(0,EURIBOR+OF_DIF_2)),0)</f>
        <v/>
      </c>
      <c r="K294" s="58">
        <f>IF(AND(BANCO_OK_2,B294&lt;=MESES),IF(OR(B294=1,J294&lt;&gt;J293),PMT(J294/1200,MESES-B294+1,-N293),K293),0)</f>
        <v/>
      </c>
      <c r="L294" s="58">
        <f>N293*J294/1200</f>
        <v/>
      </c>
      <c r="M294" s="58">
        <f>IF(AND(BANCO_OK_2,B294&lt;=MESES),IF(OR(B294=MESES,K294-L294&gt;N293),N293,K294-L294),0)</f>
        <v/>
      </c>
      <c r="N294" s="58">
        <f>N293-M294</f>
        <v/>
      </c>
      <c r="O294" s="58">
        <f>IF(AND(BANCO_OK_2,B294&lt;=MESES),L294+M294+VINC_MES_2,0)</f>
        <v/>
      </c>
      <c r="P294" s="52">
        <f>IF(AND(BANCO_OK_3,B294&lt;=MESES),IF(OR(OF_TIPO_3="Fija",C294&lt;=OF_ANIOS_INI_3),OF_TIN_3,MAX(0,EURIBOR+OF_DIF_3)),0)</f>
        <v/>
      </c>
      <c r="Q294" s="58">
        <f>IF(AND(BANCO_OK_3,B294&lt;=MESES),IF(OR(B294=1,P294&lt;&gt;P293),PMT(P294/1200,MESES-B294+1,-T293),Q293),0)</f>
        <v/>
      </c>
      <c r="R294" s="58">
        <f>T293*P294/1200</f>
        <v/>
      </c>
      <c r="S294" s="58">
        <f>IF(AND(BANCO_OK_3,B294&lt;=MESES),IF(OR(B294=MESES,Q294-R294&gt;T293),T293,Q294-R294),0)</f>
        <v/>
      </c>
      <c r="T294" s="58">
        <f>T293-S294</f>
        <v/>
      </c>
      <c r="U294" s="58">
        <f>IF(AND(BANCO_OK_3,B294&lt;=MESES),R294+S294+VINC_MES_3,0)</f>
        <v/>
      </c>
      <c r="V294" s="52">
        <f>IF(AND(BANCO_OK_4,B294&lt;=MESES),IF(OR(OF_TIPO_4="Fija",C294&lt;=OF_ANIOS_INI_4),OF_TIN_4,MAX(0,EURIBOR+OF_DIF_4)),0)</f>
        <v/>
      </c>
      <c r="W294" s="58">
        <f>IF(AND(BANCO_OK_4,B294&lt;=MESES),IF(OR(B294=1,V294&lt;&gt;V293),PMT(V294/1200,MESES-B294+1,-Z293),W293),0)</f>
        <v/>
      </c>
      <c r="X294" s="58">
        <f>Z293*V294/1200</f>
        <v/>
      </c>
      <c r="Y294" s="58">
        <f>IF(AND(BANCO_OK_4,B294&lt;=MESES),IF(OR(B294=MESES,W294-X294&gt;Z293),Z293,W294-X294),0)</f>
        <v/>
      </c>
      <c r="Z294" s="58">
        <f>Z293-Y294</f>
        <v/>
      </c>
      <c r="AA294" s="58">
        <f>IF(AND(BANCO_OK_4,B294&lt;=MESES),X294+Y294+VINC_MES_4,0)</f>
        <v/>
      </c>
    </row>
    <row r="295">
      <c r="B295" s="56" t="n">
        <v>287</v>
      </c>
      <c r="C295" s="56">
        <f>ROUNDUP(B295/12,0)</f>
        <v/>
      </c>
      <c r="D295" s="52">
        <f>IF(AND(BANCO_OK_1,B295&lt;=MESES),IF(OR(OF_TIPO_1="Fija",C295&lt;=OF_ANIOS_INI_1),OF_TIN_1,MAX(0,EURIBOR+OF_DIF_1)),0)</f>
        <v/>
      </c>
      <c r="E295" s="58">
        <f>IF(AND(BANCO_OK_1,B295&lt;=MESES),IF(OR(B295=1,D295&lt;&gt;D294),PMT(D295/1200,MESES-B295+1,-H294),E294),0)</f>
        <v/>
      </c>
      <c r="F295" s="58">
        <f>H294*D295/1200</f>
        <v/>
      </c>
      <c r="G295" s="58">
        <f>IF(AND(BANCO_OK_1,B295&lt;=MESES),IF(OR(B295=MESES,E295-F295&gt;H294),H294,E295-F295),0)</f>
        <v/>
      </c>
      <c r="H295" s="58">
        <f>H294-G295</f>
        <v/>
      </c>
      <c r="I295" s="58">
        <f>IF(AND(BANCO_OK_1,B295&lt;=MESES),F295+G295+VINC_MES_1,0)</f>
        <v/>
      </c>
      <c r="J295" s="52">
        <f>IF(AND(BANCO_OK_2,B295&lt;=MESES),IF(OR(OF_TIPO_2="Fija",C295&lt;=OF_ANIOS_INI_2),OF_TIN_2,MAX(0,EURIBOR+OF_DIF_2)),0)</f>
        <v/>
      </c>
      <c r="K295" s="58">
        <f>IF(AND(BANCO_OK_2,B295&lt;=MESES),IF(OR(B295=1,J295&lt;&gt;J294),PMT(J295/1200,MESES-B295+1,-N294),K294),0)</f>
        <v/>
      </c>
      <c r="L295" s="58">
        <f>N294*J295/1200</f>
        <v/>
      </c>
      <c r="M295" s="58">
        <f>IF(AND(BANCO_OK_2,B295&lt;=MESES),IF(OR(B295=MESES,K295-L295&gt;N294),N294,K295-L295),0)</f>
        <v/>
      </c>
      <c r="N295" s="58">
        <f>N294-M295</f>
        <v/>
      </c>
      <c r="O295" s="58">
        <f>IF(AND(BANCO_OK_2,B295&lt;=MESES),L295+M295+VINC_MES_2,0)</f>
        <v/>
      </c>
      <c r="P295" s="52">
        <f>IF(AND(BANCO_OK_3,B295&lt;=MESES),IF(OR(OF_TIPO_3="Fija",C295&lt;=OF_ANIOS_INI_3),OF_TIN_3,MAX(0,EURIBOR+OF_DIF_3)),0)</f>
        <v/>
      </c>
      <c r="Q295" s="58">
        <f>IF(AND(BANCO_OK_3,B295&lt;=MESES),IF(OR(B295=1,P295&lt;&gt;P294),PMT(P295/1200,MESES-B295+1,-T294),Q294),0)</f>
        <v/>
      </c>
      <c r="R295" s="58">
        <f>T294*P295/1200</f>
        <v/>
      </c>
      <c r="S295" s="58">
        <f>IF(AND(BANCO_OK_3,B295&lt;=MESES),IF(OR(B295=MESES,Q295-R295&gt;T294),T294,Q295-R295),0)</f>
        <v/>
      </c>
      <c r="T295" s="58">
        <f>T294-S295</f>
        <v/>
      </c>
      <c r="U295" s="58">
        <f>IF(AND(BANCO_OK_3,B295&lt;=MESES),R295+S295+VINC_MES_3,0)</f>
        <v/>
      </c>
      <c r="V295" s="52">
        <f>IF(AND(BANCO_OK_4,B295&lt;=MESES),IF(OR(OF_TIPO_4="Fija",C295&lt;=OF_ANIOS_INI_4),OF_TIN_4,MAX(0,EURIBOR+OF_DIF_4)),0)</f>
        <v/>
      </c>
      <c r="W295" s="58">
        <f>IF(AND(BANCO_OK_4,B295&lt;=MESES),IF(OR(B295=1,V295&lt;&gt;V294),PMT(V295/1200,MESES-B295+1,-Z294),W294),0)</f>
        <v/>
      </c>
      <c r="X295" s="58">
        <f>Z294*V295/1200</f>
        <v/>
      </c>
      <c r="Y295" s="58">
        <f>IF(AND(BANCO_OK_4,B295&lt;=MESES),IF(OR(B295=MESES,W295-X295&gt;Z294),Z294,W295-X295),0)</f>
        <v/>
      </c>
      <c r="Z295" s="58">
        <f>Z294-Y295</f>
        <v/>
      </c>
      <c r="AA295" s="58">
        <f>IF(AND(BANCO_OK_4,B295&lt;=MESES),X295+Y295+VINC_MES_4,0)</f>
        <v/>
      </c>
    </row>
    <row r="296">
      <c r="B296" s="56" t="n">
        <v>288</v>
      </c>
      <c r="C296" s="56">
        <f>ROUNDUP(B296/12,0)</f>
        <v/>
      </c>
      <c r="D296" s="52">
        <f>IF(AND(BANCO_OK_1,B296&lt;=MESES),IF(OR(OF_TIPO_1="Fija",C296&lt;=OF_ANIOS_INI_1),OF_TIN_1,MAX(0,EURIBOR+OF_DIF_1)),0)</f>
        <v/>
      </c>
      <c r="E296" s="58">
        <f>IF(AND(BANCO_OK_1,B296&lt;=MESES),IF(OR(B296=1,D296&lt;&gt;D295),PMT(D296/1200,MESES-B296+1,-H295),E295),0)</f>
        <v/>
      </c>
      <c r="F296" s="58">
        <f>H295*D296/1200</f>
        <v/>
      </c>
      <c r="G296" s="58">
        <f>IF(AND(BANCO_OK_1,B296&lt;=MESES),IF(OR(B296=MESES,E296-F296&gt;H295),H295,E296-F296),0)</f>
        <v/>
      </c>
      <c r="H296" s="58">
        <f>H295-G296</f>
        <v/>
      </c>
      <c r="I296" s="58">
        <f>IF(AND(BANCO_OK_1,B296&lt;=MESES),F296+G296+VINC_MES_1,0)</f>
        <v/>
      </c>
      <c r="J296" s="52">
        <f>IF(AND(BANCO_OK_2,B296&lt;=MESES),IF(OR(OF_TIPO_2="Fija",C296&lt;=OF_ANIOS_INI_2),OF_TIN_2,MAX(0,EURIBOR+OF_DIF_2)),0)</f>
        <v/>
      </c>
      <c r="K296" s="58">
        <f>IF(AND(BANCO_OK_2,B296&lt;=MESES),IF(OR(B296=1,J296&lt;&gt;J295),PMT(J296/1200,MESES-B296+1,-N295),K295),0)</f>
        <v/>
      </c>
      <c r="L296" s="58">
        <f>N295*J296/1200</f>
        <v/>
      </c>
      <c r="M296" s="58">
        <f>IF(AND(BANCO_OK_2,B296&lt;=MESES),IF(OR(B296=MESES,K296-L296&gt;N295),N295,K296-L296),0)</f>
        <v/>
      </c>
      <c r="N296" s="58">
        <f>N295-M296</f>
        <v/>
      </c>
      <c r="O296" s="58">
        <f>IF(AND(BANCO_OK_2,B296&lt;=MESES),L296+M296+VINC_MES_2,0)</f>
        <v/>
      </c>
      <c r="P296" s="52">
        <f>IF(AND(BANCO_OK_3,B296&lt;=MESES),IF(OR(OF_TIPO_3="Fija",C296&lt;=OF_ANIOS_INI_3),OF_TIN_3,MAX(0,EURIBOR+OF_DIF_3)),0)</f>
        <v/>
      </c>
      <c r="Q296" s="58">
        <f>IF(AND(BANCO_OK_3,B296&lt;=MESES),IF(OR(B296=1,P296&lt;&gt;P295),PMT(P296/1200,MESES-B296+1,-T295),Q295),0)</f>
        <v/>
      </c>
      <c r="R296" s="58">
        <f>T295*P296/1200</f>
        <v/>
      </c>
      <c r="S296" s="58">
        <f>IF(AND(BANCO_OK_3,B296&lt;=MESES),IF(OR(B296=MESES,Q296-R296&gt;T295),T295,Q296-R296),0)</f>
        <v/>
      </c>
      <c r="T296" s="58">
        <f>T295-S296</f>
        <v/>
      </c>
      <c r="U296" s="58">
        <f>IF(AND(BANCO_OK_3,B296&lt;=MESES),R296+S296+VINC_MES_3,0)</f>
        <v/>
      </c>
      <c r="V296" s="52">
        <f>IF(AND(BANCO_OK_4,B296&lt;=MESES),IF(OR(OF_TIPO_4="Fija",C296&lt;=OF_ANIOS_INI_4),OF_TIN_4,MAX(0,EURIBOR+OF_DIF_4)),0)</f>
        <v/>
      </c>
      <c r="W296" s="58">
        <f>IF(AND(BANCO_OK_4,B296&lt;=MESES),IF(OR(B296=1,V296&lt;&gt;V295),PMT(V296/1200,MESES-B296+1,-Z295),W295),0)</f>
        <v/>
      </c>
      <c r="X296" s="58">
        <f>Z295*V296/1200</f>
        <v/>
      </c>
      <c r="Y296" s="58">
        <f>IF(AND(BANCO_OK_4,B296&lt;=MESES),IF(OR(B296=MESES,W296-X296&gt;Z295),Z295,W296-X296),0)</f>
        <v/>
      </c>
      <c r="Z296" s="58">
        <f>Z295-Y296</f>
        <v/>
      </c>
      <c r="AA296" s="58">
        <f>IF(AND(BANCO_OK_4,B296&lt;=MESES),X296+Y296+VINC_MES_4,0)</f>
        <v/>
      </c>
    </row>
    <row r="297">
      <c r="B297" s="56" t="n">
        <v>289</v>
      </c>
      <c r="C297" s="56">
        <f>ROUNDUP(B297/12,0)</f>
        <v/>
      </c>
      <c r="D297" s="52">
        <f>IF(AND(BANCO_OK_1,B297&lt;=MESES),IF(OR(OF_TIPO_1="Fija",C297&lt;=OF_ANIOS_INI_1),OF_TIN_1,MAX(0,EURIBOR+OF_DIF_1)),0)</f>
        <v/>
      </c>
      <c r="E297" s="58">
        <f>IF(AND(BANCO_OK_1,B297&lt;=MESES),IF(OR(B297=1,D297&lt;&gt;D296),PMT(D297/1200,MESES-B297+1,-H296),E296),0)</f>
        <v/>
      </c>
      <c r="F297" s="58">
        <f>H296*D297/1200</f>
        <v/>
      </c>
      <c r="G297" s="58">
        <f>IF(AND(BANCO_OK_1,B297&lt;=MESES),IF(OR(B297=MESES,E297-F297&gt;H296),H296,E297-F297),0)</f>
        <v/>
      </c>
      <c r="H297" s="58">
        <f>H296-G297</f>
        <v/>
      </c>
      <c r="I297" s="58">
        <f>IF(AND(BANCO_OK_1,B297&lt;=MESES),F297+G297+VINC_MES_1,0)</f>
        <v/>
      </c>
      <c r="J297" s="52">
        <f>IF(AND(BANCO_OK_2,B297&lt;=MESES),IF(OR(OF_TIPO_2="Fija",C297&lt;=OF_ANIOS_INI_2),OF_TIN_2,MAX(0,EURIBOR+OF_DIF_2)),0)</f>
        <v/>
      </c>
      <c r="K297" s="58">
        <f>IF(AND(BANCO_OK_2,B297&lt;=MESES),IF(OR(B297=1,J297&lt;&gt;J296),PMT(J297/1200,MESES-B297+1,-N296),K296),0)</f>
        <v/>
      </c>
      <c r="L297" s="58">
        <f>N296*J297/1200</f>
        <v/>
      </c>
      <c r="M297" s="58">
        <f>IF(AND(BANCO_OK_2,B297&lt;=MESES),IF(OR(B297=MESES,K297-L297&gt;N296),N296,K297-L297),0)</f>
        <v/>
      </c>
      <c r="N297" s="58">
        <f>N296-M297</f>
        <v/>
      </c>
      <c r="O297" s="58">
        <f>IF(AND(BANCO_OK_2,B297&lt;=MESES),L297+M297+VINC_MES_2,0)</f>
        <v/>
      </c>
      <c r="P297" s="52">
        <f>IF(AND(BANCO_OK_3,B297&lt;=MESES),IF(OR(OF_TIPO_3="Fija",C297&lt;=OF_ANIOS_INI_3),OF_TIN_3,MAX(0,EURIBOR+OF_DIF_3)),0)</f>
        <v/>
      </c>
      <c r="Q297" s="58">
        <f>IF(AND(BANCO_OK_3,B297&lt;=MESES),IF(OR(B297=1,P297&lt;&gt;P296),PMT(P297/1200,MESES-B297+1,-T296),Q296),0)</f>
        <v/>
      </c>
      <c r="R297" s="58">
        <f>T296*P297/1200</f>
        <v/>
      </c>
      <c r="S297" s="58">
        <f>IF(AND(BANCO_OK_3,B297&lt;=MESES),IF(OR(B297=MESES,Q297-R297&gt;T296),T296,Q297-R297),0)</f>
        <v/>
      </c>
      <c r="T297" s="58">
        <f>T296-S297</f>
        <v/>
      </c>
      <c r="U297" s="58">
        <f>IF(AND(BANCO_OK_3,B297&lt;=MESES),R297+S297+VINC_MES_3,0)</f>
        <v/>
      </c>
      <c r="V297" s="52">
        <f>IF(AND(BANCO_OK_4,B297&lt;=MESES),IF(OR(OF_TIPO_4="Fija",C297&lt;=OF_ANIOS_INI_4),OF_TIN_4,MAX(0,EURIBOR+OF_DIF_4)),0)</f>
        <v/>
      </c>
      <c r="W297" s="58">
        <f>IF(AND(BANCO_OK_4,B297&lt;=MESES),IF(OR(B297=1,V297&lt;&gt;V296),PMT(V297/1200,MESES-B297+1,-Z296),W296),0)</f>
        <v/>
      </c>
      <c r="X297" s="58">
        <f>Z296*V297/1200</f>
        <v/>
      </c>
      <c r="Y297" s="58">
        <f>IF(AND(BANCO_OK_4,B297&lt;=MESES),IF(OR(B297=MESES,W297-X297&gt;Z296),Z296,W297-X297),0)</f>
        <v/>
      </c>
      <c r="Z297" s="58">
        <f>Z296-Y297</f>
        <v/>
      </c>
      <c r="AA297" s="58">
        <f>IF(AND(BANCO_OK_4,B297&lt;=MESES),X297+Y297+VINC_MES_4,0)</f>
        <v/>
      </c>
    </row>
    <row r="298">
      <c r="B298" s="56" t="n">
        <v>290</v>
      </c>
      <c r="C298" s="56">
        <f>ROUNDUP(B298/12,0)</f>
        <v/>
      </c>
      <c r="D298" s="52">
        <f>IF(AND(BANCO_OK_1,B298&lt;=MESES),IF(OR(OF_TIPO_1="Fija",C298&lt;=OF_ANIOS_INI_1),OF_TIN_1,MAX(0,EURIBOR+OF_DIF_1)),0)</f>
        <v/>
      </c>
      <c r="E298" s="58">
        <f>IF(AND(BANCO_OK_1,B298&lt;=MESES),IF(OR(B298=1,D298&lt;&gt;D297),PMT(D298/1200,MESES-B298+1,-H297),E297),0)</f>
        <v/>
      </c>
      <c r="F298" s="58">
        <f>H297*D298/1200</f>
        <v/>
      </c>
      <c r="G298" s="58">
        <f>IF(AND(BANCO_OK_1,B298&lt;=MESES),IF(OR(B298=MESES,E298-F298&gt;H297),H297,E298-F298),0)</f>
        <v/>
      </c>
      <c r="H298" s="58">
        <f>H297-G298</f>
        <v/>
      </c>
      <c r="I298" s="58">
        <f>IF(AND(BANCO_OK_1,B298&lt;=MESES),F298+G298+VINC_MES_1,0)</f>
        <v/>
      </c>
      <c r="J298" s="52">
        <f>IF(AND(BANCO_OK_2,B298&lt;=MESES),IF(OR(OF_TIPO_2="Fija",C298&lt;=OF_ANIOS_INI_2),OF_TIN_2,MAX(0,EURIBOR+OF_DIF_2)),0)</f>
        <v/>
      </c>
      <c r="K298" s="58">
        <f>IF(AND(BANCO_OK_2,B298&lt;=MESES),IF(OR(B298=1,J298&lt;&gt;J297),PMT(J298/1200,MESES-B298+1,-N297),K297),0)</f>
        <v/>
      </c>
      <c r="L298" s="58">
        <f>N297*J298/1200</f>
        <v/>
      </c>
      <c r="M298" s="58">
        <f>IF(AND(BANCO_OK_2,B298&lt;=MESES),IF(OR(B298=MESES,K298-L298&gt;N297),N297,K298-L298),0)</f>
        <v/>
      </c>
      <c r="N298" s="58">
        <f>N297-M298</f>
        <v/>
      </c>
      <c r="O298" s="58">
        <f>IF(AND(BANCO_OK_2,B298&lt;=MESES),L298+M298+VINC_MES_2,0)</f>
        <v/>
      </c>
      <c r="P298" s="52">
        <f>IF(AND(BANCO_OK_3,B298&lt;=MESES),IF(OR(OF_TIPO_3="Fija",C298&lt;=OF_ANIOS_INI_3),OF_TIN_3,MAX(0,EURIBOR+OF_DIF_3)),0)</f>
        <v/>
      </c>
      <c r="Q298" s="58">
        <f>IF(AND(BANCO_OK_3,B298&lt;=MESES),IF(OR(B298=1,P298&lt;&gt;P297),PMT(P298/1200,MESES-B298+1,-T297),Q297),0)</f>
        <v/>
      </c>
      <c r="R298" s="58">
        <f>T297*P298/1200</f>
        <v/>
      </c>
      <c r="S298" s="58">
        <f>IF(AND(BANCO_OK_3,B298&lt;=MESES),IF(OR(B298=MESES,Q298-R298&gt;T297),T297,Q298-R298),0)</f>
        <v/>
      </c>
      <c r="T298" s="58">
        <f>T297-S298</f>
        <v/>
      </c>
      <c r="U298" s="58">
        <f>IF(AND(BANCO_OK_3,B298&lt;=MESES),R298+S298+VINC_MES_3,0)</f>
        <v/>
      </c>
      <c r="V298" s="52">
        <f>IF(AND(BANCO_OK_4,B298&lt;=MESES),IF(OR(OF_TIPO_4="Fija",C298&lt;=OF_ANIOS_INI_4),OF_TIN_4,MAX(0,EURIBOR+OF_DIF_4)),0)</f>
        <v/>
      </c>
      <c r="W298" s="58">
        <f>IF(AND(BANCO_OK_4,B298&lt;=MESES),IF(OR(B298=1,V298&lt;&gt;V297),PMT(V298/1200,MESES-B298+1,-Z297),W297),0)</f>
        <v/>
      </c>
      <c r="X298" s="58">
        <f>Z297*V298/1200</f>
        <v/>
      </c>
      <c r="Y298" s="58">
        <f>IF(AND(BANCO_OK_4,B298&lt;=MESES),IF(OR(B298=MESES,W298-X298&gt;Z297),Z297,W298-X298),0)</f>
        <v/>
      </c>
      <c r="Z298" s="58">
        <f>Z297-Y298</f>
        <v/>
      </c>
      <c r="AA298" s="58">
        <f>IF(AND(BANCO_OK_4,B298&lt;=MESES),X298+Y298+VINC_MES_4,0)</f>
        <v/>
      </c>
    </row>
    <row r="299">
      <c r="B299" s="56" t="n">
        <v>291</v>
      </c>
      <c r="C299" s="56">
        <f>ROUNDUP(B299/12,0)</f>
        <v/>
      </c>
      <c r="D299" s="52">
        <f>IF(AND(BANCO_OK_1,B299&lt;=MESES),IF(OR(OF_TIPO_1="Fija",C299&lt;=OF_ANIOS_INI_1),OF_TIN_1,MAX(0,EURIBOR+OF_DIF_1)),0)</f>
        <v/>
      </c>
      <c r="E299" s="58">
        <f>IF(AND(BANCO_OK_1,B299&lt;=MESES),IF(OR(B299=1,D299&lt;&gt;D298),PMT(D299/1200,MESES-B299+1,-H298),E298),0)</f>
        <v/>
      </c>
      <c r="F299" s="58">
        <f>H298*D299/1200</f>
        <v/>
      </c>
      <c r="G299" s="58">
        <f>IF(AND(BANCO_OK_1,B299&lt;=MESES),IF(OR(B299=MESES,E299-F299&gt;H298),H298,E299-F299),0)</f>
        <v/>
      </c>
      <c r="H299" s="58">
        <f>H298-G299</f>
        <v/>
      </c>
      <c r="I299" s="58">
        <f>IF(AND(BANCO_OK_1,B299&lt;=MESES),F299+G299+VINC_MES_1,0)</f>
        <v/>
      </c>
      <c r="J299" s="52">
        <f>IF(AND(BANCO_OK_2,B299&lt;=MESES),IF(OR(OF_TIPO_2="Fija",C299&lt;=OF_ANIOS_INI_2),OF_TIN_2,MAX(0,EURIBOR+OF_DIF_2)),0)</f>
        <v/>
      </c>
      <c r="K299" s="58">
        <f>IF(AND(BANCO_OK_2,B299&lt;=MESES),IF(OR(B299=1,J299&lt;&gt;J298),PMT(J299/1200,MESES-B299+1,-N298),K298),0)</f>
        <v/>
      </c>
      <c r="L299" s="58">
        <f>N298*J299/1200</f>
        <v/>
      </c>
      <c r="M299" s="58">
        <f>IF(AND(BANCO_OK_2,B299&lt;=MESES),IF(OR(B299=MESES,K299-L299&gt;N298),N298,K299-L299),0)</f>
        <v/>
      </c>
      <c r="N299" s="58">
        <f>N298-M299</f>
        <v/>
      </c>
      <c r="O299" s="58">
        <f>IF(AND(BANCO_OK_2,B299&lt;=MESES),L299+M299+VINC_MES_2,0)</f>
        <v/>
      </c>
      <c r="P299" s="52">
        <f>IF(AND(BANCO_OK_3,B299&lt;=MESES),IF(OR(OF_TIPO_3="Fija",C299&lt;=OF_ANIOS_INI_3),OF_TIN_3,MAX(0,EURIBOR+OF_DIF_3)),0)</f>
        <v/>
      </c>
      <c r="Q299" s="58">
        <f>IF(AND(BANCO_OK_3,B299&lt;=MESES),IF(OR(B299=1,P299&lt;&gt;P298),PMT(P299/1200,MESES-B299+1,-T298),Q298),0)</f>
        <v/>
      </c>
      <c r="R299" s="58">
        <f>T298*P299/1200</f>
        <v/>
      </c>
      <c r="S299" s="58">
        <f>IF(AND(BANCO_OK_3,B299&lt;=MESES),IF(OR(B299=MESES,Q299-R299&gt;T298),T298,Q299-R299),0)</f>
        <v/>
      </c>
      <c r="T299" s="58">
        <f>T298-S299</f>
        <v/>
      </c>
      <c r="U299" s="58">
        <f>IF(AND(BANCO_OK_3,B299&lt;=MESES),R299+S299+VINC_MES_3,0)</f>
        <v/>
      </c>
      <c r="V299" s="52">
        <f>IF(AND(BANCO_OK_4,B299&lt;=MESES),IF(OR(OF_TIPO_4="Fija",C299&lt;=OF_ANIOS_INI_4),OF_TIN_4,MAX(0,EURIBOR+OF_DIF_4)),0)</f>
        <v/>
      </c>
      <c r="W299" s="58">
        <f>IF(AND(BANCO_OK_4,B299&lt;=MESES),IF(OR(B299=1,V299&lt;&gt;V298),PMT(V299/1200,MESES-B299+1,-Z298),W298),0)</f>
        <v/>
      </c>
      <c r="X299" s="58">
        <f>Z298*V299/1200</f>
        <v/>
      </c>
      <c r="Y299" s="58">
        <f>IF(AND(BANCO_OK_4,B299&lt;=MESES),IF(OR(B299=MESES,W299-X299&gt;Z298),Z298,W299-X299),0)</f>
        <v/>
      </c>
      <c r="Z299" s="58">
        <f>Z298-Y299</f>
        <v/>
      </c>
      <c r="AA299" s="58">
        <f>IF(AND(BANCO_OK_4,B299&lt;=MESES),X299+Y299+VINC_MES_4,0)</f>
        <v/>
      </c>
    </row>
    <row r="300">
      <c r="B300" s="56" t="n">
        <v>292</v>
      </c>
      <c r="C300" s="56">
        <f>ROUNDUP(B300/12,0)</f>
        <v/>
      </c>
      <c r="D300" s="52">
        <f>IF(AND(BANCO_OK_1,B300&lt;=MESES),IF(OR(OF_TIPO_1="Fija",C300&lt;=OF_ANIOS_INI_1),OF_TIN_1,MAX(0,EURIBOR+OF_DIF_1)),0)</f>
        <v/>
      </c>
      <c r="E300" s="58">
        <f>IF(AND(BANCO_OK_1,B300&lt;=MESES),IF(OR(B300=1,D300&lt;&gt;D299),PMT(D300/1200,MESES-B300+1,-H299),E299),0)</f>
        <v/>
      </c>
      <c r="F300" s="58">
        <f>H299*D300/1200</f>
        <v/>
      </c>
      <c r="G300" s="58">
        <f>IF(AND(BANCO_OK_1,B300&lt;=MESES),IF(OR(B300=MESES,E300-F300&gt;H299),H299,E300-F300),0)</f>
        <v/>
      </c>
      <c r="H300" s="58">
        <f>H299-G300</f>
        <v/>
      </c>
      <c r="I300" s="58">
        <f>IF(AND(BANCO_OK_1,B300&lt;=MESES),F300+G300+VINC_MES_1,0)</f>
        <v/>
      </c>
      <c r="J300" s="52">
        <f>IF(AND(BANCO_OK_2,B300&lt;=MESES),IF(OR(OF_TIPO_2="Fija",C300&lt;=OF_ANIOS_INI_2),OF_TIN_2,MAX(0,EURIBOR+OF_DIF_2)),0)</f>
        <v/>
      </c>
      <c r="K300" s="58">
        <f>IF(AND(BANCO_OK_2,B300&lt;=MESES),IF(OR(B300=1,J300&lt;&gt;J299),PMT(J300/1200,MESES-B300+1,-N299),K299),0)</f>
        <v/>
      </c>
      <c r="L300" s="58">
        <f>N299*J300/1200</f>
        <v/>
      </c>
      <c r="M300" s="58">
        <f>IF(AND(BANCO_OK_2,B300&lt;=MESES),IF(OR(B300=MESES,K300-L300&gt;N299),N299,K300-L300),0)</f>
        <v/>
      </c>
      <c r="N300" s="58">
        <f>N299-M300</f>
        <v/>
      </c>
      <c r="O300" s="58">
        <f>IF(AND(BANCO_OK_2,B300&lt;=MESES),L300+M300+VINC_MES_2,0)</f>
        <v/>
      </c>
      <c r="P300" s="52">
        <f>IF(AND(BANCO_OK_3,B300&lt;=MESES),IF(OR(OF_TIPO_3="Fija",C300&lt;=OF_ANIOS_INI_3),OF_TIN_3,MAX(0,EURIBOR+OF_DIF_3)),0)</f>
        <v/>
      </c>
      <c r="Q300" s="58">
        <f>IF(AND(BANCO_OK_3,B300&lt;=MESES),IF(OR(B300=1,P300&lt;&gt;P299),PMT(P300/1200,MESES-B300+1,-T299),Q299),0)</f>
        <v/>
      </c>
      <c r="R300" s="58">
        <f>T299*P300/1200</f>
        <v/>
      </c>
      <c r="S300" s="58">
        <f>IF(AND(BANCO_OK_3,B300&lt;=MESES),IF(OR(B300=MESES,Q300-R300&gt;T299),T299,Q300-R300),0)</f>
        <v/>
      </c>
      <c r="T300" s="58">
        <f>T299-S300</f>
        <v/>
      </c>
      <c r="U300" s="58">
        <f>IF(AND(BANCO_OK_3,B300&lt;=MESES),R300+S300+VINC_MES_3,0)</f>
        <v/>
      </c>
      <c r="V300" s="52">
        <f>IF(AND(BANCO_OK_4,B300&lt;=MESES),IF(OR(OF_TIPO_4="Fija",C300&lt;=OF_ANIOS_INI_4),OF_TIN_4,MAX(0,EURIBOR+OF_DIF_4)),0)</f>
        <v/>
      </c>
      <c r="W300" s="58">
        <f>IF(AND(BANCO_OK_4,B300&lt;=MESES),IF(OR(B300=1,V300&lt;&gt;V299),PMT(V300/1200,MESES-B300+1,-Z299),W299),0)</f>
        <v/>
      </c>
      <c r="X300" s="58">
        <f>Z299*V300/1200</f>
        <v/>
      </c>
      <c r="Y300" s="58">
        <f>IF(AND(BANCO_OK_4,B300&lt;=MESES),IF(OR(B300=MESES,W300-X300&gt;Z299),Z299,W300-X300),0)</f>
        <v/>
      </c>
      <c r="Z300" s="58">
        <f>Z299-Y300</f>
        <v/>
      </c>
      <c r="AA300" s="58">
        <f>IF(AND(BANCO_OK_4,B300&lt;=MESES),X300+Y300+VINC_MES_4,0)</f>
        <v/>
      </c>
    </row>
    <row r="301">
      <c r="B301" s="56" t="n">
        <v>293</v>
      </c>
      <c r="C301" s="56">
        <f>ROUNDUP(B301/12,0)</f>
        <v/>
      </c>
      <c r="D301" s="52">
        <f>IF(AND(BANCO_OK_1,B301&lt;=MESES),IF(OR(OF_TIPO_1="Fija",C301&lt;=OF_ANIOS_INI_1),OF_TIN_1,MAX(0,EURIBOR+OF_DIF_1)),0)</f>
        <v/>
      </c>
      <c r="E301" s="58">
        <f>IF(AND(BANCO_OK_1,B301&lt;=MESES),IF(OR(B301=1,D301&lt;&gt;D300),PMT(D301/1200,MESES-B301+1,-H300),E300),0)</f>
        <v/>
      </c>
      <c r="F301" s="58">
        <f>H300*D301/1200</f>
        <v/>
      </c>
      <c r="G301" s="58">
        <f>IF(AND(BANCO_OK_1,B301&lt;=MESES),IF(OR(B301=MESES,E301-F301&gt;H300),H300,E301-F301),0)</f>
        <v/>
      </c>
      <c r="H301" s="58">
        <f>H300-G301</f>
        <v/>
      </c>
      <c r="I301" s="58">
        <f>IF(AND(BANCO_OK_1,B301&lt;=MESES),F301+G301+VINC_MES_1,0)</f>
        <v/>
      </c>
      <c r="J301" s="52">
        <f>IF(AND(BANCO_OK_2,B301&lt;=MESES),IF(OR(OF_TIPO_2="Fija",C301&lt;=OF_ANIOS_INI_2),OF_TIN_2,MAX(0,EURIBOR+OF_DIF_2)),0)</f>
        <v/>
      </c>
      <c r="K301" s="58">
        <f>IF(AND(BANCO_OK_2,B301&lt;=MESES),IF(OR(B301=1,J301&lt;&gt;J300),PMT(J301/1200,MESES-B301+1,-N300),K300),0)</f>
        <v/>
      </c>
      <c r="L301" s="58">
        <f>N300*J301/1200</f>
        <v/>
      </c>
      <c r="M301" s="58">
        <f>IF(AND(BANCO_OK_2,B301&lt;=MESES),IF(OR(B301=MESES,K301-L301&gt;N300),N300,K301-L301),0)</f>
        <v/>
      </c>
      <c r="N301" s="58">
        <f>N300-M301</f>
        <v/>
      </c>
      <c r="O301" s="58">
        <f>IF(AND(BANCO_OK_2,B301&lt;=MESES),L301+M301+VINC_MES_2,0)</f>
        <v/>
      </c>
      <c r="P301" s="52">
        <f>IF(AND(BANCO_OK_3,B301&lt;=MESES),IF(OR(OF_TIPO_3="Fija",C301&lt;=OF_ANIOS_INI_3),OF_TIN_3,MAX(0,EURIBOR+OF_DIF_3)),0)</f>
        <v/>
      </c>
      <c r="Q301" s="58">
        <f>IF(AND(BANCO_OK_3,B301&lt;=MESES),IF(OR(B301=1,P301&lt;&gt;P300),PMT(P301/1200,MESES-B301+1,-T300),Q300),0)</f>
        <v/>
      </c>
      <c r="R301" s="58">
        <f>T300*P301/1200</f>
        <v/>
      </c>
      <c r="S301" s="58">
        <f>IF(AND(BANCO_OK_3,B301&lt;=MESES),IF(OR(B301=MESES,Q301-R301&gt;T300),T300,Q301-R301),0)</f>
        <v/>
      </c>
      <c r="T301" s="58">
        <f>T300-S301</f>
        <v/>
      </c>
      <c r="U301" s="58">
        <f>IF(AND(BANCO_OK_3,B301&lt;=MESES),R301+S301+VINC_MES_3,0)</f>
        <v/>
      </c>
      <c r="V301" s="52">
        <f>IF(AND(BANCO_OK_4,B301&lt;=MESES),IF(OR(OF_TIPO_4="Fija",C301&lt;=OF_ANIOS_INI_4),OF_TIN_4,MAX(0,EURIBOR+OF_DIF_4)),0)</f>
        <v/>
      </c>
      <c r="W301" s="58">
        <f>IF(AND(BANCO_OK_4,B301&lt;=MESES),IF(OR(B301=1,V301&lt;&gt;V300),PMT(V301/1200,MESES-B301+1,-Z300),W300),0)</f>
        <v/>
      </c>
      <c r="X301" s="58">
        <f>Z300*V301/1200</f>
        <v/>
      </c>
      <c r="Y301" s="58">
        <f>IF(AND(BANCO_OK_4,B301&lt;=MESES),IF(OR(B301=MESES,W301-X301&gt;Z300),Z300,W301-X301),0)</f>
        <v/>
      </c>
      <c r="Z301" s="58">
        <f>Z300-Y301</f>
        <v/>
      </c>
      <c r="AA301" s="58">
        <f>IF(AND(BANCO_OK_4,B301&lt;=MESES),X301+Y301+VINC_MES_4,0)</f>
        <v/>
      </c>
    </row>
    <row r="302">
      <c r="B302" s="56" t="n">
        <v>294</v>
      </c>
      <c r="C302" s="56">
        <f>ROUNDUP(B302/12,0)</f>
        <v/>
      </c>
      <c r="D302" s="52">
        <f>IF(AND(BANCO_OK_1,B302&lt;=MESES),IF(OR(OF_TIPO_1="Fija",C302&lt;=OF_ANIOS_INI_1),OF_TIN_1,MAX(0,EURIBOR+OF_DIF_1)),0)</f>
        <v/>
      </c>
      <c r="E302" s="58">
        <f>IF(AND(BANCO_OK_1,B302&lt;=MESES),IF(OR(B302=1,D302&lt;&gt;D301),PMT(D302/1200,MESES-B302+1,-H301),E301),0)</f>
        <v/>
      </c>
      <c r="F302" s="58">
        <f>H301*D302/1200</f>
        <v/>
      </c>
      <c r="G302" s="58">
        <f>IF(AND(BANCO_OK_1,B302&lt;=MESES),IF(OR(B302=MESES,E302-F302&gt;H301),H301,E302-F302),0)</f>
        <v/>
      </c>
      <c r="H302" s="58">
        <f>H301-G302</f>
        <v/>
      </c>
      <c r="I302" s="58">
        <f>IF(AND(BANCO_OK_1,B302&lt;=MESES),F302+G302+VINC_MES_1,0)</f>
        <v/>
      </c>
      <c r="J302" s="52">
        <f>IF(AND(BANCO_OK_2,B302&lt;=MESES),IF(OR(OF_TIPO_2="Fija",C302&lt;=OF_ANIOS_INI_2),OF_TIN_2,MAX(0,EURIBOR+OF_DIF_2)),0)</f>
        <v/>
      </c>
      <c r="K302" s="58">
        <f>IF(AND(BANCO_OK_2,B302&lt;=MESES),IF(OR(B302=1,J302&lt;&gt;J301),PMT(J302/1200,MESES-B302+1,-N301),K301),0)</f>
        <v/>
      </c>
      <c r="L302" s="58">
        <f>N301*J302/1200</f>
        <v/>
      </c>
      <c r="M302" s="58">
        <f>IF(AND(BANCO_OK_2,B302&lt;=MESES),IF(OR(B302=MESES,K302-L302&gt;N301),N301,K302-L302),0)</f>
        <v/>
      </c>
      <c r="N302" s="58">
        <f>N301-M302</f>
        <v/>
      </c>
      <c r="O302" s="58">
        <f>IF(AND(BANCO_OK_2,B302&lt;=MESES),L302+M302+VINC_MES_2,0)</f>
        <v/>
      </c>
      <c r="P302" s="52">
        <f>IF(AND(BANCO_OK_3,B302&lt;=MESES),IF(OR(OF_TIPO_3="Fija",C302&lt;=OF_ANIOS_INI_3),OF_TIN_3,MAX(0,EURIBOR+OF_DIF_3)),0)</f>
        <v/>
      </c>
      <c r="Q302" s="58">
        <f>IF(AND(BANCO_OK_3,B302&lt;=MESES),IF(OR(B302=1,P302&lt;&gt;P301),PMT(P302/1200,MESES-B302+1,-T301),Q301),0)</f>
        <v/>
      </c>
      <c r="R302" s="58">
        <f>T301*P302/1200</f>
        <v/>
      </c>
      <c r="S302" s="58">
        <f>IF(AND(BANCO_OK_3,B302&lt;=MESES),IF(OR(B302=MESES,Q302-R302&gt;T301),T301,Q302-R302),0)</f>
        <v/>
      </c>
      <c r="T302" s="58">
        <f>T301-S302</f>
        <v/>
      </c>
      <c r="U302" s="58">
        <f>IF(AND(BANCO_OK_3,B302&lt;=MESES),R302+S302+VINC_MES_3,0)</f>
        <v/>
      </c>
      <c r="V302" s="52">
        <f>IF(AND(BANCO_OK_4,B302&lt;=MESES),IF(OR(OF_TIPO_4="Fija",C302&lt;=OF_ANIOS_INI_4),OF_TIN_4,MAX(0,EURIBOR+OF_DIF_4)),0)</f>
        <v/>
      </c>
      <c r="W302" s="58">
        <f>IF(AND(BANCO_OK_4,B302&lt;=MESES),IF(OR(B302=1,V302&lt;&gt;V301),PMT(V302/1200,MESES-B302+1,-Z301),W301),0)</f>
        <v/>
      </c>
      <c r="X302" s="58">
        <f>Z301*V302/1200</f>
        <v/>
      </c>
      <c r="Y302" s="58">
        <f>IF(AND(BANCO_OK_4,B302&lt;=MESES),IF(OR(B302=MESES,W302-X302&gt;Z301),Z301,W302-X302),0)</f>
        <v/>
      </c>
      <c r="Z302" s="58">
        <f>Z301-Y302</f>
        <v/>
      </c>
      <c r="AA302" s="58">
        <f>IF(AND(BANCO_OK_4,B302&lt;=MESES),X302+Y302+VINC_MES_4,0)</f>
        <v/>
      </c>
    </row>
    <row r="303">
      <c r="B303" s="56" t="n">
        <v>295</v>
      </c>
      <c r="C303" s="56">
        <f>ROUNDUP(B303/12,0)</f>
        <v/>
      </c>
      <c r="D303" s="52">
        <f>IF(AND(BANCO_OK_1,B303&lt;=MESES),IF(OR(OF_TIPO_1="Fija",C303&lt;=OF_ANIOS_INI_1),OF_TIN_1,MAX(0,EURIBOR+OF_DIF_1)),0)</f>
        <v/>
      </c>
      <c r="E303" s="58">
        <f>IF(AND(BANCO_OK_1,B303&lt;=MESES),IF(OR(B303=1,D303&lt;&gt;D302),PMT(D303/1200,MESES-B303+1,-H302),E302),0)</f>
        <v/>
      </c>
      <c r="F303" s="58">
        <f>H302*D303/1200</f>
        <v/>
      </c>
      <c r="G303" s="58">
        <f>IF(AND(BANCO_OK_1,B303&lt;=MESES),IF(OR(B303=MESES,E303-F303&gt;H302),H302,E303-F303),0)</f>
        <v/>
      </c>
      <c r="H303" s="58">
        <f>H302-G303</f>
        <v/>
      </c>
      <c r="I303" s="58">
        <f>IF(AND(BANCO_OK_1,B303&lt;=MESES),F303+G303+VINC_MES_1,0)</f>
        <v/>
      </c>
      <c r="J303" s="52">
        <f>IF(AND(BANCO_OK_2,B303&lt;=MESES),IF(OR(OF_TIPO_2="Fija",C303&lt;=OF_ANIOS_INI_2),OF_TIN_2,MAX(0,EURIBOR+OF_DIF_2)),0)</f>
        <v/>
      </c>
      <c r="K303" s="58">
        <f>IF(AND(BANCO_OK_2,B303&lt;=MESES),IF(OR(B303=1,J303&lt;&gt;J302),PMT(J303/1200,MESES-B303+1,-N302),K302),0)</f>
        <v/>
      </c>
      <c r="L303" s="58">
        <f>N302*J303/1200</f>
        <v/>
      </c>
      <c r="M303" s="58">
        <f>IF(AND(BANCO_OK_2,B303&lt;=MESES),IF(OR(B303=MESES,K303-L303&gt;N302),N302,K303-L303),0)</f>
        <v/>
      </c>
      <c r="N303" s="58">
        <f>N302-M303</f>
        <v/>
      </c>
      <c r="O303" s="58">
        <f>IF(AND(BANCO_OK_2,B303&lt;=MESES),L303+M303+VINC_MES_2,0)</f>
        <v/>
      </c>
      <c r="P303" s="52">
        <f>IF(AND(BANCO_OK_3,B303&lt;=MESES),IF(OR(OF_TIPO_3="Fija",C303&lt;=OF_ANIOS_INI_3),OF_TIN_3,MAX(0,EURIBOR+OF_DIF_3)),0)</f>
        <v/>
      </c>
      <c r="Q303" s="58">
        <f>IF(AND(BANCO_OK_3,B303&lt;=MESES),IF(OR(B303=1,P303&lt;&gt;P302),PMT(P303/1200,MESES-B303+1,-T302),Q302),0)</f>
        <v/>
      </c>
      <c r="R303" s="58">
        <f>T302*P303/1200</f>
        <v/>
      </c>
      <c r="S303" s="58">
        <f>IF(AND(BANCO_OK_3,B303&lt;=MESES),IF(OR(B303=MESES,Q303-R303&gt;T302),T302,Q303-R303),0)</f>
        <v/>
      </c>
      <c r="T303" s="58">
        <f>T302-S303</f>
        <v/>
      </c>
      <c r="U303" s="58">
        <f>IF(AND(BANCO_OK_3,B303&lt;=MESES),R303+S303+VINC_MES_3,0)</f>
        <v/>
      </c>
      <c r="V303" s="52">
        <f>IF(AND(BANCO_OK_4,B303&lt;=MESES),IF(OR(OF_TIPO_4="Fija",C303&lt;=OF_ANIOS_INI_4),OF_TIN_4,MAX(0,EURIBOR+OF_DIF_4)),0)</f>
        <v/>
      </c>
      <c r="W303" s="58">
        <f>IF(AND(BANCO_OK_4,B303&lt;=MESES),IF(OR(B303=1,V303&lt;&gt;V302),PMT(V303/1200,MESES-B303+1,-Z302),W302),0)</f>
        <v/>
      </c>
      <c r="X303" s="58">
        <f>Z302*V303/1200</f>
        <v/>
      </c>
      <c r="Y303" s="58">
        <f>IF(AND(BANCO_OK_4,B303&lt;=MESES),IF(OR(B303=MESES,W303-X303&gt;Z302),Z302,W303-X303),0)</f>
        <v/>
      </c>
      <c r="Z303" s="58">
        <f>Z302-Y303</f>
        <v/>
      </c>
      <c r="AA303" s="58">
        <f>IF(AND(BANCO_OK_4,B303&lt;=MESES),X303+Y303+VINC_MES_4,0)</f>
        <v/>
      </c>
    </row>
    <row r="304">
      <c r="B304" s="56" t="n">
        <v>296</v>
      </c>
      <c r="C304" s="56">
        <f>ROUNDUP(B304/12,0)</f>
        <v/>
      </c>
      <c r="D304" s="52">
        <f>IF(AND(BANCO_OK_1,B304&lt;=MESES),IF(OR(OF_TIPO_1="Fija",C304&lt;=OF_ANIOS_INI_1),OF_TIN_1,MAX(0,EURIBOR+OF_DIF_1)),0)</f>
        <v/>
      </c>
      <c r="E304" s="58">
        <f>IF(AND(BANCO_OK_1,B304&lt;=MESES),IF(OR(B304=1,D304&lt;&gt;D303),PMT(D304/1200,MESES-B304+1,-H303),E303),0)</f>
        <v/>
      </c>
      <c r="F304" s="58">
        <f>H303*D304/1200</f>
        <v/>
      </c>
      <c r="G304" s="58">
        <f>IF(AND(BANCO_OK_1,B304&lt;=MESES),IF(OR(B304=MESES,E304-F304&gt;H303),H303,E304-F304),0)</f>
        <v/>
      </c>
      <c r="H304" s="58">
        <f>H303-G304</f>
        <v/>
      </c>
      <c r="I304" s="58">
        <f>IF(AND(BANCO_OK_1,B304&lt;=MESES),F304+G304+VINC_MES_1,0)</f>
        <v/>
      </c>
      <c r="J304" s="52">
        <f>IF(AND(BANCO_OK_2,B304&lt;=MESES),IF(OR(OF_TIPO_2="Fija",C304&lt;=OF_ANIOS_INI_2),OF_TIN_2,MAX(0,EURIBOR+OF_DIF_2)),0)</f>
        <v/>
      </c>
      <c r="K304" s="58">
        <f>IF(AND(BANCO_OK_2,B304&lt;=MESES),IF(OR(B304=1,J304&lt;&gt;J303),PMT(J304/1200,MESES-B304+1,-N303),K303),0)</f>
        <v/>
      </c>
      <c r="L304" s="58">
        <f>N303*J304/1200</f>
        <v/>
      </c>
      <c r="M304" s="58">
        <f>IF(AND(BANCO_OK_2,B304&lt;=MESES),IF(OR(B304=MESES,K304-L304&gt;N303),N303,K304-L304),0)</f>
        <v/>
      </c>
      <c r="N304" s="58">
        <f>N303-M304</f>
        <v/>
      </c>
      <c r="O304" s="58">
        <f>IF(AND(BANCO_OK_2,B304&lt;=MESES),L304+M304+VINC_MES_2,0)</f>
        <v/>
      </c>
      <c r="P304" s="52">
        <f>IF(AND(BANCO_OK_3,B304&lt;=MESES),IF(OR(OF_TIPO_3="Fija",C304&lt;=OF_ANIOS_INI_3),OF_TIN_3,MAX(0,EURIBOR+OF_DIF_3)),0)</f>
        <v/>
      </c>
      <c r="Q304" s="58">
        <f>IF(AND(BANCO_OK_3,B304&lt;=MESES),IF(OR(B304=1,P304&lt;&gt;P303),PMT(P304/1200,MESES-B304+1,-T303),Q303),0)</f>
        <v/>
      </c>
      <c r="R304" s="58">
        <f>T303*P304/1200</f>
        <v/>
      </c>
      <c r="S304" s="58">
        <f>IF(AND(BANCO_OK_3,B304&lt;=MESES),IF(OR(B304=MESES,Q304-R304&gt;T303),T303,Q304-R304),0)</f>
        <v/>
      </c>
      <c r="T304" s="58">
        <f>T303-S304</f>
        <v/>
      </c>
      <c r="U304" s="58">
        <f>IF(AND(BANCO_OK_3,B304&lt;=MESES),R304+S304+VINC_MES_3,0)</f>
        <v/>
      </c>
      <c r="V304" s="52">
        <f>IF(AND(BANCO_OK_4,B304&lt;=MESES),IF(OR(OF_TIPO_4="Fija",C304&lt;=OF_ANIOS_INI_4),OF_TIN_4,MAX(0,EURIBOR+OF_DIF_4)),0)</f>
        <v/>
      </c>
      <c r="W304" s="58">
        <f>IF(AND(BANCO_OK_4,B304&lt;=MESES),IF(OR(B304=1,V304&lt;&gt;V303),PMT(V304/1200,MESES-B304+1,-Z303),W303),0)</f>
        <v/>
      </c>
      <c r="X304" s="58">
        <f>Z303*V304/1200</f>
        <v/>
      </c>
      <c r="Y304" s="58">
        <f>IF(AND(BANCO_OK_4,B304&lt;=MESES),IF(OR(B304=MESES,W304-X304&gt;Z303),Z303,W304-X304),0)</f>
        <v/>
      </c>
      <c r="Z304" s="58">
        <f>Z303-Y304</f>
        <v/>
      </c>
      <c r="AA304" s="58">
        <f>IF(AND(BANCO_OK_4,B304&lt;=MESES),X304+Y304+VINC_MES_4,0)</f>
        <v/>
      </c>
    </row>
    <row r="305">
      <c r="B305" s="56" t="n">
        <v>297</v>
      </c>
      <c r="C305" s="56">
        <f>ROUNDUP(B305/12,0)</f>
        <v/>
      </c>
      <c r="D305" s="52">
        <f>IF(AND(BANCO_OK_1,B305&lt;=MESES),IF(OR(OF_TIPO_1="Fija",C305&lt;=OF_ANIOS_INI_1),OF_TIN_1,MAX(0,EURIBOR+OF_DIF_1)),0)</f>
        <v/>
      </c>
      <c r="E305" s="58">
        <f>IF(AND(BANCO_OK_1,B305&lt;=MESES),IF(OR(B305=1,D305&lt;&gt;D304),PMT(D305/1200,MESES-B305+1,-H304),E304),0)</f>
        <v/>
      </c>
      <c r="F305" s="58">
        <f>H304*D305/1200</f>
        <v/>
      </c>
      <c r="G305" s="58">
        <f>IF(AND(BANCO_OK_1,B305&lt;=MESES),IF(OR(B305=MESES,E305-F305&gt;H304),H304,E305-F305),0)</f>
        <v/>
      </c>
      <c r="H305" s="58">
        <f>H304-G305</f>
        <v/>
      </c>
      <c r="I305" s="58">
        <f>IF(AND(BANCO_OK_1,B305&lt;=MESES),F305+G305+VINC_MES_1,0)</f>
        <v/>
      </c>
      <c r="J305" s="52">
        <f>IF(AND(BANCO_OK_2,B305&lt;=MESES),IF(OR(OF_TIPO_2="Fija",C305&lt;=OF_ANIOS_INI_2),OF_TIN_2,MAX(0,EURIBOR+OF_DIF_2)),0)</f>
        <v/>
      </c>
      <c r="K305" s="58">
        <f>IF(AND(BANCO_OK_2,B305&lt;=MESES),IF(OR(B305=1,J305&lt;&gt;J304),PMT(J305/1200,MESES-B305+1,-N304),K304),0)</f>
        <v/>
      </c>
      <c r="L305" s="58">
        <f>N304*J305/1200</f>
        <v/>
      </c>
      <c r="M305" s="58">
        <f>IF(AND(BANCO_OK_2,B305&lt;=MESES),IF(OR(B305=MESES,K305-L305&gt;N304),N304,K305-L305),0)</f>
        <v/>
      </c>
      <c r="N305" s="58">
        <f>N304-M305</f>
        <v/>
      </c>
      <c r="O305" s="58">
        <f>IF(AND(BANCO_OK_2,B305&lt;=MESES),L305+M305+VINC_MES_2,0)</f>
        <v/>
      </c>
      <c r="P305" s="52">
        <f>IF(AND(BANCO_OK_3,B305&lt;=MESES),IF(OR(OF_TIPO_3="Fija",C305&lt;=OF_ANIOS_INI_3),OF_TIN_3,MAX(0,EURIBOR+OF_DIF_3)),0)</f>
        <v/>
      </c>
      <c r="Q305" s="58">
        <f>IF(AND(BANCO_OK_3,B305&lt;=MESES),IF(OR(B305=1,P305&lt;&gt;P304),PMT(P305/1200,MESES-B305+1,-T304),Q304),0)</f>
        <v/>
      </c>
      <c r="R305" s="58">
        <f>T304*P305/1200</f>
        <v/>
      </c>
      <c r="S305" s="58">
        <f>IF(AND(BANCO_OK_3,B305&lt;=MESES),IF(OR(B305=MESES,Q305-R305&gt;T304),T304,Q305-R305),0)</f>
        <v/>
      </c>
      <c r="T305" s="58">
        <f>T304-S305</f>
        <v/>
      </c>
      <c r="U305" s="58">
        <f>IF(AND(BANCO_OK_3,B305&lt;=MESES),R305+S305+VINC_MES_3,0)</f>
        <v/>
      </c>
      <c r="V305" s="52">
        <f>IF(AND(BANCO_OK_4,B305&lt;=MESES),IF(OR(OF_TIPO_4="Fija",C305&lt;=OF_ANIOS_INI_4),OF_TIN_4,MAX(0,EURIBOR+OF_DIF_4)),0)</f>
        <v/>
      </c>
      <c r="W305" s="58">
        <f>IF(AND(BANCO_OK_4,B305&lt;=MESES),IF(OR(B305=1,V305&lt;&gt;V304),PMT(V305/1200,MESES-B305+1,-Z304),W304),0)</f>
        <v/>
      </c>
      <c r="X305" s="58">
        <f>Z304*V305/1200</f>
        <v/>
      </c>
      <c r="Y305" s="58">
        <f>IF(AND(BANCO_OK_4,B305&lt;=MESES),IF(OR(B305=MESES,W305-X305&gt;Z304),Z304,W305-X305),0)</f>
        <v/>
      </c>
      <c r="Z305" s="58">
        <f>Z304-Y305</f>
        <v/>
      </c>
      <c r="AA305" s="58">
        <f>IF(AND(BANCO_OK_4,B305&lt;=MESES),X305+Y305+VINC_MES_4,0)</f>
        <v/>
      </c>
    </row>
    <row r="306">
      <c r="B306" s="56" t="n">
        <v>298</v>
      </c>
      <c r="C306" s="56">
        <f>ROUNDUP(B306/12,0)</f>
        <v/>
      </c>
      <c r="D306" s="52">
        <f>IF(AND(BANCO_OK_1,B306&lt;=MESES),IF(OR(OF_TIPO_1="Fija",C306&lt;=OF_ANIOS_INI_1),OF_TIN_1,MAX(0,EURIBOR+OF_DIF_1)),0)</f>
        <v/>
      </c>
      <c r="E306" s="58">
        <f>IF(AND(BANCO_OK_1,B306&lt;=MESES),IF(OR(B306=1,D306&lt;&gt;D305),PMT(D306/1200,MESES-B306+1,-H305),E305),0)</f>
        <v/>
      </c>
      <c r="F306" s="58">
        <f>H305*D306/1200</f>
        <v/>
      </c>
      <c r="G306" s="58">
        <f>IF(AND(BANCO_OK_1,B306&lt;=MESES),IF(OR(B306=MESES,E306-F306&gt;H305),H305,E306-F306),0)</f>
        <v/>
      </c>
      <c r="H306" s="58">
        <f>H305-G306</f>
        <v/>
      </c>
      <c r="I306" s="58">
        <f>IF(AND(BANCO_OK_1,B306&lt;=MESES),F306+G306+VINC_MES_1,0)</f>
        <v/>
      </c>
      <c r="J306" s="52">
        <f>IF(AND(BANCO_OK_2,B306&lt;=MESES),IF(OR(OF_TIPO_2="Fija",C306&lt;=OF_ANIOS_INI_2),OF_TIN_2,MAX(0,EURIBOR+OF_DIF_2)),0)</f>
        <v/>
      </c>
      <c r="K306" s="58">
        <f>IF(AND(BANCO_OK_2,B306&lt;=MESES),IF(OR(B306=1,J306&lt;&gt;J305),PMT(J306/1200,MESES-B306+1,-N305),K305),0)</f>
        <v/>
      </c>
      <c r="L306" s="58">
        <f>N305*J306/1200</f>
        <v/>
      </c>
      <c r="M306" s="58">
        <f>IF(AND(BANCO_OK_2,B306&lt;=MESES),IF(OR(B306=MESES,K306-L306&gt;N305),N305,K306-L306),0)</f>
        <v/>
      </c>
      <c r="N306" s="58">
        <f>N305-M306</f>
        <v/>
      </c>
      <c r="O306" s="58">
        <f>IF(AND(BANCO_OK_2,B306&lt;=MESES),L306+M306+VINC_MES_2,0)</f>
        <v/>
      </c>
      <c r="P306" s="52">
        <f>IF(AND(BANCO_OK_3,B306&lt;=MESES),IF(OR(OF_TIPO_3="Fija",C306&lt;=OF_ANIOS_INI_3),OF_TIN_3,MAX(0,EURIBOR+OF_DIF_3)),0)</f>
        <v/>
      </c>
      <c r="Q306" s="58">
        <f>IF(AND(BANCO_OK_3,B306&lt;=MESES),IF(OR(B306=1,P306&lt;&gt;P305),PMT(P306/1200,MESES-B306+1,-T305),Q305),0)</f>
        <v/>
      </c>
      <c r="R306" s="58">
        <f>T305*P306/1200</f>
        <v/>
      </c>
      <c r="S306" s="58">
        <f>IF(AND(BANCO_OK_3,B306&lt;=MESES),IF(OR(B306=MESES,Q306-R306&gt;T305),T305,Q306-R306),0)</f>
        <v/>
      </c>
      <c r="T306" s="58">
        <f>T305-S306</f>
        <v/>
      </c>
      <c r="U306" s="58">
        <f>IF(AND(BANCO_OK_3,B306&lt;=MESES),R306+S306+VINC_MES_3,0)</f>
        <v/>
      </c>
      <c r="V306" s="52">
        <f>IF(AND(BANCO_OK_4,B306&lt;=MESES),IF(OR(OF_TIPO_4="Fija",C306&lt;=OF_ANIOS_INI_4),OF_TIN_4,MAX(0,EURIBOR+OF_DIF_4)),0)</f>
        <v/>
      </c>
      <c r="W306" s="58">
        <f>IF(AND(BANCO_OK_4,B306&lt;=MESES),IF(OR(B306=1,V306&lt;&gt;V305),PMT(V306/1200,MESES-B306+1,-Z305),W305),0)</f>
        <v/>
      </c>
      <c r="X306" s="58">
        <f>Z305*V306/1200</f>
        <v/>
      </c>
      <c r="Y306" s="58">
        <f>IF(AND(BANCO_OK_4,B306&lt;=MESES),IF(OR(B306=MESES,W306-X306&gt;Z305),Z305,W306-X306),0)</f>
        <v/>
      </c>
      <c r="Z306" s="58">
        <f>Z305-Y306</f>
        <v/>
      </c>
      <c r="AA306" s="58">
        <f>IF(AND(BANCO_OK_4,B306&lt;=MESES),X306+Y306+VINC_MES_4,0)</f>
        <v/>
      </c>
    </row>
    <row r="307">
      <c r="B307" s="56" t="n">
        <v>299</v>
      </c>
      <c r="C307" s="56">
        <f>ROUNDUP(B307/12,0)</f>
        <v/>
      </c>
      <c r="D307" s="52">
        <f>IF(AND(BANCO_OK_1,B307&lt;=MESES),IF(OR(OF_TIPO_1="Fija",C307&lt;=OF_ANIOS_INI_1),OF_TIN_1,MAX(0,EURIBOR+OF_DIF_1)),0)</f>
        <v/>
      </c>
      <c r="E307" s="58">
        <f>IF(AND(BANCO_OK_1,B307&lt;=MESES),IF(OR(B307=1,D307&lt;&gt;D306),PMT(D307/1200,MESES-B307+1,-H306),E306),0)</f>
        <v/>
      </c>
      <c r="F307" s="58">
        <f>H306*D307/1200</f>
        <v/>
      </c>
      <c r="G307" s="58">
        <f>IF(AND(BANCO_OK_1,B307&lt;=MESES),IF(OR(B307=MESES,E307-F307&gt;H306),H306,E307-F307),0)</f>
        <v/>
      </c>
      <c r="H307" s="58">
        <f>H306-G307</f>
        <v/>
      </c>
      <c r="I307" s="58">
        <f>IF(AND(BANCO_OK_1,B307&lt;=MESES),F307+G307+VINC_MES_1,0)</f>
        <v/>
      </c>
      <c r="J307" s="52">
        <f>IF(AND(BANCO_OK_2,B307&lt;=MESES),IF(OR(OF_TIPO_2="Fija",C307&lt;=OF_ANIOS_INI_2),OF_TIN_2,MAX(0,EURIBOR+OF_DIF_2)),0)</f>
        <v/>
      </c>
      <c r="K307" s="58">
        <f>IF(AND(BANCO_OK_2,B307&lt;=MESES),IF(OR(B307=1,J307&lt;&gt;J306),PMT(J307/1200,MESES-B307+1,-N306),K306),0)</f>
        <v/>
      </c>
      <c r="L307" s="58">
        <f>N306*J307/1200</f>
        <v/>
      </c>
      <c r="M307" s="58">
        <f>IF(AND(BANCO_OK_2,B307&lt;=MESES),IF(OR(B307=MESES,K307-L307&gt;N306),N306,K307-L307),0)</f>
        <v/>
      </c>
      <c r="N307" s="58">
        <f>N306-M307</f>
        <v/>
      </c>
      <c r="O307" s="58">
        <f>IF(AND(BANCO_OK_2,B307&lt;=MESES),L307+M307+VINC_MES_2,0)</f>
        <v/>
      </c>
      <c r="P307" s="52">
        <f>IF(AND(BANCO_OK_3,B307&lt;=MESES),IF(OR(OF_TIPO_3="Fija",C307&lt;=OF_ANIOS_INI_3),OF_TIN_3,MAX(0,EURIBOR+OF_DIF_3)),0)</f>
        <v/>
      </c>
      <c r="Q307" s="58">
        <f>IF(AND(BANCO_OK_3,B307&lt;=MESES),IF(OR(B307=1,P307&lt;&gt;P306),PMT(P307/1200,MESES-B307+1,-T306),Q306),0)</f>
        <v/>
      </c>
      <c r="R307" s="58">
        <f>T306*P307/1200</f>
        <v/>
      </c>
      <c r="S307" s="58">
        <f>IF(AND(BANCO_OK_3,B307&lt;=MESES),IF(OR(B307=MESES,Q307-R307&gt;T306),T306,Q307-R307),0)</f>
        <v/>
      </c>
      <c r="T307" s="58">
        <f>T306-S307</f>
        <v/>
      </c>
      <c r="U307" s="58">
        <f>IF(AND(BANCO_OK_3,B307&lt;=MESES),R307+S307+VINC_MES_3,0)</f>
        <v/>
      </c>
      <c r="V307" s="52">
        <f>IF(AND(BANCO_OK_4,B307&lt;=MESES),IF(OR(OF_TIPO_4="Fija",C307&lt;=OF_ANIOS_INI_4),OF_TIN_4,MAX(0,EURIBOR+OF_DIF_4)),0)</f>
        <v/>
      </c>
      <c r="W307" s="58">
        <f>IF(AND(BANCO_OK_4,B307&lt;=MESES),IF(OR(B307=1,V307&lt;&gt;V306),PMT(V307/1200,MESES-B307+1,-Z306),W306),0)</f>
        <v/>
      </c>
      <c r="X307" s="58">
        <f>Z306*V307/1200</f>
        <v/>
      </c>
      <c r="Y307" s="58">
        <f>IF(AND(BANCO_OK_4,B307&lt;=MESES),IF(OR(B307=MESES,W307-X307&gt;Z306),Z306,W307-X307),0)</f>
        <v/>
      </c>
      <c r="Z307" s="58">
        <f>Z306-Y307</f>
        <v/>
      </c>
      <c r="AA307" s="58">
        <f>IF(AND(BANCO_OK_4,B307&lt;=MESES),X307+Y307+VINC_MES_4,0)</f>
        <v/>
      </c>
    </row>
    <row r="308">
      <c r="B308" s="56" t="n">
        <v>300</v>
      </c>
      <c r="C308" s="56">
        <f>ROUNDUP(B308/12,0)</f>
        <v/>
      </c>
      <c r="D308" s="52">
        <f>IF(AND(BANCO_OK_1,B308&lt;=MESES),IF(OR(OF_TIPO_1="Fija",C308&lt;=OF_ANIOS_INI_1),OF_TIN_1,MAX(0,EURIBOR+OF_DIF_1)),0)</f>
        <v/>
      </c>
      <c r="E308" s="58">
        <f>IF(AND(BANCO_OK_1,B308&lt;=MESES),IF(OR(B308=1,D308&lt;&gt;D307),PMT(D308/1200,MESES-B308+1,-H307),E307),0)</f>
        <v/>
      </c>
      <c r="F308" s="58">
        <f>H307*D308/1200</f>
        <v/>
      </c>
      <c r="G308" s="58">
        <f>IF(AND(BANCO_OK_1,B308&lt;=MESES),IF(OR(B308=MESES,E308-F308&gt;H307),H307,E308-F308),0)</f>
        <v/>
      </c>
      <c r="H308" s="58">
        <f>H307-G308</f>
        <v/>
      </c>
      <c r="I308" s="58">
        <f>IF(AND(BANCO_OK_1,B308&lt;=MESES),F308+G308+VINC_MES_1,0)</f>
        <v/>
      </c>
      <c r="J308" s="52">
        <f>IF(AND(BANCO_OK_2,B308&lt;=MESES),IF(OR(OF_TIPO_2="Fija",C308&lt;=OF_ANIOS_INI_2),OF_TIN_2,MAX(0,EURIBOR+OF_DIF_2)),0)</f>
        <v/>
      </c>
      <c r="K308" s="58">
        <f>IF(AND(BANCO_OK_2,B308&lt;=MESES),IF(OR(B308=1,J308&lt;&gt;J307),PMT(J308/1200,MESES-B308+1,-N307),K307),0)</f>
        <v/>
      </c>
      <c r="L308" s="58">
        <f>N307*J308/1200</f>
        <v/>
      </c>
      <c r="M308" s="58">
        <f>IF(AND(BANCO_OK_2,B308&lt;=MESES),IF(OR(B308=MESES,K308-L308&gt;N307),N307,K308-L308),0)</f>
        <v/>
      </c>
      <c r="N308" s="58">
        <f>N307-M308</f>
        <v/>
      </c>
      <c r="O308" s="58">
        <f>IF(AND(BANCO_OK_2,B308&lt;=MESES),L308+M308+VINC_MES_2,0)</f>
        <v/>
      </c>
      <c r="P308" s="52">
        <f>IF(AND(BANCO_OK_3,B308&lt;=MESES),IF(OR(OF_TIPO_3="Fija",C308&lt;=OF_ANIOS_INI_3),OF_TIN_3,MAX(0,EURIBOR+OF_DIF_3)),0)</f>
        <v/>
      </c>
      <c r="Q308" s="58">
        <f>IF(AND(BANCO_OK_3,B308&lt;=MESES),IF(OR(B308=1,P308&lt;&gt;P307),PMT(P308/1200,MESES-B308+1,-T307),Q307),0)</f>
        <v/>
      </c>
      <c r="R308" s="58">
        <f>T307*P308/1200</f>
        <v/>
      </c>
      <c r="S308" s="58">
        <f>IF(AND(BANCO_OK_3,B308&lt;=MESES),IF(OR(B308=MESES,Q308-R308&gt;T307),T307,Q308-R308),0)</f>
        <v/>
      </c>
      <c r="T308" s="58">
        <f>T307-S308</f>
        <v/>
      </c>
      <c r="U308" s="58">
        <f>IF(AND(BANCO_OK_3,B308&lt;=MESES),R308+S308+VINC_MES_3,0)</f>
        <v/>
      </c>
      <c r="V308" s="52">
        <f>IF(AND(BANCO_OK_4,B308&lt;=MESES),IF(OR(OF_TIPO_4="Fija",C308&lt;=OF_ANIOS_INI_4),OF_TIN_4,MAX(0,EURIBOR+OF_DIF_4)),0)</f>
        <v/>
      </c>
      <c r="W308" s="58">
        <f>IF(AND(BANCO_OK_4,B308&lt;=MESES),IF(OR(B308=1,V308&lt;&gt;V307),PMT(V308/1200,MESES-B308+1,-Z307),W307),0)</f>
        <v/>
      </c>
      <c r="X308" s="58">
        <f>Z307*V308/1200</f>
        <v/>
      </c>
      <c r="Y308" s="58">
        <f>IF(AND(BANCO_OK_4,B308&lt;=MESES),IF(OR(B308=MESES,W308-X308&gt;Z307),Z307,W308-X308),0)</f>
        <v/>
      </c>
      <c r="Z308" s="58">
        <f>Z307-Y308</f>
        <v/>
      </c>
      <c r="AA308" s="58">
        <f>IF(AND(BANCO_OK_4,B308&lt;=MESES),X308+Y308+VINC_MES_4,0)</f>
        <v/>
      </c>
    </row>
    <row r="309">
      <c r="B309" s="56" t="n">
        <v>301</v>
      </c>
      <c r="C309" s="56">
        <f>ROUNDUP(B309/12,0)</f>
        <v/>
      </c>
      <c r="D309" s="52">
        <f>IF(AND(BANCO_OK_1,B309&lt;=MESES),IF(OR(OF_TIPO_1="Fija",C309&lt;=OF_ANIOS_INI_1),OF_TIN_1,MAX(0,EURIBOR+OF_DIF_1)),0)</f>
        <v/>
      </c>
      <c r="E309" s="58">
        <f>IF(AND(BANCO_OK_1,B309&lt;=MESES),IF(OR(B309=1,D309&lt;&gt;D308),PMT(D309/1200,MESES-B309+1,-H308),E308),0)</f>
        <v/>
      </c>
      <c r="F309" s="58">
        <f>H308*D309/1200</f>
        <v/>
      </c>
      <c r="G309" s="58">
        <f>IF(AND(BANCO_OK_1,B309&lt;=MESES),IF(OR(B309=MESES,E309-F309&gt;H308),H308,E309-F309),0)</f>
        <v/>
      </c>
      <c r="H309" s="58">
        <f>H308-G309</f>
        <v/>
      </c>
      <c r="I309" s="58">
        <f>IF(AND(BANCO_OK_1,B309&lt;=MESES),F309+G309+VINC_MES_1,0)</f>
        <v/>
      </c>
      <c r="J309" s="52">
        <f>IF(AND(BANCO_OK_2,B309&lt;=MESES),IF(OR(OF_TIPO_2="Fija",C309&lt;=OF_ANIOS_INI_2),OF_TIN_2,MAX(0,EURIBOR+OF_DIF_2)),0)</f>
        <v/>
      </c>
      <c r="K309" s="58">
        <f>IF(AND(BANCO_OK_2,B309&lt;=MESES),IF(OR(B309=1,J309&lt;&gt;J308),PMT(J309/1200,MESES-B309+1,-N308),K308),0)</f>
        <v/>
      </c>
      <c r="L309" s="58">
        <f>N308*J309/1200</f>
        <v/>
      </c>
      <c r="M309" s="58">
        <f>IF(AND(BANCO_OK_2,B309&lt;=MESES),IF(OR(B309=MESES,K309-L309&gt;N308),N308,K309-L309),0)</f>
        <v/>
      </c>
      <c r="N309" s="58">
        <f>N308-M309</f>
        <v/>
      </c>
      <c r="O309" s="58">
        <f>IF(AND(BANCO_OK_2,B309&lt;=MESES),L309+M309+VINC_MES_2,0)</f>
        <v/>
      </c>
      <c r="P309" s="52">
        <f>IF(AND(BANCO_OK_3,B309&lt;=MESES),IF(OR(OF_TIPO_3="Fija",C309&lt;=OF_ANIOS_INI_3),OF_TIN_3,MAX(0,EURIBOR+OF_DIF_3)),0)</f>
        <v/>
      </c>
      <c r="Q309" s="58">
        <f>IF(AND(BANCO_OK_3,B309&lt;=MESES),IF(OR(B309=1,P309&lt;&gt;P308),PMT(P309/1200,MESES-B309+1,-T308),Q308),0)</f>
        <v/>
      </c>
      <c r="R309" s="58">
        <f>T308*P309/1200</f>
        <v/>
      </c>
      <c r="S309" s="58">
        <f>IF(AND(BANCO_OK_3,B309&lt;=MESES),IF(OR(B309=MESES,Q309-R309&gt;T308),T308,Q309-R309),0)</f>
        <v/>
      </c>
      <c r="T309" s="58">
        <f>T308-S309</f>
        <v/>
      </c>
      <c r="U309" s="58">
        <f>IF(AND(BANCO_OK_3,B309&lt;=MESES),R309+S309+VINC_MES_3,0)</f>
        <v/>
      </c>
      <c r="V309" s="52">
        <f>IF(AND(BANCO_OK_4,B309&lt;=MESES),IF(OR(OF_TIPO_4="Fija",C309&lt;=OF_ANIOS_INI_4),OF_TIN_4,MAX(0,EURIBOR+OF_DIF_4)),0)</f>
        <v/>
      </c>
      <c r="W309" s="58">
        <f>IF(AND(BANCO_OK_4,B309&lt;=MESES),IF(OR(B309=1,V309&lt;&gt;V308),PMT(V309/1200,MESES-B309+1,-Z308),W308),0)</f>
        <v/>
      </c>
      <c r="X309" s="58">
        <f>Z308*V309/1200</f>
        <v/>
      </c>
      <c r="Y309" s="58">
        <f>IF(AND(BANCO_OK_4,B309&lt;=MESES),IF(OR(B309=MESES,W309-X309&gt;Z308),Z308,W309-X309),0)</f>
        <v/>
      </c>
      <c r="Z309" s="58">
        <f>Z308-Y309</f>
        <v/>
      </c>
      <c r="AA309" s="58">
        <f>IF(AND(BANCO_OK_4,B309&lt;=MESES),X309+Y309+VINC_MES_4,0)</f>
        <v/>
      </c>
    </row>
    <row r="310">
      <c r="B310" s="56" t="n">
        <v>302</v>
      </c>
      <c r="C310" s="56">
        <f>ROUNDUP(B310/12,0)</f>
        <v/>
      </c>
      <c r="D310" s="52">
        <f>IF(AND(BANCO_OK_1,B310&lt;=MESES),IF(OR(OF_TIPO_1="Fija",C310&lt;=OF_ANIOS_INI_1),OF_TIN_1,MAX(0,EURIBOR+OF_DIF_1)),0)</f>
        <v/>
      </c>
      <c r="E310" s="58">
        <f>IF(AND(BANCO_OK_1,B310&lt;=MESES),IF(OR(B310=1,D310&lt;&gt;D309),PMT(D310/1200,MESES-B310+1,-H309),E309),0)</f>
        <v/>
      </c>
      <c r="F310" s="58">
        <f>H309*D310/1200</f>
        <v/>
      </c>
      <c r="G310" s="58">
        <f>IF(AND(BANCO_OK_1,B310&lt;=MESES),IF(OR(B310=MESES,E310-F310&gt;H309),H309,E310-F310),0)</f>
        <v/>
      </c>
      <c r="H310" s="58">
        <f>H309-G310</f>
        <v/>
      </c>
      <c r="I310" s="58">
        <f>IF(AND(BANCO_OK_1,B310&lt;=MESES),F310+G310+VINC_MES_1,0)</f>
        <v/>
      </c>
      <c r="J310" s="52">
        <f>IF(AND(BANCO_OK_2,B310&lt;=MESES),IF(OR(OF_TIPO_2="Fija",C310&lt;=OF_ANIOS_INI_2),OF_TIN_2,MAX(0,EURIBOR+OF_DIF_2)),0)</f>
        <v/>
      </c>
      <c r="K310" s="58">
        <f>IF(AND(BANCO_OK_2,B310&lt;=MESES),IF(OR(B310=1,J310&lt;&gt;J309),PMT(J310/1200,MESES-B310+1,-N309),K309),0)</f>
        <v/>
      </c>
      <c r="L310" s="58">
        <f>N309*J310/1200</f>
        <v/>
      </c>
      <c r="M310" s="58">
        <f>IF(AND(BANCO_OK_2,B310&lt;=MESES),IF(OR(B310=MESES,K310-L310&gt;N309),N309,K310-L310),0)</f>
        <v/>
      </c>
      <c r="N310" s="58">
        <f>N309-M310</f>
        <v/>
      </c>
      <c r="O310" s="58">
        <f>IF(AND(BANCO_OK_2,B310&lt;=MESES),L310+M310+VINC_MES_2,0)</f>
        <v/>
      </c>
      <c r="P310" s="52">
        <f>IF(AND(BANCO_OK_3,B310&lt;=MESES),IF(OR(OF_TIPO_3="Fija",C310&lt;=OF_ANIOS_INI_3),OF_TIN_3,MAX(0,EURIBOR+OF_DIF_3)),0)</f>
        <v/>
      </c>
      <c r="Q310" s="58">
        <f>IF(AND(BANCO_OK_3,B310&lt;=MESES),IF(OR(B310=1,P310&lt;&gt;P309),PMT(P310/1200,MESES-B310+1,-T309),Q309),0)</f>
        <v/>
      </c>
      <c r="R310" s="58">
        <f>T309*P310/1200</f>
        <v/>
      </c>
      <c r="S310" s="58">
        <f>IF(AND(BANCO_OK_3,B310&lt;=MESES),IF(OR(B310=MESES,Q310-R310&gt;T309),T309,Q310-R310),0)</f>
        <v/>
      </c>
      <c r="T310" s="58">
        <f>T309-S310</f>
        <v/>
      </c>
      <c r="U310" s="58">
        <f>IF(AND(BANCO_OK_3,B310&lt;=MESES),R310+S310+VINC_MES_3,0)</f>
        <v/>
      </c>
      <c r="V310" s="52">
        <f>IF(AND(BANCO_OK_4,B310&lt;=MESES),IF(OR(OF_TIPO_4="Fija",C310&lt;=OF_ANIOS_INI_4),OF_TIN_4,MAX(0,EURIBOR+OF_DIF_4)),0)</f>
        <v/>
      </c>
      <c r="W310" s="58">
        <f>IF(AND(BANCO_OK_4,B310&lt;=MESES),IF(OR(B310=1,V310&lt;&gt;V309),PMT(V310/1200,MESES-B310+1,-Z309),W309),0)</f>
        <v/>
      </c>
      <c r="X310" s="58">
        <f>Z309*V310/1200</f>
        <v/>
      </c>
      <c r="Y310" s="58">
        <f>IF(AND(BANCO_OK_4,B310&lt;=MESES),IF(OR(B310=MESES,W310-X310&gt;Z309),Z309,W310-X310),0)</f>
        <v/>
      </c>
      <c r="Z310" s="58">
        <f>Z309-Y310</f>
        <v/>
      </c>
      <c r="AA310" s="58">
        <f>IF(AND(BANCO_OK_4,B310&lt;=MESES),X310+Y310+VINC_MES_4,0)</f>
        <v/>
      </c>
    </row>
    <row r="311">
      <c r="B311" s="56" t="n">
        <v>303</v>
      </c>
      <c r="C311" s="56">
        <f>ROUNDUP(B311/12,0)</f>
        <v/>
      </c>
      <c r="D311" s="52">
        <f>IF(AND(BANCO_OK_1,B311&lt;=MESES),IF(OR(OF_TIPO_1="Fija",C311&lt;=OF_ANIOS_INI_1),OF_TIN_1,MAX(0,EURIBOR+OF_DIF_1)),0)</f>
        <v/>
      </c>
      <c r="E311" s="58">
        <f>IF(AND(BANCO_OK_1,B311&lt;=MESES),IF(OR(B311=1,D311&lt;&gt;D310),PMT(D311/1200,MESES-B311+1,-H310),E310),0)</f>
        <v/>
      </c>
      <c r="F311" s="58">
        <f>H310*D311/1200</f>
        <v/>
      </c>
      <c r="G311" s="58">
        <f>IF(AND(BANCO_OK_1,B311&lt;=MESES),IF(OR(B311=MESES,E311-F311&gt;H310),H310,E311-F311),0)</f>
        <v/>
      </c>
      <c r="H311" s="58">
        <f>H310-G311</f>
        <v/>
      </c>
      <c r="I311" s="58">
        <f>IF(AND(BANCO_OK_1,B311&lt;=MESES),F311+G311+VINC_MES_1,0)</f>
        <v/>
      </c>
      <c r="J311" s="52">
        <f>IF(AND(BANCO_OK_2,B311&lt;=MESES),IF(OR(OF_TIPO_2="Fija",C311&lt;=OF_ANIOS_INI_2),OF_TIN_2,MAX(0,EURIBOR+OF_DIF_2)),0)</f>
        <v/>
      </c>
      <c r="K311" s="58">
        <f>IF(AND(BANCO_OK_2,B311&lt;=MESES),IF(OR(B311=1,J311&lt;&gt;J310),PMT(J311/1200,MESES-B311+1,-N310),K310),0)</f>
        <v/>
      </c>
      <c r="L311" s="58">
        <f>N310*J311/1200</f>
        <v/>
      </c>
      <c r="M311" s="58">
        <f>IF(AND(BANCO_OK_2,B311&lt;=MESES),IF(OR(B311=MESES,K311-L311&gt;N310),N310,K311-L311),0)</f>
        <v/>
      </c>
      <c r="N311" s="58">
        <f>N310-M311</f>
        <v/>
      </c>
      <c r="O311" s="58">
        <f>IF(AND(BANCO_OK_2,B311&lt;=MESES),L311+M311+VINC_MES_2,0)</f>
        <v/>
      </c>
      <c r="P311" s="52">
        <f>IF(AND(BANCO_OK_3,B311&lt;=MESES),IF(OR(OF_TIPO_3="Fija",C311&lt;=OF_ANIOS_INI_3),OF_TIN_3,MAX(0,EURIBOR+OF_DIF_3)),0)</f>
        <v/>
      </c>
      <c r="Q311" s="58">
        <f>IF(AND(BANCO_OK_3,B311&lt;=MESES),IF(OR(B311=1,P311&lt;&gt;P310),PMT(P311/1200,MESES-B311+1,-T310),Q310),0)</f>
        <v/>
      </c>
      <c r="R311" s="58">
        <f>T310*P311/1200</f>
        <v/>
      </c>
      <c r="S311" s="58">
        <f>IF(AND(BANCO_OK_3,B311&lt;=MESES),IF(OR(B311=MESES,Q311-R311&gt;T310),T310,Q311-R311),0)</f>
        <v/>
      </c>
      <c r="T311" s="58">
        <f>T310-S311</f>
        <v/>
      </c>
      <c r="U311" s="58">
        <f>IF(AND(BANCO_OK_3,B311&lt;=MESES),R311+S311+VINC_MES_3,0)</f>
        <v/>
      </c>
      <c r="V311" s="52">
        <f>IF(AND(BANCO_OK_4,B311&lt;=MESES),IF(OR(OF_TIPO_4="Fija",C311&lt;=OF_ANIOS_INI_4),OF_TIN_4,MAX(0,EURIBOR+OF_DIF_4)),0)</f>
        <v/>
      </c>
      <c r="W311" s="58">
        <f>IF(AND(BANCO_OK_4,B311&lt;=MESES),IF(OR(B311=1,V311&lt;&gt;V310),PMT(V311/1200,MESES-B311+1,-Z310),W310),0)</f>
        <v/>
      </c>
      <c r="X311" s="58">
        <f>Z310*V311/1200</f>
        <v/>
      </c>
      <c r="Y311" s="58">
        <f>IF(AND(BANCO_OK_4,B311&lt;=MESES),IF(OR(B311=MESES,W311-X311&gt;Z310),Z310,W311-X311),0)</f>
        <v/>
      </c>
      <c r="Z311" s="58">
        <f>Z310-Y311</f>
        <v/>
      </c>
      <c r="AA311" s="58">
        <f>IF(AND(BANCO_OK_4,B311&lt;=MESES),X311+Y311+VINC_MES_4,0)</f>
        <v/>
      </c>
    </row>
    <row r="312">
      <c r="B312" s="56" t="n">
        <v>304</v>
      </c>
      <c r="C312" s="56">
        <f>ROUNDUP(B312/12,0)</f>
        <v/>
      </c>
      <c r="D312" s="52">
        <f>IF(AND(BANCO_OK_1,B312&lt;=MESES),IF(OR(OF_TIPO_1="Fija",C312&lt;=OF_ANIOS_INI_1),OF_TIN_1,MAX(0,EURIBOR+OF_DIF_1)),0)</f>
        <v/>
      </c>
      <c r="E312" s="58">
        <f>IF(AND(BANCO_OK_1,B312&lt;=MESES),IF(OR(B312=1,D312&lt;&gt;D311),PMT(D312/1200,MESES-B312+1,-H311),E311),0)</f>
        <v/>
      </c>
      <c r="F312" s="58">
        <f>H311*D312/1200</f>
        <v/>
      </c>
      <c r="G312" s="58">
        <f>IF(AND(BANCO_OK_1,B312&lt;=MESES),IF(OR(B312=MESES,E312-F312&gt;H311),H311,E312-F312),0)</f>
        <v/>
      </c>
      <c r="H312" s="58">
        <f>H311-G312</f>
        <v/>
      </c>
      <c r="I312" s="58">
        <f>IF(AND(BANCO_OK_1,B312&lt;=MESES),F312+G312+VINC_MES_1,0)</f>
        <v/>
      </c>
      <c r="J312" s="52">
        <f>IF(AND(BANCO_OK_2,B312&lt;=MESES),IF(OR(OF_TIPO_2="Fija",C312&lt;=OF_ANIOS_INI_2),OF_TIN_2,MAX(0,EURIBOR+OF_DIF_2)),0)</f>
        <v/>
      </c>
      <c r="K312" s="58">
        <f>IF(AND(BANCO_OK_2,B312&lt;=MESES),IF(OR(B312=1,J312&lt;&gt;J311),PMT(J312/1200,MESES-B312+1,-N311),K311),0)</f>
        <v/>
      </c>
      <c r="L312" s="58">
        <f>N311*J312/1200</f>
        <v/>
      </c>
      <c r="M312" s="58">
        <f>IF(AND(BANCO_OK_2,B312&lt;=MESES),IF(OR(B312=MESES,K312-L312&gt;N311),N311,K312-L312),0)</f>
        <v/>
      </c>
      <c r="N312" s="58">
        <f>N311-M312</f>
        <v/>
      </c>
      <c r="O312" s="58">
        <f>IF(AND(BANCO_OK_2,B312&lt;=MESES),L312+M312+VINC_MES_2,0)</f>
        <v/>
      </c>
      <c r="P312" s="52">
        <f>IF(AND(BANCO_OK_3,B312&lt;=MESES),IF(OR(OF_TIPO_3="Fija",C312&lt;=OF_ANIOS_INI_3),OF_TIN_3,MAX(0,EURIBOR+OF_DIF_3)),0)</f>
        <v/>
      </c>
      <c r="Q312" s="58">
        <f>IF(AND(BANCO_OK_3,B312&lt;=MESES),IF(OR(B312=1,P312&lt;&gt;P311),PMT(P312/1200,MESES-B312+1,-T311),Q311),0)</f>
        <v/>
      </c>
      <c r="R312" s="58">
        <f>T311*P312/1200</f>
        <v/>
      </c>
      <c r="S312" s="58">
        <f>IF(AND(BANCO_OK_3,B312&lt;=MESES),IF(OR(B312=MESES,Q312-R312&gt;T311),T311,Q312-R312),0)</f>
        <v/>
      </c>
      <c r="T312" s="58">
        <f>T311-S312</f>
        <v/>
      </c>
      <c r="U312" s="58">
        <f>IF(AND(BANCO_OK_3,B312&lt;=MESES),R312+S312+VINC_MES_3,0)</f>
        <v/>
      </c>
      <c r="V312" s="52">
        <f>IF(AND(BANCO_OK_4,B312&lt;=MESES),IF(OR(OF_TIPO_4="Fija",C312&lt;=OF_ANIOS_INI_4),OF_TIN_4,MAX(0,EURIBOR+OF_DIF_4)),0)</f>
        <v/>
      </c>
      <c r="W312" s="58">
        <f>IF(AND(BANCO_OK_4,B312&lt;=MESES),IF(OR(B312=1,V312&lt;&gt;V311),PMT(V312/1200,MESES-B312+1,-Z311),W311),0)</f>
        <v/>
      </c>
      <c r="X312" s="58">
        <f>Z311*V312/1200</f>
        <v/>
      </c>
      <c r="Y312" s="58">
        <f>IF(AND(BANCO_OK_4,B312&lt;=MESES),IF(OR(B312=MESES,W312-X312&gt;Z311),Z311,W312-X312),0)</f>
        <v/>
      </c>
      <c r="Z312" s="58">
        <f>Z311-Y312</f>
        <v/>
      </c>
      <c r="AA312" s="58">
        <f>IF(AND(BANCO_OK_4,B312&lt;=MESES),X312+Y312+VINC_MES_4,0)</f>
        <v/>
      </c>
    </row>
    <row r="313">
      <c r="B313" s="56" t="n">
        <v>305</v>
      </c>
      <c r="C313" s="56">
        <f>ROUNDUP(B313/12,0)</f>
        <v/>
      </c>
      <c r="D313" s="52">
        <f>IF(AND(BANCO_OK_1,B313&lt;=MESES),IF(OR(OF_TIPO_1="Fija",C313&lt;=OF_ANIOS_INI_1),OF_TIN_1,MAX(0,EURIBOR+OF_DIF_1)),0)</f>
        <v/>
      </c>
      <c r="E313" s="58">
        <f>IF(AND(BANCO_OK_1,B313&lt;=MESES),IF(OR(B313=1,D313&lt;&gt;D312),PMT(D313/1200,MESES-B313+1,-H312),E312),0)</f>
        <v/>
      </c>
      <c r="F313" s="58">
        <f>H312*D313/1200</f>
        <v/>
      </c>
      <c r="G313" s="58">
        <f>IF(AND(BANCO_OK_1,B313&lt;=MESES),IF(OR(B313=MESES,E313-F313&gt;H312),H312,E313-F313),0)</f>
        <v/>
      </c>
      <c r="H313" s="58">
        <f>H312-G313</f>
        <v/>
      </c>
      <c r="I313" s="58">
        <f>IF(AND(BANCO_OK_1,B313&lt;=MESES),F313+G313+VINC_MES_1,0)</f>
        <v/>
      </c>
      <c r="J313" s="52">
        <f>IF(AND(BANCO_OK_2,B313&lt;=MESES),IF(OR(OF_TIPO_2="Fija",C313&lt;=OF_ANIOS_INI_2),OF_TIN_2,MAX(0,EURIBOR+OF_DIF_2)),0)</f>
        <v/>
      </c>
      <c r="K313" s="58">
        <f>IF(AND(BANCO_OK_2,B313&lt;=MESES),IF(OR(B313=1,J313&lt;&gt;J312),PMT(J313/1200,MESES-B313+1,-N312),K312),0)</f>
        <v/>
      </c>
      <c r="L313" s="58">
        <f>N312*J313/1200</f>
        <v/>
      </c>
      <c r="M313" s="58">
        <f>IF(AND(BANCO_OK_2,B313&lt;=MESES),IF(OR(B313=MESES,K313-L313&gt;N312),N312,K313-L313),0)</f>
        <v/>
      </c>
      <c r="N313" s="58">
        <f>N312-M313</f>
        <v/>
      </c>
      <c r="O313" s="58">
        <f>IF(AND(BANCO_OK_2,B313&lt;=MESES),L313+M313+VINC_MES_2,0)</f>
        <v/>
      </c>
      <c r="P313" s="52">
        <f>IF(AND(BANCO_OK_3,B313&lt;=MESES),IF(OR(OF_TIPO_3="Fija",C313&lt;=OF_ANIOS_INI_3),OF_TIN_3,MAX(0,EURIBOR+OF_DIF_3)),0)</f>
        <v/>
      </c>
      <c r="Q313" s="58">
        <f>IF(AND(BANCO_OK_3,B313&lt;=MESES),IF(OR(B313=1,P313&lt;&gt;P312),PMT(P313/1200,MESES-B313+1,-T312),Q312),0)</f>
        <v/>
      </c>
      <c r="R313" s="58">
        <f>T312*P313/1200</f>
        <v/>
      </c>
      <c r="S313" s="58">
        <f>IF(AND(BANCO_OK_3,B313&lt;=MESES),IF(OR(B313=MESES,Q313-R313&gt;T312),T312,Q313-R313),0)</f>
        <v/>
      </c>
      <c r="T313" s="58">
        <f>T312-S313</f>
        <v/>
      </c>
      <c r="U313" s="58">
        <f>IF(AND(BANCO_OK_3,B313&lt;=MESES),R313+S313+VINC_MES_3,0)</f>
        <v/>
      </c>
      <c r="V313" s="52">
        <f>IF(AND(BANCO_OK_4,B313&lt;=MESES),IF(OR(OF_TIPO_4="Fija",C313&lt;=OF_ANIOS_INI_4),OF_TIN_4,MAX(0,EURIBOR+OF_DIF_4)),0)</f>
        <v/>
      </c>
      <c r="W313" s="58">
        <f>IF(AND(BANCO_OK_4,B313&lt;=MESES),IF(OR(B313=1,V313&lt;&gt;V312),PMT(V313/1200,MESES-B313+1,-Z312),W312),0)</f>
        <v/>
      </c>
      <c r="X313" s="58">
        <f>Z312*V313/1200</f>
        <v/>
      </c>
      <c r="Y313" s="58">
        <f>IF(AND(BANCO_OK_4,B313&lt;=MESES),IF(OR(B313=MESES,W313-X313&gt;Z312),Z312,W313-X313),0)</f>
        <v/>
      </c>
      <c r="Z313" s="58">
        <f>Z312-Y313</f>
        <v/>
      </c>
      <c r="AA313" s="58">
        <f>IF(AND(BANCO_OK_4,B313&lt;=MESES),X313+Y313+VINC_MES_4,0)</f>
        <v/>
      </c>
    </row>
    <row r="314">
      <c r="B314" s="56" t="n">
        <v>306</v>
      </c>
      <c r="C314" s="56">
        <f>ROUNDUP(B314/12,0)</f>
        <v/>
      </c>
      <c r="D314" s="52">
        <f>IF(AND(BANCO_OK_1,B314&lt;=MESES),IF(OR(OF_TIPO_1="Fija",C314&lt;=OF_ANIOS_INI_1),OF_TIN_1,MAX(0,EURIBOR+OF_DIF_1)),0)</f>
        <v/>
      </c>
      <c r="E314" s="58">
        <f>IF(AND(BANCO_OK_1,B314&lt;=MESES),IF(OR(B314=1,D314&lt;&gt;D313),PMT(D314/1200,MESES-B314+1,-H313),E313),0)</f>
        <v/>
      </c>
      <c r="F314" s="58">
        <f>H313*D314/1200</f>
        <v/>
      </c>
      <c r="G314" s="58">
        <f>IF(AND(BANCO_OK_1,B314&lt;=MESES),IF(OR(B314=MESES,E314-F314&gt;H313),H313,E314-F314),0)</f>
        <v/>
      </c>
      <c r="H314" s="58">
        <f>H313-G314</f>
        <v/>
      </c>
      <c r="I314" s="58">
        <f>IF(AND(BANCO_OK_1,B314&lt;=MESES),F314+G314+VINC_MES_1,0)</f>
        <v/>
      </c>
      <c r="J314" s="52">
        <f>IF(AND(BANCO_OK_2,B314&lt;=MESES),IF(OR(OF_TIPO_2="Fija",C314&lt;=OF_ANIOS_INI_2),OF_TIN_2,MAX(0,EURIBOR+OF_DIF_2)),0)</f>
        <v/>
      </c>
      <c r="K314" s="58">
        <f>IF(AND(BANCO_OK_2,B314&lt;=MESES),IF(OR(B314=1,J314&lt;&gt;J313),PMT(J314/1200,MESES-B314+1,-N313),K313),0)</f>
        <v/>
      </c>
      <c r="L314" s="58">
        <f>N313*J314/1200</f>
        <v/>
      </c>
      <c r="M314" s="58">
        <f>IF(AND(BANCO_OK_2,B314&lt;=MESES),IF(OR(B314=MESES,K314-L314&gt;N313),N313,K314-L314),0)</f>
        <v/>
      </c>
      <c r="N314" s="58">
        <f>N313-M314</f>
        <v/>
      </c>
      <c r="O314" s="58">
        <f>IF(AND(BANCO_OK_2,B314&lt;=MESES),L314+M314+VINC_MES_2,0)</f>
        <v/>
      </c>
      <c r="P314" s="52">
        <f>IF(AND(BANCO_OK_3,B314&lt;=MESES),IF(OR(OF_TIPO_3="Fija",C314&lt;=OF_ANIOS_INI_3),OF_TIN_3,MAX(0,EURIBOR+OF_DIF_3)),0)</f>
        <v/>
      </c>
      <c r="Q314" s="58">
        <f>IF(AND(BANCO_OK_3,B314&lt;=MESES),IF(OR(B314=1,P314&lt;&gt;P313),PMT(P314/1200,MESES-B314+1,-T313),Q313),0)</f>
        <v/>
      </c>
      <c r="R314" s="58">
        <f>T313*P314/1200</f>
        <v/>
      </c>
      <c r="S314" s="58">
        <f>IF(AND(BANCO_OK_3,B314&lt;=MESES),IF(OR(B314=MESES,Q314-R314&gt;T313),T313,Q314-R314),0)</f>
        <v/>
      </c>
      <c r="T314" s="58">
        <f>T313-S314</f>
        <v/>
      </c>
      <c r="U314" s="58">
        <f>IF(AND(BANCO_OK_3,B314&lt;=MESES),R314+S314+VINC_MES_3,0)</f>
        <v/>
      </c>
      <c r="V314" s="52">
        <f>IF(AND(BANCO_OK_4,B314&lt;=MESES),IF(OR(OF_TIPO_4="Fija",C314&lt;=OF_ANIOS_INI_4),OF_TIN_4,MAX(0,EURIBOR+OF_DIF_4)),0)</f>
        <v/>
      </c>
      <c r="W314" s="58">
        <f>IF(AND(BANCO_OK_4,B314&lt;=MESES),IF(OR(B314=1,V314&lt;&gt;V313),PMT(V314/1200,MESES-B314+1,-Z313),W313),0)</f>
        <v/>
      </c>
      <c r="X314" s="58">
        <f>Z313*V314/1200</f>
        <v/>
      </c>
      <c r="Y314" s="58">
        <f>IF(AND(BANCO_OK_4,B314&lt;=MESES),IF(OR(B314=MESES,W314-X314&gt;Z313),Z313,W314-X314),0)</f>
        <v/>
      </c>
      <c r="Z314" s="58">
        <f>Z313-Y314</f>
        <v/>
      </c>
      <c r="AA314" s="58">
        <f>IF(AND(BANCO_OK_4,B314&lt;=MESES),X314+Y314+VINC_MES_4,0)</f>
        <v/>
      </c>
    </row>
    <row r="315">
      <c r="B315" s="56" t="n">
        <v>307</v>
      </c>
      <c r="C315" s="56">
        <f>ROUNDUP(B315/12,0)</f>
        <v/>
      </c>
      <c r="D315" s="52">
        <f>IF(AND(BANCO_OK_1,B315&lt;=MESES),IF(OR(OF_TIPO_1="Fija",C315&lt;=OF_ANIOS_INI_1),OF_TIN_1,MAX(0,EURIBOR+OF_DIF_1)),0)</f>
        <v/>
      </c>
      <c r="E315" s="58">
        <f>IF(AND(BANCO_OK_1,B315&lt;=MESES),IF(OR(B315=1,D315&lt;&gt;D314),PMT(D315/1200,MESES-B315+1,-H314),E314),0)</f>
        <v/>
      </c>
      <c r="F315" s="58">
        <f>H314*D315/1200</f>
        <v/>
      </c>
      <c r="G315" s="58">
        <f>IF(AND(BANCO_OK_1,B315&lt;=MESES),IF(OR(B315=MESES,E315-F315&gt;H314),H314,E315-F315),0)</f>
        <v/>
      </c>
      <c r="H315" s="58">
        <f>H314-G315</f>
        <v/>
      </c>
      <c r="I315" s="58">
        <f>IF(AND(BANCO_OK_1,B315&lt;=MESES),F315+G315+VINC_MES_1,0)</f>
        <v/>
      </c>
      <c r="J315" s="52">
        <f>IF(AND(BANCO_OK_2,B315&lt;=MESES),IF(OR(OF_TIPO_2="Fija",C315&lt;=OF_ANIOS_INI_2),OF_TIN_2,MAX(0,EURIBOR+OF_DIF_2)),0)</f>
        <v/>
      </c>
      <c r="K315" s="58">
        <f>IF(AND(BANCO_OK_2,B315&lt;=MESES),IF(OR(B315=1,J315&lt;&gt;J314),PMT(J315/1200,MESES-B315+1,-N314),K314),0)</f>
        <v/>
      </c>
      <c r="L315" s="58">
        <f>N314*J315/1200</f>
        <v/>
      </c>
      <c r="M315" s="58">
        <f>IF(AND(BANCO_OK_2,B315&lt;=MESES),IF(OR(B315=MESES,K315-L315&gt;N314),N314,K315-L315),0)</f>
        <v/>
      </c>
      <c r="N315" s="58">
        <f>N314-M315</f>
        <v/>
      </c>
      <c r="O315" s="58">
        <f>IF(AND(BANCO_OK_2,B315&lt;=MESES),L315+M315+VINC_MES_2,0)</f>
        <v/>
      </c>
      <c r="P315" s="52">
        <f>IF(AND(BANCO_OK_3,B315&lt;=MESES),IF(OR(OF_TIPO_3="Fija",C315&lt;=OF_ANIOS_INI_3),OF_TIN_3,MAX(0,EURIBOR+OF_DIF_3)),0)</f>
        <v/>
      </c>
      <c r="Q315" s="58">
        <f>IF(AND(BANCO_OK_3,B315&lt;=MESES),IF(OR(B315=1,P315&lt;&gt;P314),PMT(P315/1200,MESES-B315+1,-T314),Q314),0)</f>
        <v/>
      </c>
      <c r="R315" s="58">
        <f>T314*P315/1200</f>
        <v/>
      </c>
      <c r="S315" s="58">
        <f>IF(AND(BANCO_OK_3,B315&lt;=MESES),IF(OR(B315=MESES,Q315-R315&gt;T314),T314,Q315-R315),0)</f>
        <v/>
      </c>
      <c r="T315" s="58">
        <f>T314-S315</f>
        <v/>
      </c>
      <c r="U315" s="58">
        <f>IF(AND(BANCO_OK_3,B315&lt;=MESES),R315+S315+VINC_MES_3,0)</f>
        <v/>
      </c>
      <c r="V315" s="52">
        <f>IF(AND(BANCO_OK_4,B315&lt;=MESES),IF(OR(OF_TIPO_4="Fija",C315&lt;=OF_ANIOS_INI_4),OF_TIN_4,MAX(0,EURIBOR+OF_DIF_4)),0)</f>
        <v/>
      </c>
      <c r="W315" s="58">
        <f>IF(AND(BANCO_OK_4,B315&lt;=MESES),IF(OR(B315=1,V315&lt;&gt;V314),PMT(V315/1200,MESES-B315+1,-Z314),W314),0)</f>
        <v/>
      </c>
      <c r="X315" s="58">
        <f>Z314*V315/1200</f>
        <v/>
      </c>
      <c r="Y315" s="58">
        <f>IF(AND(BANCO_OK_4,B315&lt;=MESES),IF(OR(B315=MESES,W315-X315&gt;Z314),Z314,W315-X315),0)</f>
        <v/>
      </c>
      <c r="Z315" s="58">
        <f>Z314-Y315</f>
        <v/>
      </c>
      <c r="AA315" s="58">
        <f>IF(AND(BANCO_OK_4,B315&lt;=MESES),X315+Y315+VINC_MES_4,0)</f>
        <v/>
      </c>
    </row>
    <row r="316">
      <c r="B316" s="56" t="n">
        <v>308</v>
      </c>
      <c r="C316" s="56">
        <f>ROUNDUP(B316/12,0)</f>
        <v/>
      </c>
      <c r="D316" s="52">
        <f>IF(AND(BANCO_OK_1,B316&lt;=MESES),IF(OR(OF_TIPO_1="Fija",C316&lt;=OF_ANIOS_INI_1),OF_TIN_1,MAX(0,EURIBOR+OF_DIF_1)),0)</f>
        <v/>
      </c>
      <c r="E316" s="58">
        <f>IF(AND(BANCO_OK_1,B316&lt;=MESES),IF(OR(B316=1,D316&lt;&gt;D315),PMT(D316/1200,MESES-B316+1,-H315),E315),0)</f>
        <v/>
      </c>
      <c r="F316" s="58">
        <f>H315*D316/1200</f>
        <v/>
      </c>
      <c r="G316" s="58">
        <f>IF(AND(BANCO_OK_1,B316&lt;=MESES),IF(OR(B316=MESES,E316-F316&gt;H315),H315,E316-F316),0)</f>
        <v/>
      </c>
      <c r="H316" s="58">
        <f>H315-G316</f>
        <v/>
      </c>
      <c r="I316" s="58">
        <f>IF(AND(BANCO_OK_1,B316&lt;=MESES),F316+G316+VINC_MES_1,0)</f>
        <v/>
      </c>
      <c r="J316" s="52">
        <f>IF(AND(BANCO_OK_2,B316&lt;=MESES),IF(OR(OF_TIPO_2="Fija",C316&lt;=OF_ANIOS_INI_2),OF_TIN_2,MAX(0,EURIBOR+OF_DIF_2)),0)</f>
        <v/>
      </c>
      <c r="K316" s="58">
        <f>IF(AND(BANCO_OK_2,B316&lt;=MESES),IF(OR(B316=1,J316&lt;&gt;J315),PMT(J316/1200,MESES-B316+1,-N315),K315),0)</f>
        <v/>
      </c>
      <c r="L316" s="58">
        <f>N315*J316/1200</f>
        <v/>
      </c>
      <c r="M316" s="58">
        <f>IF(AND(BANCO_OK_2,B316&lt;=MESES),IF(OR(B316=MESES,K316-L316&gt;N315),N315,K316-L316),0)</f>
        <v/>
      </c>
      <c r="N316" s="58">
        <f>N315-M316</f>
        <v/>
      </c>
      <c r="O316" s="58">
        <f>IF(AND(BANCO_OK_2,B316&lt;=MESES),L316+M316+VINC_MES_2,0)</f>
        <v/>
      </c>
      <c r="P316" s="52">
        <f>IF(AND(BANCO_OK_3,B316&lt;=MESES),IF(OR(OF_TIPO_3="Fija",C316&lt;=OF_ANIOS_INI_3),OF_TIN_3,MAX(0,EURIBOR+OF_DIF_3)),0)</f>
        <v/>
      </c>
      <c r="Q316" s="58">
        <f>IF(AND(BANCO_OK_3,B316&lt;=MESES),IF(OR(B316=1,P316&lt;&gt;P315),PMT(P316/1200,MESES-B316+1,-T315),Q315),0)</f>
        <v/>
      </c>
      <c r="R316" s="58">
        <f>T315*P316/1200</f>
        <v/>
      </c>
      <c r="S316" s="58">
        <f>IF(AND(BANCO_OK_3,B316&lt;=MESES),IF(OR(B316=MESES,Q316-R316&gt;T315),T315,Q316-R316),0)</f>
        <v/>
      </c>
      <c r="T316" s="58">
        <f>T315-S316</f>
        <v/>
      </c>
      <c r="U316" s="58">
        <f>IF(AND(BANCO_OK_3,B316&lt;=MESES),R316+S316+VINC_MES_3,0)</f>
        <v/>
      </c>
      <c r="V316" s="52">
        <f>IF(AND(BANCO_OK_4,B316&lt;=MESES),IF(OR(OF_TIPO_4="Fija",C316&lt;=OF_ANIOS_INI_4),OF_TIN_4,MAX(0,EURIBOR+OF_DIF_4)),0)</f>
        <v/>
      </c>
      <c r="W316" s="58">
        <f>IF(AND(BANCO_OK_4,B316&lt;=MESES),IF(OR(B316=1,V316&lt;&gt;V315),PMT(V316/1200,MESES-B316+1,-Z315),W315),0)</f>
        <v/>
      </c>
      <c r="X316" s="58">
        <f>Z315*V316/1200</f>
        <v/>
      </c>
      <c r="Y316" s="58">
        <f>IF(AND(BANCO_OK_4,B316&lt;=MESES),IF(OR(B316=MESES,W316-X316&gt;Z315),Z315,W316-X316),0)</f>
        <v/>
      </c>
      <c r="Z316" s="58">
        <f>Z315-Y316</f>
        <v/>
      </c>
      <c r="AA316" s="58">
        <f>IF(AND(BANCO_OK_4,B316&lt;=MESES),X316+Y316+VINC_MES_4,0)</f>
        <v/>
      </c>
    </row>
    <row r="317">
      <c r="B317" s="56" t="n">
        <v>309</v>
      </c>
      <c r="C317" s="56">
        <f>ROUNDUP(B317/12,0)</f>
        <v/>
      </c>
      <c r="D317" s="52">
        <f>IF(AND(BANCO_OK_1,B317&lt;=MESES),IF(OR(OF_TIPO_1="Fija",C317&lt;=OF_ANIOS_INI_1),OF_TIN_1,MAX(0,EURIBOR+OF_DIF_1)),0)</f>
        <v/>
      </c>
      <c r="E317" s="58">
        <f>IF(AND(BANCO_OK_1,B317&lt;=MESES),IF(OR(B317=1,D317&lt;&gt;D316),PMT(D317/1200,MESES-B317+1,-H316),E316),0)</f>
        <v/>
      </c>
      <c r="F317" s="58">
        <f>H316*D317/1200</f>
        <v/>
      </c>
      <c r="G317" s="58">
        <f>IF(AND(BANCO_OK_1,B317&lt;=MESES),IF(OR(B317=MESES,E317-F317&gt;H316),H316,E317-F317),0)</f>
        <v/>
      </c>
      <c r="H317" s="58">
        <f>H316-G317</f>
        <v/>
      </c>
      <c r="I317" s="58">
        <f>IF(AND(BANCO_OK_1,B317&lt;=MESES),F317+G317+VINC_MES_1,0)</f>
        <v/>
      </c>
      <c r="J317" s="52">
        <f>IF(AND(BANCO_OK_2,B317&lt;=MESES),IF(OR(OF_TIPO_2="Fija",C317&lt;=OF_ANIOS_INI_2),OF_TIN_2,MAX(0,EURIBOR+OF_DIF_2)),0)</f>
        <v/>
      </c>
      <c r="K317" s="58">
        <f>IF(AND(BANCO_OK_2,B317&lt;=MESES),IF(OR(B317=1,J317&lt;&gt;J316),PMT(J317/1200,MESES-B317+1,-N316),K316),0)</f>
        <v/>
      </c>
      <c r="L317" s="58">
        <f>N316*J317/1200</f>
        <v/>
      </c>
      <c r="M317" s="58">
        <f>IF(AND(BANCO_OK_2,B317&lt;=MESES),IF(OR(B317=MESES,K317-L317&gt;N316),N316,K317-L317),0)</f>
        <v/>
      </c>
      <c r="N317" s="58">
        <f>N316-M317</f>
        <v/>
      </c>
      <c r="O317" s="58">
        <f>IF(AND(BANCO_OK_2,B317&lt;=MESES),L317+M317+VINC_MES_2,0)</f>
        <v/>
      </c>
      <c r="P317" s="52">
        <f>IF(AND(BANCO_OK_3,B317&lt;=MESES),IF(OR(OF_TIPO_3="Fija",C317&lt;=OF_ANIOS_INI_3),OF_TIN_3,MAX(0,EURIBOR+OF_DIF_3)),0)</f>
        <v/>
      </c>
      <c r="Q317" s="58">
        <f>IF(AND(BANCO_OK_3,B317&lt;=MESES),IF(OR(B317=1,P317&lt;&gt;P316),PMT(P317/1200,MESES-B317+1,-T316),Q316),0)</f>
        <v/>
      </c>
      <c r="R317" s="58">
        <f>T316*P317/1200</f>
        <v/>
      </c>
      <c r="S317" s="58">
        <f>IF(AND(BANCO_OK_3,B317&lt;=MESES),IF(OR(B317=MESES,Q317-R317&gt;T316),T316,Q317-R317),0)</f>
        <v/>
      </c>
      <c r="T317" s="58">
        <f>T316-S317</f>
        <v/>
      </c>
      <c r="U317" s="58">
        <f>IF(AND(BANCO_OK_3,B317&lt;=MESES),R317+S317+VINC_MES_3,0)</f>
        <v/>
      </c>
      <c r="V317" s="52">
        <f>IF(AND(BANCO_OK_4,B317&lt;=MESES),IF(OR(OF_TIPO_4="Fija",C317&lt;=OF_ANIOS_INI_4),OF_TIN_4,MAX(0,EURIBOR+OF_DIF_4)),0)</f>
        <v/>
      </c>
      <c r="W317" s="58">
        <f>IF(AND(BANCO_OK_4,B317&lt;=MESES),IF(OR(B317=1,V317&lt;&gt;V316),PMT(V317/1200,MESES-B317+1,-Z316),W316),0)</f>
        <v/>
      </c>
      <c r="X317" s="58">
        <f>Z316*V317/1200</f>
        <v/>
      </c>
      <c r="Y317" s="58">
        <f>IF(AND(BANCO_OK_4,B317&lt;=MESES),IF(OR(B317=MESES,W317-X317&gt;Z316),Z316,W317-X317),0)</f>
        <v/>
      </c>
      <c r="Z317" s="58">
        <f>Z316-Y317</f>
        <v/>
      </c>
      <c r="AA317" s="58">
        <f>IF(AND(BANCO_OK_4,B317&lt;=MESES),X317+Y317+VINC_MES_4,0)</f>
        <v/>
      </c>
    </row>
    <row r="318">
      <c r="B318" s="56" t="n">
        <v>310</v>
      </c>
      <c r="C318" s="56">
        <f>ROUNDUP(B318/12,0)</f>
        <v/>
      </c>
      <c r="D318" s="52">
        <f>IF(AND(BANCO_OK_1,B318&lt;=MESES),IF(OR(OF_TIPO_1="Fija",C318&lt;=OF_ANIOS_INI_1),OF_TIN_1,MAX(0,EURIBOR+OF_DIF_1)),0)</f>
        <v/>
      </c>
      <c r="E318" s="58">
        <f>IF(AND(BANCO_OK_1,B318&lt;=MESES),IF(OR(B318=1,D318&lt;&gt;D317),PMT(D318/1200,MESES-B318+1,-H317),E317),0)</f>
        <v/>
      </c>
      <c r="F318" s="58">
        <f>H317*D318/1200</f>
        <v/>
      </c>
      <c r="G318" s="58">
        <f>IF(AND(BANCO_OK_1,B318&lt;=MESES),IF(OR(B318=MESES,E318-F318&gt;H317),H317,E318-F318),0)</f>
        <v/>
      </c>
      <c r="H318" s="58">
        <f>H317-G318</f>
        <v/>
      </c>
      <c r="I318" s="58">
        <f>IF(AND(BANCO_OK_1,B318&lt;=MESES),F318+G318+VINC_MES_1,0)</f>
        <v/>
      </c>
      <c r="J318" s="52">
        <f>IF(AND(BANCO_OK_2,B318&lt;=MESES),IF(OR(OF_TIPO_2="Fija",C318&lt;=OF_ANIOS_INI_2),OF_TIN_2,MAX(0,EURIBOR+OF_DIF_2)),0)</f>
        <v/>
      </c>
      <c r="K318" s="58">
        <f>IF(AND(BANCO_OK_2,B318&lt;=MESES),IF(OR(B318=1,J318&lt;&gt;J317),PMT(J318/1200,MESES-B318+1,-N317),K317),0)</f>
        <v/>
      </c>
      <c r="L318" s="58">
        <f>N317*J318/1200</f>
        <v/>
      </c>
      <c r="M318" s="58">
        <f>IF(AND(BANCO_OK_2,B318&lt;=MESES),IF(OR(B318=MESES,K318-L318&gt;N317),N317,K318-L318),0)</f>
        <v/>
      </c>
      <c r="N318" s="58">
        <f>N317-M318</f>
        <v/>
      </c>
      <c r="O318" s="58">
        <f>IF(AND(BANCO_OK_2,B318&lt;=MESES),L318+M318+VINC_MES_2,0)</f>
        <v/>
      </c>
      <c r="P318" s="52">
        <f>IF(AND(BANCO_OK_3,B318&lt;=MESES),IF(OR(OF_TIPO_3="Fija",C318&lt;=OF_ANIOS_INI_3),OF_TIN_3,MAX(0,EURIBOR+OF_DIF_3)),0)</f>
        <v/>
      </c>
      <c r="Q318" s="58">
        <f>IF(AND(BANCO_OK_3,B318&lt;=MESES),IF(OR(B318=1,P318&lt;&gt;P317),PMT(P318/1200,MESES-B318+1,-T317),Q317),0)</f>
        <v/>
      </c>
      <c r="R318" s="58">
        <f>T317*P318/1200</f>
        <v/>
      </c>
      <c r="S318" s="58">
        <f>IF(AND(BANCO_OK_3,B318&lt;=MESES),IF(OR(B318=MESES,Q318-R318&gt;T317),T317,Q318-R318),0)</f>
        <v/>
      </c>
      <c r="T318" s="58">
        <f>T317-S318</f>
        <v/>
      </c>
      <c r="U318" s="58">
        <f>IF(AND(BANCO_OK_3,B318&lt;=MESES),R318+S318+VINC_MES_3,0)</f>
        <v/>
      </c>
      <c r="V318" s="52">
        <f>IF(AND(BANCO_OK_4,B318&lt;=MESES),IF(OR(OF_TIPO_4="Fija",C318&lt;=OF_ANIOS_INI_4),OF_TIN_4,MAX(0,EURIBOR+OF_DIF_4)),0)</f>
        <v/>
      </c>
      <c r="W318" s="58">
        <f>IF(AND(BANCO_OK_4,B318&lt;=MESES),IF(OR(B318=1,V318&lt;&gt;V317),PMT(V318/1200,MESES-B318+1,-Z317),W317),0)</f>
        <v/>
      </c>
      <c r="X318" s="58">
        <f>Z317*V318/1200</f>
        <v/>
      </c>
      <c r="Y318" s="58">
        <f>IF(AND(BANCO_OK_4,B318&lt;=MESES),IF(OR(B318=MESES,W318-X318&gt;Z317),Z317,W318-X318),0)</f>
        <v/>
      </c>
      <c r="Z318" s="58">
        <f>Z317-Y318</f>
        <v/>
      </c>
      <c r="AA318" s="58">
        <f>IF(AND(BANCO_OK_4,B318&lt;=MESES),X318+Y318+VINC_MES_4,0)</f>
        <v/>
      </c>
    </row>
    <row r="319">
      <c r="B319" s="56" t="n">
        <v>311</v>
      </c>
      <c r="C319" s="56">
        <f>ROUNDUP(B319/12,0)</f>
        <v/>
      </c>
      <c r="D319" s="52">
        <f>IF(AND(BANCO_OK_1,B319&lt;=MESES),IF(OR(OF_TIPO_1="Fija",C319&lt;=OF_ANIOS_INI_1),OF_TIN_1,MAX(0,EURIBOR+OF_DIF_1)),0)</f>
        <v/>
      </c>
      <c r="E319" s="58">
        <f>IF(AND(BANCO_OK_1,B319&lt;=MESES),IF(OR(B319=1,D319&lt;&gt;D318),PMT(D319/1200,MESES-B319+1,-H318),E318),0)</f>
        <v/>
      </c>
      <c r="F319" s="58">
        <f>H318*D319/1200</f>
        <v/>
      </c>
      <c r="G319" s="58">
        <f>IF(AND(BANCO_OK_1,B319&lt;=MESES),IF(OR(B319=MESES,E319-F319&gt;H318),H318,E319-F319),0)</f>
        <v/>
      </c>
      <c r="H319" s="58">
        <f>H318-G319</f>
        <v/>
      </c>
      <c r="I319" s="58">
        <f>IF(AND(BANCO_OK_1,B319&lt;=MESES),F319+G319+VINC_MES_1,0)</f>
        <v/>
      </c>
      <c r="J319" s="52">
        <f>IF(AND(BANCO_OK_2,B319&lt;=MESES),IF(OR(OF_TIPO_2="Fija",C319&lt;=OF_ANIOS_INI_2),OF_TIN_2,MAX(0,EURIBOR+OF_DIF_2)),0)</f>
        <v/>
      </c>
      <c r="K319" s="58">
        <f>IF(AND(BANCO_OK_2,B319&lt;=MESES),IF(OR(B319=1,J319&lt;&gt;J318),PMT(J319/1200,MESES-B319+1,-N318),K318),0)</f>
        <v/>
      </c>
      <c r="L319" s="58">
        <f>N318*J319/1200</f>
        <v/>
      </c>
      <c r="M319" s="58">
        <f>IF(AND(BANCO_OK_2,B319&lt;=MESES),IF(OR(B319=MESES,K319-L319&gt;N318),N318,K319-L319),0)</f>
        <v/>
      </c>
      <c r="N319" s="58">
        <f>N318-M319</f>
        <v/>
      </c>
      <c r="O319" s="58">
        <f>IF(AND(BANCO_OK_2,B319&lt;=MESES),L319+M319+VINC_MES_2,0)</f>
        <v/>
      </c>
      <c r="P319" s="52">
        <f>IF(AND(BANCO_OK_3,B319&lt;=MESES),IF(OR(OF_TIPO_3="Fija",C319&lt;=OF_ANIOS_INI_3),OF_TIN_3,MAX(0,EURIBOR+OF_DIF_3)),0)</f>
        <v/>
      </c>
      <c r="Q319" s="58">
        <f>IF(AND(BANCO_OK_3,B319&lt;=MESES),IF(OR(B319=1,P319&lt;&gt;P318),PMT(P319/1200,MESES-B319+1,-T318),Q318),0)</f>
        <v/>
      </c>
      <c r="R319" s="58">
        <f>T318*P319/1200</f>
        <v/>
      </c>
      <c r="S319" s="58">
        <f>IF(AND(BANCO_OK_3,B319&lt;=MESES),IF(OR(B319=MESES,Q319-R319&gt;T318),T318,Q319-R319),0)</f>
        <v/>
      </c>
      <c r="T319" s="58">
        <f>T318-S319</f>
        <v/>
      </c>
      <c r="U319" s="58">
        <f>IF(AND(BANCO_OK_3,B319&lt;=MESES),R319+S319+VINC_MES_3,0)</f>
        <v/>
      </c>
      <c r="V319" s="52">
        <f>IF(AND(BANCO_OK_4,B319&lt;=MESES),IF(OR(OF_TIPO_4="Fija",C319&lt;=OF_ANIOS_INI_4),OF_TIN_4,MAX(0,EURIBOR+OF_DIF_4)),0)</f>
        <v/>
      </c>
      <c r="W319" s="58">
        <f>IF(AND(BANCO_OK_4,B319&lt;=MESES),IF(OR(B319=1,V319&lt;&gt;V318),PMT(V319/1200,MESES-B319+1,-Z318),W318),0)</f>
        <v/>
      </c>
      <c r="X319" s="58">
        <f>Z318*V319/1200</f>
        <v/>
      </c>
      <c r="Y319" s="58">
        <f>IF(AND(BANCO_OK_4,B319&lt;=MESES),IF(OR(B319=MESES,W319-X319&gt;Z318),Z318,W319-X319),0)</f>
        <v/>
      </c>
      <c r="Z319" s="58">
        <f>Z318-Y319</f>
        <v/>
      </c>
      <c r="AA319" s="58">
        <f>IF(AND(BANCO_OK_4,B319&lt;=MESES),X319+Y319+VINC_MES_4,0)</f>
        <v/>
      </c>
    </row>
    <row r="320">
      <c r="B320" s="56" t="n">
        <v>312</v>
      </c>
      <c r="C320" s="56">
        <f>ROUNDUP(B320/12,0)</f>
        <v/>
      </c>
      <c r="D320" s="52">
        <f>IF(AND(BANCO_OK_1,B320&lt;=MESES),IF(OR(OF_TIPO_1="Fija",C320&lt;=OF_ANIOS_INI_1),OF_TIN_1,MAX(0,EURIBOR+OF_DIF_1)),0)</f>
        <v/>
      </c>
      <c r="E320" s="58">
        <f>IF(AND(BANCO_OK_1,B320&lt;=MESES),IF(OR(B320=1,D320&lt;&gt;D319),PMT(D320/1200,MESES-B320+1,-H319),E319),0)</f>
        <v/>
      </c>
      <c r="F320" s="58">
        <f>H319*D320/1200</f>
        <v/>
      </c>
      <c r="G320" s="58">
        <f>IF(AND(BANCO_OK_1,B320&lt;=MESES),IF(OR(B320=MESES,E320-F320&gt;H319),H319,E320-F320),0)</f>
        <v/>
      </c>
      <c r="H320" s="58">
        <f>H319-G320</f>
        <v/>
      </c>
      <c r="I320" s="58">
        <f>IF(AND(BANCO_OK_1,B320&lt;=MESES),F320+G320+VINC_MES_1,0)</f>
        <v/>
      </c>
      <c r="J320" s="52">
        <f>IF(AND(BANCO_OK_2,B320&lt;=MESES),IF(OR(OF_TIPO_2="Fija",C320&lt;=OF_ANIOS_INI_2),OF_TIN_2,MAX(0,EURIBOR+OF_DIF_2)),0)</f>
        <v/>
      </c>
      <c r="K320" s="58">
        <f>IF(AND(BANCO_OK_2,B320&lt;=MESES),IF(OR(B320=1,J320&lt;&gt;J319),PMT(J320/1200,MESES-B320+1,-N319),K319),0)</f>
        <v/>
      </c>
      <c r="L320" s="58">
        <f>N319*J320/1200</f>
        <v/>
      </c>
      <c r="M320" s="58">
        <f>IF(AND(BANCO_OK_2,B320&lt;=MESES),IF(OR(B320=MESES,K320-L320&gt;N319),N319,K320-L320),0)</f>
        <v/>
      </c>
      <c r="N320" s="58">
        <f>N319-M320</f>
        <v/>
      </c>
      <c r="O320" s="58">
        <f>IF(AND(BANCO_OK_2,B320&lt;=MESES),L320+M320+VINC_MES_2,0)</f>
        <v/>
      </c>
      <c r="P320" s="52">
        <f>IF(AND(BANCO_OK_3,B320&lt;=MESES),IF(OR(OF_TIPO_3="Fija",C320&lt;=OF_ANIOS_INI_3),OF_TIN_3,MAX(0,EURIBOR+OF_DIF_3)),0)</f>
        <v/>
      </c>
      <c r="Q320" s="58">
        <f>IF(AND(BANCO_OK_3,B320&lt;=MESES),IF(OR(B320=1,P320&lt;&gt;P319),PMT(P320/1200,MESES-B320+1,-T319),Q319),0)</f>
        <v/>
      </c>
      <c r="R320" s="58">
        <f>T319*P320/1200</f>
        <v/>
      </c>
      <c r="S320" s="58">
        <f>IF(AND(BANCO_OK_3,B320&lt;=MESES),IF(OR(B320=MESES,Q320-R320&gt;T319),T319,Q320-R320),0)</f>
        <v/>
      </c>
      <c r="T320" s="58">
        <f>T319-S320</f>
        <v/>
      </c>
      <c r="U320" s="58">
        <f>IF(AND(BANCO_OK_3,B320&lt;=MESES),R320+S320+VINC_MES_3,0)</f>
        <v/>
      </c>
      <c r="V320" s="52">
        <f>IF(AND(BANCO_OK_4,B320&lt;=MESES),IF(OR(OF_TIPO_4="Fija",C320&lt;=OF_ANIOS_INI_4),OF_TIN_4,MAX(0,EURIBOR+OF_DIF_4)),0)</f>
        <v/>
      </c>
      <c r="W320" s="58">
        <f>IF(AND(BANCO_OK_4,B320&lt;=MESES),IF(OR(B320=1,V320&lt;&gt;V319),PMT(V320/1200,MESES-B320+1,-Z319),W319),0)</f>
        <v/>
      </c>
      <c r="X320" s="58">
        <f>Z319*V320/1200</f>
        <v/>
      </c>
      <c r="Y320" s="58">
        <f>IF(AND(BANCO_OK_4,B320&lt;=MESES),IF(OR(B320=MESES,W320-X320&gt;Z319),Z319,W320-X320),0)</f>
        <v/>
      </c>
      <c r="Z320" s="58">
        <f>Z319-Y320</f>
        <v/>
      </c>
      <c r="AA320" s="58">
        <f>IF(AND(BANCO_OK_4,B320&lt;=MESES),X320+Y320+VINC_MES_4,0)</f>
        <v/>
      </c>
    </row>
    <row r="321">
      <c r="B321" s="56" t="n">
        <v>313</v>
      </c>
      <c r="C321" s="56">
        <f>ROUNDUP(B321/12,0)</f>
        <v/>
      </c>
      <c r="D321" s="52">
        <f>IF(AND(BANCO_OK_1,B321&lt;=MESES),IF(OR(OF_TIPO_1="Fija",C321&lt;=OF_ANIOS_INI_1),OF_TIN_1,MAX(0,EURIBOR+OF_DIF_1)),0)</f>
        <v/>
      </c>
      <c r="E321" s="58">
        <f>IF(AND(BANCO_OK_1,B321&lt;=MESES),IF(OR(B321=1,D321&lt;&gt;D320),PMT(D321/1200,MESES-B321+1,-H320),E320),0)</f>
        <v/>
      </c>
      <c r="F321" s="58">
        <f>H320*D321/1200</f>
        <v/>
      </c>
      <c r="G321" s="58">
        <f>IF(AND(BANCO_OK_1,B321&lt;=MESES),IF(OR(B321=MESES,E321-F321&gt;H320),H320,E321-F321),0)</f>
        <v/>
      </c>
      <c r="H321" s="58">
        <f>H320-G321</f>
        <v/>
      </c>
      <c r="I321" s="58">
        <f>IF(AND(BANCO_OK_1,B321&lt;=MESES),F321+G321+VINC_MES_1,0)</f>
        <v/>
      </c>
      <c r="J321" s="52">
        <f>IF(AND(BANCO_OK_2,B321&lt;=MESES),IF(OR(OF_TIPO_2="Fija",C321&lt;=OF_ANIOS_INI_2),OF_TIN_2,MAX(0,EURIBOR+OF_DIF_2)),0)</f>
        <v/>
      </c>
      <c r="K321" s="58">
        <f>IF(AND(BANCO_OK_2,B321&lt;=MESES),IF(OR(B321=1,J321&lt;&gt;J320),PMT(J321/1200,MESES-B321+1,-N320),K320),0)</f>
        <v/>
      </c>
      <c r="L321" s="58">
        <f>N320*J321/1200</f>
        <v/>
      </c>
      <c r="M321" s="58">
        <f>IF(AND(BANCO_OK_2,B321&lt;=MESES),IF(OR(B321=MESES,K321-L321&gt;N320),N320,K321-L321),0)</f>
        <v/>
      </c>
      <c r="N321" s="58">
        <f>N320-M321</f>
        <v/>
      </c>
      <c r="O321" s="58">
        <f>IF(AND(BANCO_OK_2,B321&lt;=MESES),L321+M321+VINC_MES_2,0)</f>
        <v/>
      </c>
      <c r="P321" s="52">
        <f>IF(AND(BANCO_OK_3,B321&lt;=MESES),IF(OR(OF_TIPO_3="Fija",C321&lt;=OF_ANIOS_INI_3),OF_TIN_3,MAX(0,EURIBOR+OF_DIF_3)),0)</f>
        <v/>
      </c>
      <c r="Q321" s="58">
        <f>IF(AND(BANCO_OK_3,B321&lt;=MESES),IF(OR(B321=1,P321&lt;&gt;P320),PMT(P321/1200,MESES-B321+1,-T320),Q320),0)</f>
        <v/>
      </c>
      <c r="R321" s="58">
        <f>T320*P321/1200</f>
        <v/>
      </c>
      <c r="S321" s="58">
        <f>IF(AND(BANCO_OK_3,B321&lt;=MESES),IF(OR(B321=MESES,Q321-R321&gt;T320),T320,Q321-R321),0)</f>
        <v/>
      </c>
      <c r="T321" s="58">
        <f>T320-S321</f>
        <v/>
      </c>
      <c r="U321" s="58">
        <f>IF(AND(BANCO_OK_3,B321&lt;=MESES),R321+S321+VINC_MES_3,0)</f>
        <v/>
      </c>
      <c r="V321" s="52">
        <f>IF(AND(BANCO_OK_4,B321&lt;=MESES),IF(OR(OF_TIPO_4="Fija",C321&lt;=OF_ANIOS_INI_4),OF_TIN_4,MAX(0,EURIBOR+OF_DIF_4)),0)</f>
        <v/>
      </c>
      <c r="W321" s="58">
        <f>IF(AND(BANCO_OK_4,B321&lt;=MESES),IF(OR(B321=1,V321&lt;&gt;V320),PMT(V321/1200,MESES-B321+1,-Z320),W320),0)</f>
        <v/>
      </c>
      <c r="X321" s="58">
        <f>Z320*V321/1200</f>
        <v/>
      </c>
      <c r="Y321" s="58">
        <f>IF(AND(BANCO_OK_4,B321&lt;=MESES),IF(OR(B321=MESES,W321-X321&gt;Z320),Z320,W321-X321),0)</f>
        <v/>
      </c>
      <c r="Z321" s="58">
        <f>Z320-Y321</f>
        <v/>
      </c>
      <c r="AA321" s="58">
        <f>IF(AND(BANCO_OK_4,B321&lt;=MESES),X321+Y321+VINC_MES_4,0)</f>
        <v/>
      </c>
    </row>
    <row r="322">
      <c r="B322" s="56" t="n">
        <v>314</v>
      </c>
      <c r="C322" s="56">
        <f>ROUNDUP(B322/12,0)</f>
        <v/>
      </c>
      <c r="D322" s="52">
        <f>IF(AND(BANCO_OK_1,B322&lt;=MESES),IF(OR(OF_TIPO_1="Fija",C322&lt;=OF_ANIOS_INI_1),OF_TIN_1,MAX(0,EURIBOR+OF_DIF_1)),0)</f>
        <v/>
      </c>
      <c r="E322" s="58">
        <f>IF(AND(BANCO_OK_1,B322&lt;=MESES),IF(OR(B322=1,D322&lt;&gt;D321),PMT(D322/1200,MESES-B322+1,-H321),E321),0)</f>
        <v/>
      </c>
      <c r="F322" s="58">
        <f>H321*D322/1200</f>
        <v/>
      </c>
      <c r="G322" s="58">
        <f>IF(AND(BANCO_OK_1,B322&lt;=MESES),IF(OR(B322=MESES,E322-F322&gt;H321),H321,E322-F322),0)</f>
        <v/>
      </c>
      <c r="H322" s="58">
        <f>H321-G322</f>
        <v/>
      </c>
      <c r="I322" s="58">
        <f>IF(AND(BANCO_OK_1,B322&lt;=MESES),F322+G322+VINC_MES_1,0)</f>
        <v/>
      </c>
      <c r="J322" s="52">
        <f>IF(AND(BANCO_OK_2,B322&lt;=MESES),IF(OR(OF_TIPO_2="Fija",C322&lt;=OF_ANIOS_INI_2),OF_TIN_2,MAX(0,EURIBOR+OF_DIF_2)),0)</f>
        <v/>
      </c>
      <c r="K322" s="58">
        <f>IF(AND(BANCO_OK_2,B322&lt;=MESES),IF(OR(B322=1,J322&lt;&gt;J321),PMT(J322/1200,MESES-B322+1,-N321),K321),0)</f>
        <v/>
      </c>
      <c r="L322" s="58">
        <f>N321*J322/1200</f>
        <v/>
      </c>
      <c r="M322" s="58">
        <f>IF(AND(BANCO_OK_2,B322&lt;=MESES),IF(OR(B322=MESES,K322-L322&gt;N321),N321,K322-L322),0)</f>
        <v/>
      </c>
      <c r="N322" s="58">
        <f>N321-M322</f>
        <v/>
      </c>
      <c r="O322" s="58">
        <f>IF(AND(BANCO_OK_2,B322&lt;=MESES),L322+M322+VINC_MES_2,0)</f>
        <v/>
      </c>
      <c r="P322" s="52">
        <f>IF(AND(BANCO_OK_3,B322&lt;=MESES),IF(OR(OF_TIPO_3="Fija",C322&lt;=OF_ANIOS_INI_3),OF_TIN_3,MAX(0,EURIBOR+OF_DIF_3)),0)</f>
        <v/>
      </c>
      <c r="Q322" s="58">
        <f>IF(AND(BANCO_OK_3,B322&lt;=MESES),IF(OR(B322=1,P322&lt;&gt;P321),PMT(P322/1200,MESES-B322+1,-T321),Q321),0)</f>
        <v/>
      </c>
      <c r="R322" s="58">
        <f>T321*P322/1200</f>
        <v/>
      </c>
      <c r="S322" s="58">
        <f>IF(AND(BANCO_OK_3,B322&lt;=MESES),IF(OR(B322=MESES,Q322-R322&gt;T321),T321,Q322-R322),0)</f>
        <v/>
      </c>
      <c r="T322" s="58">
        <f>T321-S322</f>
        <v/>
      </c>
      <c r="U322" s="58">
        <f>IF(AND(BANCO_OK_3,B322&lt;=MESES),R322+S322+VINC_MES_3,0)</f>
        <v/>
      </c>
      <c r="V322" s="52">
        <f>IF(AND(BANCO_OK_4,B322&lt;=MESES),IF(OR(OF_TIPO_4="Fija",C322&lt;=OF_ANIOS_INI_4),OF_TIN_4,MAX(0,EURIBOR+OF_DIF_4)),0)</f>
        <v/>
      </c>
      <c r="W322" s="58">
        <f>IF(AND(BANCO_OK_4,B322&lt;=MESES),IF(OR(B322=1,V322&lt;&gt;V321),PMT(V322/1200,MESES-B322+1,-Z321),W321),0)</f>
        <v/>
      </c>
      <c r="X322" s="58">
        <f>Z321*V322/1200</f>
        <v/>
      </c>
      <c r="Y322" s="58">
        <f>IF(AND(BANCO_OK_4,B322&lt;=MESES),IF(OR(B322=MESES,W322-X322&gt;Z321),Z321,W322-X322),0)</f>
        <v/>
      </c>
      <c r="Z322" s="58">
        <f>Z321-Y322</f>
        <v/>
      </c>
      <c r="AA322" s="58">
        <f>IF(AND(BANCO_OK_4,B322&lt;=MESES),X322+Y322+VINC_MES_4,0)</f>
        <v/>
      </c>
    </row>
    <row r="323">
      <c r="B323" s="56" t="n">
        <v>315</v>
      </c>
      <c r="C323" s="56">
        <f>ROUNDUP(B323/12,0)</f>
        <v/>
      </c>
      <c r="D323" s="52">
        <f>IF(AND(BANCO_OK_1,B323&lt;=MESES),IF(OR(OF_TIPO_1="Fija",C323&lt;=OF_ANIOS_INI_1),OF_TIN_1,MAX(0,EURIBOR+OF_DIF_1)),0)</f>
        <v/>
      </c>
      <c r="E323" s="58">
        <f>IF(AND(BANCO_OK_1,B323&lt;=MESES),IF(OR(B323=1,D323&lt;&gt;D322),PMT(D323/1200,MESES-B323+1,-H322),E322),0)</f>
        <v/>
      </c>
      <c r="F323" s="58">
        <f>H322*D323/1200</f>
        <v/>
      </c>
      <c r="G323" s="58">
        <f>IF(AND(BANCO_OK_1,B323&lt;=MESES),IF(OR(B323=MESES,E323-F323&gt;H322),H322,E323-F323),0)</f>
        <v/>
      </c>
      <c r="H323" s="58">
        <f>H322-G323</f>
        <v/>
      </c>
      <c r="I323" s="58">
        <f>IF(AND(BANCO_OK_1,B323&lt;=MESES),F323+G323+VINC_MES_1,0)</f>
        <v/>
      </c>
      <c r="J323" s="52">
        <f>IF(AND(BANCO_OK_2,B323&lt;=MESES),IF(OR(OF_TIPO_2="Fija",C323&lt;=OF_ANIOS_INI_2),OF_TIN_2,MAX(0,EURIBOR+OF_DIF_2)),0)</f>
        <v/>
      </c>
      <c r="K323" s="58">
        <f>IF(AND(BANCO_OK_2,B323&lt;=MESES),IF(OR(B323=1,J323&lt;&gt;J322),PMT(J323/1200,MESES-B323+1,-N322),K322),0)</f>
        <v/>
      </c>
      <c r="L323" s="58">
        <f>N322*J323/1200</f>
        <v/>
      </c>
      <c r="M323" s="58">
        <f>IF(AND(BANCO_OK_2,B323&lt;=MESES),IF(OR(B323=MESES,K323-L323&gt;N322),N322,K323-L323),0)</f>
        <v/>
      </c>
      <c r="N323" s="58">
        <f>N322-M323</f>
        <v/>
      </c>
      <c r="O323" s="58">
        <f>IF(AND(BANCO_OK_2,B323&lt;=MESES),L323+M323+VINC_MES_2,0)</f>
        <v/>
      </c>
      <c r="P323" s="52">
        <f>IF(AND(BANCO_OK_3,B323&lt;=MESES),IF(OR(OF_TIPO_3="Fija",C323&lt;=OF_ANIOS_INI_3),OF_TIN_3,MAX(0,EURIBOR+OF_DIF_3)),0)</f>
        <v/>
      </c>
      <c r="Q323" s="58">
        <f>IF(AND(BANCO_OK_3,B323&lt;=MESES),IF(OR(B323=1,P323&lt;&gt;P322),PMT(P323/1200,MESES-B323+1,-T322),Q322),0)</f>
        <v/>
      </c>
      <c r="R323" s="58">
        <f>T322*P323/1200</f>
        <v/>
      </c>
      <c r="S323" s="58">
        <f>IF(AND(BANCO_OK_3,B323&lt;=MESES),IF(OR(B323=MESES,Q323-R323&gt;T322),T322,Q323-R323),0)</f>
        <v/>
      </c>
      <c r="T323" s="58">
        <f>T322-S323</f>
        <v/>
      </c>
      <c r="U323" s="58">
        <f>IF(AND(BANCO_OK_3,B323&lt;=MESES),R323+S323+VINC_MES_3,0)</f>
        <v/>
      </c>
      <c r="V323" s="52">
        <f>IF(AND(BANCO_OK_4,B323&lt;=MESES),IF(OR(OF_TIPO_4="Fija",C323&lt;=OF_ANIOS_INI_4),OF_TIN_4,MAX(0,EURIBOR+OF_DIF_4)),0)</f>
        <v/>
      </c>
      <c r="W323" s="58">
        <f>IF(AND(BANCO_OK_4,B323&lt;=MESES),IF(OR(B323=1,V323&lt;&gt;V322),PMT(V323/1200,MESES-B323+1,-Z322),W322),0)</f>
        <v/>
      </c>
      <c r="X323" s="58">
        <f>Z322*V323/1200</f>
        <v/>
      </c>
      <c r="Y323" s="58">
        <f>IF(AND(BANCO_OK_4,B323&lt;=MESES),IF(OR(B323=MESES,W323-X323&gt;Z322),Z322,W323-X323),0)</f>
        <v/>
      </c>
      <c r="Z323" s="58">
        <f>Z322-Y323</f>
        <v/>
      </c>
      <c r="AA323" s="58">
        <f>IF(AND(BANCO_OK_4,B323&lt;=MESES),X323+Y323+VINC_MES_4,0)</f>
        <v/>
      </c>
    </row>
    <row r="324">
      <c r="B324" s="56" t="n">
        <v>316</v>
      </c>
      <c r="C324" s="56">
        <f>ROUNDUP(B324/12,0)</f>
        <v/>
      </c>
      <c r="D324" s="52">
        <f>IF(AND(BANCO_OK_1,B324&lt;=MESES),IF(OR(OF_TIPO_1="Fija",C324&lt;=OF_ANIOS_INI_1),OF_TIN_1,MAX(0,EURIBOR+OF_DIF_1)),0)</f>
        <v/>
      </c>
      <c r="E324" s="58">
        <f>IF(AND(BANCO_OK_1,B324&lt;=MESES),IF(OR(B324=1,D324&lt;&gt;D323),PMT(D324/1200,MESES-B324+1,-H323),E323),0)</f>
        <v/>
      </c>
      <c r="F324" s="58">
        <f>H323*D324/1200</f>
        <v/>
      </c>
      <c r="G324" s="58">
        <f>IF(AND(BANCO_OK_1,B324&lt;=MESES),IF(OR(B324=MESES,E324-F324&gt;H323),H323,E324-F324),0)</f>
        <v/>
      </c>
      <c r="H324" s="58">
        <f>H323-G324</f>
        <v/>
      </c>
      <c r="I324" s="58">
        <f>IF(AND(BANCO_OK_1,B324&lt;=MESES),F324+G324+VINC_MES_1,0)</f>
        <v/>
      </c>
      <c r="J324" s="52">
        <f>IF(AND(BANCO_OK_2,B324&lt;=MESES),IF(OR(OF_TIPO_2="Fija",C324&lt;=OF_ANIOS_INI_2),OF_TIN_2,MAX(0,EURIBOR+OF_DIF_2)),0)</f>
        <v/>
      </c>
      <c r="K324" s="58">
        <f>IF(AND(BANCO_OK_2,B324&lt;=MESES),IF(OR(B324=1,J324&lt;&gt;J323),PMT(J324/1200,MESES-B324+1,-N323),K323),0)</f>
        <v/>
      </c>
      <c r="L324" s="58">
        <f>N323*J324/1200</f>
        <v/>
      </c>
      <c r="M324" s="58">
        <f>IF(AND(BANCO_OK_2,B324&lt;=MESES),IF(OR(B324=MESES,K324-L324&gt;N323),N323,K324-L324),0)</f>
        <v/>
      </c>
      <c r="N324" s="58">
        <f>N323-M324</f>
        <v/>
      </c>
      <c r="O324" s="58">
        <f>IF(AND(BANCO_OK_2,B324&lt;=MESES),L324+M324+VINC_MES_2,0)</f>
        <v/>
      </c>
      <c r="P324" s="52">
        <f>IF(AND(BANCO_OK_3,B324&lt;=MESES),IF(OR(OF_TIPO_3="Fija",C324&lt;=OF_ANIOS_INI_3),OF_TIN_3,MAX(0,EURIBOR+OF_DIF_3)),0)</f>
        <v/>
      </c>
      <c r="Q324" s="58">
        <f>IF(AND(BANCO_OK_3,B324&lt;=MESES),IF(OR(B324=1,P324&lt;&gt;P323),PMT(P324/1200,MESES-B324+1,-T323),Q323),0)</f>
        <v/>
      </c>
      <c r="R324" s="58">
        <f>T323*P324/1200</f>
        <v/>
      </c>
      <c r="S324" s="58">
        <f>IF(AND(BANCO_OK_3,B324&lt;=MESES),IF(OR(B324=MESES,Q324-R324&gt;T323),T323,Q324-R324),0)</f>
        <v/>
      </c>
      <c r="T324" s="58">
        <f>T323-S324</f>
        <v/>
      </c>
      <c r="U324" s="58">
        <f>IF(AND(BANCO_OK_3,B324&lt;=MESES),R324+S324+VINC_MES_3,0)</f>
        <v/>
      </c>
      <c r="V324" s="52">
        <f>IF(AND(BANCO_OK_4,B324&lt;=MESES),IF(OR(OF_TIPO_4="Fija",C324&lt;=OF_ANIOS_INI_4),OF_TIN_4,MAX(0,EURIBOR+OF_DIF_4)),0)</f>
        <v/>
      </c>
      <c r="W324" s="58">
        <f>IF(AND(BANCO_OK_4,B324&lt;=MESES),IF(OR(B324=1,V324&lt;&gt;V323),PMT(V324/1200,MESES-B324+1,-Z323),W323),0)</f>
        <v/>
      </c>
      <c r="X324" s="58">
        <f>Z323*V324/1200</f>
        <v/>
      </c>
      <c r="Y324" s="58">
        <f>IF(AND(BANCO_OK_4,B324&lt;=MESES),IF(OR(B324=MESES,W324-X324&gt;Z323),Z323,W324-X324),0)</f>
        <v/>
      </c>
      <c r="Z324" s="58">
        <f>Z323-Y324</f>
        <v/>
      </c>
      <c r="AA324" s="58">
        <f>IF(AND(BANCO_OK_4,B324&lt;=MESES),X324+Y324+VINC_MES_4,0)</f>
        <v/>
      </c>
    </row>
    <row r="325">
      <c r="B325" s="56" t="n">
        <v>317</v>
      </c>
      <c r="C325" s="56">
        <f>ROUNDUP(B325/12,0)</f>
        <v/>
      </c>
      <c r="D325" s="52">
        <f>IF(AND(BANCO_OK_1,B325&lt;=MESES),IF(OR(OF_TIPO_1="Fija",C325&lt;=OF_ANIOS_INI_1),OF_TIN_1,MAX(0,EURIBOR+OF_DIF_1)),0)</f>
        <v/>
      </c>
      <c r="E325" s="58">
        <f>IF(AND(BANCO_OK_1,B325&lt;=MESES),IF(OR(B325=1,D325&lt;&gt;D324),PMT(D325/1200,MESES-B325+1,-H324),E324),0)</f>
        <v/>
      </c>
      <c r="F325" s="58">
        <f>H324*D325/1200</f>
        <v/>
      </c>
      <c r="G325" s="58">
        <f>IF(AND(BANCO_OK_1,B325&lt;=MESES),IF(OR(B325=MESES,E325-F325&gt;H324),H324,E325-F325),0)</f>
        <v/>
      </c>
      <c r="H325" s="58">
        <f>H324-G325</f>
        <v/>
      </c>
      <c r="I325" s="58">
        <f>IF(AND(BANCO_OK_1,B325&lt;=MESES),F325+G325+VINC_MES_1,0)</f>
        <v/>
      </c>
      <c r="J325" s="52">
        <f>IF(AND(BANCO_OK_2,B325&lt;=MESES),IF(OR(OF_TIPO_2="Fija",C325&lt;=OF_ANIOS_INI_2),OF_TIN_2,MAX(0,EURIBOR+OF_DIF_2)),0)</f>
        <v/>
      </c>
      <c r="K325" s="58">
        <f>IF(AND(BANCO_OK_2,B325&lt;=MESES),IF(OR(B325=1,J325&lt;&gt;J324),PMT(J325/1200,MESES-B325+1,-N324),K324),0)</f>
        <v/>
      </c>
      <c r="L325" s="58">
        <f>N324*J325/1200</f>
        <v/>
      </c>
      <c r="M325" s="58">
        <f>IF(AND(BANCO_OK_2,B325&lt;=MESES),IF(OR(B325=MESES,K325-L325&gt;N324),N324,K325-L325),0)</f>
        <v/>
      </c>
      <c r="N325" s="58">
        <f>N324-M325</f>
        <v/>
      </c>
      <c r="O325" s="58">
        <f>IF(AND(BANCO_OK_2,B325&lt;=MESES),L325+M325+VINC_MES_2,0)</f>
        <v/>
      </c>
      <c r="P325" s="52">
        <f>IF(AND(BANCO_OK_3,B325&lt;=MESES),IF(OR(OF_TIPO_3="Fija",C325&lt;=OF_ANIOS_INI_3),OF_TIN_3,MAX(0,EURIBOR+OF_DIF_3)),0)</f>
        <v/>
      </c>
      <c r="Q325" s="58">
        <f>IF(AND(BANCO_OK_3,B325&lt;=MESES),IF(OR(B325=1,P325&lt;&gt;P324),PMT(P325/1200,MESES-B325+1,-T324),Q324),0)</f>
        <v/>
      </c>
      <c r="R325" s="58">
        <f>T324*P325/1200</f>
        <v/>
      </c>
      <c r="S325" s="58">
        <f>IF(AND(BANCO_OK_3,B325&lt;=MESES),IF(OR(B325=MESES,Q325-R325&gt;T324),T324,Q325-R325),0)</f>
        <v/>
      </c>
      <c r="T325" s="58">
        <f>T324-S325</f>
        <v/>
      </c>
      <c r="U325" s="58">
        <f>IF(AND(BANCO_OK_3,B325&lt;=MESES),R325+S325+VINC_MES_3,0)</f>
        <v/>
      </c>
      <c r="V325" s="52">
        <f>IF(AND(BANCO_OK_4,B325&lt;=MESES),IF(OR(OF_TIPO_4="Fija",C325&lt;=OF_ANIOS_INI_4),OF_TIN_4,MAX(0,EURIBOR+OF_DIF_4)),0)</f>
        <v/>
      </c>
      <c r="W325" s="58">
        <f>IF(AND(BANCO_OK_4,B325&lt;=MESES),IF(OR(B325=1,V325&lt;&gt;V324),PMT(V325/1200,MESES-B325+1,-Z324),W324),0)</f>
        <v/>
      </c>
      <c r="X325" s="58">
        <f>Z324*V325/1200</f>
        <v/>
      </c>
      <c r="Y325" s="58">
        <f>IF(AND(BANCO_OK_4,B325&lt;=MESES),IF(OR(B325=MESES,W325-X325&gt;Z324),Z324,W325-X325),0)</f>
        <v/>
      </c>
      <c r="Z325" s="58">
        <f>Z324-Y325</f>
        <v/>
      </c>
      <c r="AA325" s="58">
        <f>IF(AND(BANCO_OK_4,B325&lt;=MESES),X325+Y325+VINC_MES_4,0)</f>
        <v/>
      </c>
    </row>
    <row r="326">
      <c r="B326" s="56" t="n">
        <v>318</v>
      </c>
      <c r="C326" s="56">
        <f>ROUNDUP(B326/12,0)</f>
        <v/>
      </c>
      <c r="D326" s="52">
        <f>IF(AND(BANCO_OK_1,B326&lt;=MESES),IF(OR(OF_TIPO_1="Fija",C326&lt;=OF_ANIOS_INI_1),OF_TIN_1,MAX(0,EURIBOR+OF_DIF_1)),0)</f>
        <v/>
      </c>
      <c r="E326" s="58">
        <f>IF(AND(BANCO_OK_1,B326&lt;=MESES),IF(OR(B326=1,D326&lt;&gt;D325),PMT(D326/1200,MESES-B326+1,-H325),E325),0)</f>
        <v/>
      </c>
      <c r="F326" s="58">
        <f>H325*D326/1200</f>
        <v/>
      </c>
      <c r="G326" s="58">
        <f>IF(AND(BANCO_OK_1,B326&lt;=MESES),IF(OR(B326=MESES,E326-F326&gt;H325),H325,E326-F326),0)</f>
        <v/>
      </c>
      <c r="H326" s="58">
        <f>H325-G326</f>
        <v/>
      </c>
      <c r="I326" s="58">
        <f>IF(AND(BANCO_OK_1,B326&lt;=MESES),F326+G326+VINC_MES_1,0)</f>
        <v/>
      </c>
      <c r="J326" s="52">
        <f>IF(AND(BANCO_OK_2,B326&lt;=MESES),IF(OR(OF_TIPO_2="Fija",C326&lt;=OF_ANIOS_INI_2),OF_TIN_2,MAX(0,EURIBOR+OF_DIF_2)),0)</f>
        <v/>
      </c>
      <c r="K326" s="58">
        <f>IF(AND(BANCO_OK_2,B326&lt;=MESES),IF(OR(B326=1,J326&lt;&gt;J325),PMT(J326/1200,MESES-B326+1,-N325),K325),0)</f>
        <v/>
      </c>
      <c r="L326" s="58">
        <f>N325*J326/1200</f>
        <v/>
      </c>
      <c r="M326" s="58">
        <f>IF(AND(BANCO_OK_2,B326&lt;=MESES),IF(OR(B326=MESES,K326-L326&gt;N325),N325,K326-L326),0)</f>
        <v/>
      </c>
      <c r="N326" s="58">
        <f>N325-M326</f>
        <v/>
      </c>
      <c r="O326" s="58">
        <f>IF(AND(BANCO_OK_2,B326&lt;=MESES),L326+M326+VINC_MES_2,0)</f>
        <v/>
      </c>
      <c r="P326" s="52">
        <f>IF(AND(BANCO_OK_3,B326&lt;=MESES),IF(OR(OF_TIPO_3="Fija",C326&lt;=OF_ANIOS_INI_3),OF_TIN_3,MAX(0,EURIBOR+OF_DIF_3)),0)</f>
        <v/>
      </c>
      <c r="Q326" s="58">
        <f>IF(AND(BANCO_OK_3,B326&lt;=MESES),IF(OR(B326=1,P326&lt;&gt;P325),PMT(P326/1200,MESES-B326+1,-T325),Q325),0)</f>
        <v/>
      </c>
      <c r="R326" s="58">
        <f>T325*P326/1200</f>
        <v/>
      </c>
      <c r="S326" s="58">
        <f>IF(AND(BANCO_OK_3,B326&lt;=MESES),IF(OR(B326=MESES,Q326-R326&gt;T325),T325,Q326-R326),0)</f>
        <v/>
      </c>
      <c r="T326" s="58">
        <f>T325-S326</f>
        <v/>
      </c>
      <c r="U326" s="58">
        <f>IF(AND(BANCO_OK_3,B326&lt;=MESES),R326+S326+VINC_MES_3,0)</f>
        <v/>
      </c>
      <c r="V326" s="52">
        <f>IF(AND(BANCO_OK_4,B326&lt;=MESES),IF(OR(OF_TIPO_4="Fija",C326&lt;=OF_ANIOS_INI_4),OF_TIN_4,MAX(0,EURIBOR+OF_DIF_4)),0)</f>
        <v/>
      </c>
      <c r="W326" s="58">
        <f>IF(AND(BANCO_OK_4,B326&lt;=MESES),IF(OR(B326=1,V326&lt;&gt;V325),PMT(V326/1200,MESES-B326+1,-Z325),W325),0)</f>
        <v/>
      </c>
      <c r="X326" s="58">
        <f>Z325*V326/1200</f>
        <v/>
      </c>
      <c r="Y326" s="58">
        <f>IF(AND(BANCO_OK_4,B326&lt;=MESES),IF(OR(B326=MESES,W326-X326&gt;Z325),Z325,W326-X326),0)</f>
        <v/>
      </c>
      <c r="Z326" s="58">
        <f>Z325-Y326</f>
        <v/>
      </c>
      <c r="AA326" s="58">
        <f>IF(AND(BANCO_OK_4,B326&lt;=MESES),X326+Y326+VINC_MES_4,0)</f>
        <v/>
      </c>
    </row>
    <row r="327">
      <c r="B327" s="56" t="n">
        <v>319</v>
      </c>
      <c r="C327" s="56">
        <f>ROUNDUP(B327/12,0)</f>
        <v/>
      </c>
      <c r="D327" s="52">
        <f>IF(AND(BANCO_OK_1,B327&lt;=MESES),IF(OR(OF_TIPO_1="Fija",C327&lt;=OF_ANIOS_INI_1),OF_TIN_1,MAX(0,EURIBOR+OF_DIF_1)),0)</f>
        <v/>
      </c>
      <c r="E327" s="58">
        <f>IF(AND(BANCO_OK_1,B327&lt;=MESES),IF(OR(B327=1,D327&lt;&gt;D326),PMT(D327/1200,MESES-B327+1,-H326),E326),0)</f>
        <v/>
      </c>
      <c r="F327" s="58">
        <f>H326*D327/1200</f>
        <v/>
      </c>
      <c r="G327" s="58">
        <f>IF(AND(BANCO_OK_1,B327&lt;=MESES),IF(OR(B327=MESES,E327-F327&gt;H326),H326,E327-F327),0)</f>
        <v/>
      </c>
      <c r="H327" s="58">
        <f>H326-G327</f>
        <v/>
      </c>
      <c r="I327" s="58">
        <f>IF(AND(BANCO_OK_1,B327&lt;=MESES),F327+G327+VINC_MES_1,0)</f>
        <v/>
      </c>
      <c r="J327" s="52">
        <f>IF(AND(BANCO_OK_2,B327&lt;=MESES),IF(OR(OF_TIPO_2="Fija",C327&lt;=OF_ANIOS_INI_2),OF_TIN_2,MAX(0,EURIBOR+OF_DIF_2)),0)</f>
        <v/>
      </c>
      <c r="K327" s="58">
        <f>IF(AND(BANCO_OK_2,B327&lt;=MESES),IF(OR(B327=1,J327&lt;&gt;J326),PMT(J327/1200,MESES-B327+1,-N326),K326),0)</f>
        <v/>
      </c>
      <c r="L327" s="58">
        <f>N326*J327/1200</f>
        <v/>
      </c>
      <c r="M327" s="58">
        <f>IF(AND(BANCO_OK_2,B327&lt;=MESES),IF(OR(B327=MESES,K327-L327&gt;N326),N326,K327-L327),0)</f>
        <v/>
      </c>
      <c r="N327" s="58">
        <f>N326-M327</f>
        <v/>
      </c>
      <c r="O327" s="58">
        <f>IF(AND(BANCO_OK_2,B327&lt;=MESES),L327+M327+VINC_MES_2,0)</f>
        <v/>
      </c>
      <c r="P327" s="52">
        <f>IF(AND(BANCO_OK_3,B327&lt;=MESES),IF(OR(OF_TIPO_3="Fija",C327&lt;=OF_ANIOS_INI_3),OF_TIN_3,MAX(0,EURIBOR+OF_DIF_3)),0)</f>
        <v/>
      </c>
      <c r="Q327" s="58">
        <f>IF(AND(BANCO_OK_3,B327&lt;=MESES),IF(OR(B327=1,P327&lt;&gt;P326),PMT(P327/1200,MESES-B327+1,-T326),Q326),0)</f>
        <v/>
      </c>
      <c r="R327" s="58">
        <f>T326*P327/1200</f>
        <v/>
      </c>
      <c r="S327" s="58">
        <f>IF(AND(BANCO_OK_3,B327&lt;=MESES),IF(OR(B327=MESES,Q327-R327&gt;T326),T326,Q327-R327),0)</f>
        <v/>
      </c>
      <c r="T327" s="58">
        <f>T326-S327</f>
        <v/>
      </c>
      <c r="U327" s="58">
        <f>IF(AND(BANCO_OK_3,B327&lt;=MESES),R327+S327+VINC_MES_3,0)</f>
        <v/>
      </c>
      <c r="V327" s="52">
        <f>IF(AND(BANCO_OK_4,B327&lt;=MESES),IF(OR(OF_TIPO_4="Fija",C327&lt;=OF_ANIOS_INI_4),OF_TIN_4,MAX(0,EURIBOR+OF_DIF_4)),0)</f>
        <v/>
      </c>
      <c r="W327" s="58">
        <f>IF(AND(BANCO_OK_4,B327&lt;=MESES),IF(OR(B327=1,V327&lt;&gt;V326),PMT(V327/1200,MESES-B327+1,-Z326),W326),0)</f>
        <v/>
      </c>
      <c r="X327" s="58">
        <f>Z326*V327/1200</f>
        <v/>
      </c>
      <c r="Y327" s="58">
        <f>IF(AND(BANCO_OK_4,B327&lt;=MESES),IF(OR(B327=MESES,W327-X327&gt;Z326),Z326,W327-X327),0)</f>
        <v/>
      </c>
      <c r="Z327" s="58">
        <f>Z326-Y327</f>
        <v/>
      </c>
      <c r="AA327" s="58">
        <f>IF(AND(BANCO_OK_4,B327&lt;=MESES),X327+Y327+VINC_MES_4,0)</f>
        <v/>
      </c>
    </row>
    <row r="328">
      <c r="B328" s="56" t="n">
        <v>320</v>
      </c>
      <c r="C328" s="56">
        <f>ROUNDUP(B328/12,0)</f>
        <v/>
      </c>
      <c r="D328" s="52">
        <f>IF(AND(BANCO_OK_1,B328&lt;=MESES),IF(OR(OF_TIPO_1="Fija",C328&lt;=OF_ANIOS_INI_1),OF_TIN_1,MAX(0,EURIBOR+OF_DIF_1)),0)</f>
        <v/>
      </c>
      <c r="E328" s="58">
        <f>IF(AND(BANCO_OK_1,B328&lt;=MESES),IF(OR(B328=1,D328&lt;&gt;D327),PMT(D328/1200,MESES-B328+1,-H327),E327),0)</f>
        <v/>
      </c>
      <c r="F328" s="58">
        <f>H327*D328/1200</f>
        <v/>
      </c>
      <c r="G328" s="58">
        <f>IF(AND(BANCO_OK_1,B328&lt;=MESES),IF(OR(B328=MESES,E328-F328&gt;H327),H327,E328-F328),0)</f>
        <v/>
      </c>
      <c r="H328" s="58">
        <f>H327-G328</f>
        <v/>
      </c>
      <c r="I328" s="58">
        <f>IF(AND(BANCO_OK_1,B328&lt;=MESES),F328+G328+VINC_MES_1,0)</f>
        <v/>
      </c>
      <c r="J328" s="52">
        <f>IF(AND(BANCO_OK_2,B328&lt;=MESES),IF(OR(OF_TIPO_2="Fija",C328&lt;=OF_ANIOS_INI_2),OF_TIN_2,MAX(0,EURIBOR+OF_DIF_2)),0)</f>
        <v/>
      </c>
      <c r="K328" s="58">
        <f>IF(AND(BANCO_OK_2,B328&lt;=MESES),IF(OR(B328=1,J328&lt;&gt;J327),PMT(J328/1200,MESES-B328+1,-N327),K327),0)</f>
        <v/>
      </c>
      <c r="L328" s="58">
        <f>N327*J328/1200</f>
        <v/>
      </c>
      <c r="M328" s="58">
        <f>IF(AND(BANCO_OK_2,B328&lt;=MESES),IF(OR(B328=MESES,K328-L328&gt;N327),N327,K328-L328),0)</f>
        <v/>
      </c>
      <c r="N328" s="58">
        <f>N327-M328</f>
        <v/>
      </c>
      <c r="O328" s="58">
        <f>IF(AND(BANCO_OK_2,B328&lt;=MESES),L328+M328+VINC_MES_2,0)</f>
        <v/>
      </c>
      <c r="P328" s="52">
        <f>IF(AND(BANCO_OK_3,B328&lt;=MESES),IF(OR(OF_TIPO_3="Fija",C328&lt;=OF_ANIOS_INI_3),OF_TIN_3,MAX(0,EURIBOR+OF_DIF_3)),0)</f>
        <v/>
      </c>
      <c r="Q328" s="58">
        <f>IF(AND(BANCO_OK_3,B328&lt;=MESES),IF(OR(B328=1,P328&lt;&gt;P327),PMT(P328/1200,MESES-B328+1,-T327),Q327),0)</f>
        <v/>
      </c>
      <c r="R328" s="58">
        <f>T327*P328/1200</f>
        <v/>
      </c>
      <c r="S328" s="58">
        <f>IF(AND(BANCO_OK_3,B328&lt;=MESES),IF(OR(B328=MESES,Q328-R328&gt;T327),T327,Q328-R328),0)</f>
        <v/>
      </c>
      <c r="T328" s="58">
        <f>T327-S328</f>
        <v/>
      </c>
      <c r="U328" s="58">
        <f>IF(AND(BANCO_OK_3,B328&lt;=MESES),R328+S328+VINC_MES_3,0)</f>
        <v/>
      </c>
      <c r="V328" s="52">
        <f>IF(AND(BANCO_OK_4,B328&lt;=MESES),IF(OR(OF_TIPO_4="Fija",C328&lt;=OF_ANIOS_INI_4),OF_TIN_4,MAX(0,EURIBOR+OF_DIF_4)),0)</f>
        <v/>
      </c>
      <c r="W328" s="58">
        <f>IF(AND(BANCO_OK_4,B328&lt;=MESES),IF(OR(B328=1,V328&lt;&gt;V327),PMT(V328/1200,MESES-B328+1,-Z327),W327),0)</f>
        <v/>
      </c>
      <c r="X328" s="58">
        <f>Z327*V328/1200</f>
        <v/>
      </c>
      <c r="Y328" s="58">
        <f>IF(AND(BANCO_OK_4,B328&lt;=MESES),IF(OR(B328=MESES,W328-X328&gt;Z327),Z327,W328-X328),0)</f>
        <v/>
      </c>
      <c r="Z328" s="58">
        <f>Z327-Y328</f>
        <v/>
      </c>
      <c r="AA328" s="58">
        <f>IF(AND(BANCO_OK_4,B328&lt;=MESES),X328+Y328+VINC_MES_4,0)</f>
        <v/>
      </c>
    </row>
    <row r="329">
      <c r="B329" s="56" t="n">
        <v>321</v>
      </c>
      <c r="C329" s="56">
        <f>ROUNDUP(B329/12,0)</f>
        <v/>
      </c>
      <c r="D329" s="52">
        <f>IF(AND(BANCO_OK_1,B329&lt;=MESES),IF(OR(OF_TIPO_1="Fija",C329&lt;=OF_ANIOS_INI_1),OF_TIN_1,MAX(0,EURIBOR+OF_DIF_1)),0)</f>
        <v/>
      </c>
      <c r="E329" s="58">
        <f>IF(AND(BANCO_OK_1,B329&lt;=MESES),IF(OR(B329=1,D329&lt;&gt;D328),PMT(D329/1200,MESES-B329+1,-H328),E328),0)</f>
        <v/>
      </c>
      <c r="F329" s="58">
        <f>H328*D329/1200</f>
        <v/>
      </c>
      <c r="G329" s="58">
        <f>IF(AND(BANCO_OK_1,B329&lt;=MESES),IF(OR(B329=MESES,E329-F329&gt;H328),H328,E329-F329),0)</f>
        <v/>
      </c>
      <c r="H329" s="58">
        <f>H328-G329</f>
        <v/>
      </c>
      <c r="I329" s="58">
        <f>IF(AND(BANCO_OK_1,B329&lt;=MESES),F329+G329+VINC_MES_1,0)</f>
        <v/>
      </c>
      <c r="J329" s="52">
        <f>IF(AND(BANCO_OK_2,B329&lt;=MESES),IF(OR(OF_TIPO_2="Fija",C329&lt;=OF_ANIOS_INI_2),OF_TIN_2,MAX(0,EURIBOR+OF_DIF_2)),0)</f>
        <v/>
      </c>
      <c r="K329" s="58">
        <f>IF(AND(BANCO_OK_2,B329&lt;=MESES),IF(OR(B329=1,J329&lt;&gt;J328),PMT(J329/1200,MESES-B329+1,-N328),K328),0)</f>
        <v/>
      </c>
      <c r="L329" s="58">
        <f>N328*J329/1200</f>
        <v/>
      </c>
      <c r="M329" s="58">
        <f>IF(AND(BANCO_OK_2,B329&lt;=MESES),IF(OR(B329=MESES,K329-L329&gt;N328),N328,K329-L329),0)</f>
        <v/>
      </c>
      <c r="N329" s="58">
        <f>N328-M329</f>
        <v/>
      </c>
      <c r="O329" s="58">
        <f>IF(AND(BANCO_OK_2,B329&lt;=MESES),L329+M329+VINC_MES_2,0)</f>
        <v/>
      </c>
      <c r="P329" s="52">
        <f>IF(AND(BANCO_OK_3,B329&lt;=MESES),IF(OR(OF_TIPO_3="Fija",C329&lt;=OF_ANIOS_INI_3),OF_TIN_3,MAX(0,EURIBOR+OF_DIF_3)),0)</f>
        <v/>
      </c>
      <c r="Q329" s="58">
        <f>IF(AND(BANCO_OK_3,B329&lt;=MESES),IF(OR(B329=1,P329&lt;&gt;P328),PMT(P329/1200,MESES-B329+1,-T328),Q328),0)</f>
        <v/>
      </c>
      <c r="R329" s="58">
        <f>T328*P329/1200</f>
        <v/>
      </c>
      <c r="S329" s="58">
        <f>IF(AND(BANCO_OK_3,B329&lt;=MESES),IF(OR(B329=MESES,Q329-R329&gt;T328),T328,Q329-R329),0)</f>
        <v/>
      </c>
      <c r="T329" s="58">
        <f>T328-S329</f>
        <v/>
      </c>
      <c r="U329" s="58">
        <f>IF(AND(BANCO_OK_3,B329&lt;=MESES),R329+S329+VINC_MES_3,0)</f>
        <v/>
      </c>
      <c r="V329" s="52">
        <f>IF(AND(BANCO_OK_4,B329&lt;=MESES),IF(OR(OF_TIPO_4="Fija",C329&lt;=OF_ANIOS_INI_4),OF_TIN_4,MAX(0,EURIBOR+OF_DIF_4)),0)</f>
        <v/>
      </c>
      <c r="W329" s="58">
        <f>IF(AND(BANCO_OK_4,B329&lt;=MESES),IF(OR(B329=1,V329&lt;&gt;V328),PMT(V329/1200,MESES-B329+1,-Z328),W328),0)</f>
        <v/>
      </c>
      <c r="X329" s="58">
        <f>Z328*V329/1200</f>
        <v/>
      </c>
      <c r="Y329" s="58">
        <f>IF(AND(BANCO_OK_4,B329&lt;=MESES),IF(OR(B329=MESES,W329-X329&gt;Z328),Z328,W329-X329),0)</f>
        <v/>
      </c>
      <c r="Z329" s="58">
        <f>Z328-Y329</f>
        <v/>
      </c>
      <c r="AA329" s="58">
        <f>IF(AND(BANCO_OK_4,B329&lt;=MESES),X329+Y329+VINC_MES_4,0)</f>
        <v/>
      </c>
    </row>
    <row r="330">
      <c r="B330" s="56" t="n">
        <v>322</v>
      </c>
      <c r="C330" s="56">
        <f>ROUNDUP(B330/12,0)</f>
        <v/>
      </c>
      <c r="D330" s="52">
        <f>IF(AND(BANCO_OK_1,B330&lt;=MESES),IF(OR(OF_TIPO_1="Fija",C330&lt;=OF_ANIOS_INI_1),OF_TIN_1,MAX(0,EURIBOR+OF_DIF_1)),0)</f>
        <v/>
      </c>
      <c r="E330" s="58">
        <f>IF(AND(BANCO_OK_1,B330&lt;=MESES),IF(OR(B330=1,D330&lt;&gt;D329),PMT(D330/1200,MESES-B330+1,-H329),E329),0)</f>
        <v/>
      </c>
      <c r="F330" s="58">
        <f>H329*D330/1200</f>
        <v/>
      </c>
      <c r="G330" s="58">
        <f>IF(AND(BANCO_OK_1,B330&lt;=MESES),IF(OR(B330=MESES,E330-F330&gt;H329),H329,E330-F330),0)</f>
        <v/>
      </c>
      <c r="H330" s="58">
        <f>H329-G330</f>
        <v/>
      </c>
      <c r="I330" s="58">
        <f>IF(AND(BANCO_OK_1,B330&lt;=MESES),F330+G330+VINC_MES_1,0)</f>
        <v/>
      </c>
      <c r="J330" s="52">
        <f>IF(AND(BANCO_OK_2,B330&lt;=MESES),IF(OR(OF_TIPO_2="Fija",C330&lt;=OF_ANIOS_INI_2),OF_TIN_2,MAX(0,EURIBOR+OF_DIF_2)),0)</f>
        <v/>
      </c>
      <c r="K330" s="58">
        <f>IF(AND(BANCO_OK_2,B330&lt;=MESES),IF(OR(B330=1,J330&lt;&gt;J329),PMT(J330/1200,MESES-B330+1,-N329),K329),0)</f>
        <v/>
      </c>
      <c r="L330" s="58">
        <f>N329*J330/1200</f>
        <v/>
      </c>
      <c r="M330" s="58">
        <f>IF(AND(BANCO_OK_2,B330&lt;=MESES),IF(OR(B330=MESES,K330-L330&gt;N329),N329,K330-L330),0)</f>
        <v/>
      </c>
      <c r="N330" s="58">
        <f>N329-M330</f>
        <v/>
      </c>
      <c r="O330" s="58">
        <f>IF(AND(BANCO_OK_2,B330&lt;=MESES),L330+M330+VINC_MES_2,0)</f>
        <v/>
      </c>
      <c r="P330" s="52">
        <f>IF(AND(BANCO_OK_3,B330&lt;=MESES),IF(OR(OF_TIPO_3="Fija",C330&lt;=OF_ANIOS_INI_3),OF_TIN_3,MAX(0,EURIBOR+OF_DIF_3)),0)</f>
        <v/>
      </c>
      <c r="Q330" s="58">
        <f>IF(AND(BANCO_OK_3,B330&lt;=MESES),IF(OR(B330=1,P330&lt;&gt;P329),PMT(P330/1200,MESES-B330+1,-T329),Q329),0)</f>
        <v/>
      </c>
      <c r="R330" s="58">
        <f>T329*P330/1200</f>
        <v/>
      </c>
      <c r="S330" s="58">
        <f>IF(AND(BANCO_OK_3,B330&lt;=MESES),IF(OR(B330=MESES,Q330-R330&gt;T329),T329,Q330-R330),0)</f>
        <v/>
      </c>
      <c r="T330" s="58">
        <f>T329-S330</f>
        <v/>
      </c>
      <c r="U330" s="58">
        <f>IF(AND(BANCO_OK_3,B330&lt;=MESES),R330+S330+VINC_MES_3,0)</f>
        <v/>
      </c>
      <c r="V330" s="52">
        <f>IF(AND(BANCO_OK_4,B330&lt;=MESES),IF(OR(OF_TIPO_4="Fija",C330&lt;=OF_ANIOS_INI_4),OF_TIN_4,MAX(0,EURIBOR+OF_DIF_4)),0)</f>
        <v/>
      </c>
      <c r="W330" s="58">
        <f>IF(AND(BANCO_OK_4,B330&lt;=MESES),IF(OR(B330=1,V330&lt;&gt;V329),PMT(V330/1200,MESES-B330+1,-Z329),W329),0)</f>
        <v/>
      </c>
      <c r="X330" s="58">
        <f>Z329*V330/1200</f>
        <v/>
      </c>
      <c r="Y330" s="58">
        <f>IF(AND(BANCO_OK_4,B330&lt;=MESES),IF(OR(B330=MESES,W330-X330&gt;Z329),Z329,W330-X330),0)</f>
        <v/>
      </c>
      <c r="Z330" s="58">
        <f>Z329-Y330</f>
        <v/>
      </c>
      <c r="AA330" s="58">
        <f>IF(AND(BANCO_OK_4,B330&lt;=MESES),X330+Y330+VINC_MES_4,0)</f>
        <v/>
      </c>
    </row>
    <row r="331">
      <c r="B331" s="56" t="n">
        <v>323</v>
      </c>
      <c r="C331" s="56">
        <f>ROUNDUP(B331/12,0)</f>
        <v/>
      </c>
      <c r="D331" s="52">
        <f>IF(AND(BANCO_OK_1,B331&lt;=MESES),IF(OR(OF_TIPO_1="Fija",C331&lt;=OF_ANIOS_INI_1),OF_TIN_1,MAX(0,EURIBOR+OF_DIF_1)),0)</f>
        <v/>
      </c>
      <c r="E331" s="58">
        <f>IF(AND(BANCO_OK_1,B331&lt;=MESES),IF(OR(B331=1,D331&lt;&gt;D330),PMT(D331/1200,MESES-B331+1,-H330),E330),0)</f>
        <v/>
      </c>
      <c r="F331" s="58">
        <f>H330*D331/1200</f>
        <v/>
      </c>
      <c r="G331" s="58">
        <f>IF(AND(BANCO_OK_1,B331&lt;=MESES),IF(OR(B331=MESES,E331-F331&gt;H330),H330,E331-F331),0)</f>
        <v/>
      </c>
      <c r="H331" s="58">
        <f>H330-G331</f>
        <v/>
      </c>
      <c r="I331" s="58">
        <f>IF(AND(BANCO_OK_1,B331&lt;=MESES),F331+G331+VINC_MES_1,0)</f>
        <v/>
      </c>
      <c r="J331" s="52">
        <f>IF(AND(BANCO_OK_2,B331&lt;=MESES),IF(OR(OF_TIPO_2="Fija",C331&lt;=OF_ANIOS_INI_2),OF_TIN_2,MAX(0,EURIBOR+OF_DIF_2)),0)</f>
        <v/>
      </c>
      <c r="K331" s="58">
        <f>IF(AND(BANCO_OK_2,B331&lt;=MESES),IF(OR(B331=1,J331&lt;&gt;J330),PMT(J331/1200,MESES-B331+1,-N330),K330),0)</f>
        <v/>
      </c>
      <c r="L331" s="58">
        <f>N330*J331/1200</f>
        <v/>
      </c>
      <c r="M331" s="58">
        <f>IF(AND(BANCO_OK_2,B331&lt;=MESES),IF(OR(B331=MESES,K331-L331&gt;N330),N330,K331-L331),0)</f>
        <v/>
      </c>
      <c r="N331" s="58">
        <f>N330-M331</f>
        <v/>
      </c>
      <c r="O331" s="58">
        <f>IF(AND(BANCO_OK_2,B331&lt;=MESES),L331+M331+VINC_MES_2,0)</f>
        <v/>
      </c>
      <c r="P331" s="52">
        <f>IF(AND(BANCO_OK_3,B331&lt;=MESES),IF(OR(OF_TIPO_3="Fija",C331&lt;=OF_ANIOS_INI_3),OF_TIN_3,MAX(0,EURIBOR+OF_DIF_3)),0)</f>
        <v/>
      </c>
      <c r="Q331" s="58">
        <f>IF(AND(BANCO_OK_3,B331&lt;=MESES),IF(OR(B331=1,P331&lt;&gt;P330),PMT(P331/1200,MESES-B331+1,-T330),Q330),0)</f>
        <v/>
      </c>
      <c r="R331" s="58">
        <f>T330*P331/1200</f>
        <v/>
      </c>
      <c r="S331" s="58">
        <f>IF(AND(BANCO_OK_3,B331&lt;=MESES),IF(OR(B331=MESES,Q331-R331&gt;T330),T330,Q331-R331),0)</f>
        <v/>
      </c>
      <c r="T331" s="58">
        <f>T330-S331</f>
        <v/>
      </c>
      <c r="U331" s="58">
        <f>IF(AND(BANCO_OK_3,B331&lt;=MESES),R331+S331+VINC_MES_3,0)</f>
        <v/>
      </c>
      <c r="V331" s="52">
        <f>IF(AND(BANCO_OK_4,B331&lt;=MESES),IF(OR(OF_TIPO_4="Fija",C331&lt;=OF_ANIOS_INI_4),OF_TIN_4,MAX(0,EURIBOR+OF_DIF_4)),0)</f>
        <v/>
      </c>
      <c r="W331" s="58">
        <f>IF(AND(BANCO_OK_4,B331&lt;=MESES),IF(OR(B331=1,V331&lt;&gt;V330),PMT(V331/1200,MESES-B331+1,-Z330),W330),0)</f>
        <v/>
      </c>
      <c r="X331" s="58">
        <f>Z330*V331/1200</f>
        <v/>
      </c>
      <c r="Y331" s="58">
        <f>IF(AND(BANCO_OK_4,B331&lt;=MESES),IF(OR(B331=MESES,W331-X331&gt;Z330),Z330,W331-X331),0)</f>
        <v/>
      </c>
      <c r="Z331" s="58">
        <f>Z330-Y331</f>
        <v/>
      </c>
      <c r="AA331" s="58">
        <f>IF(AND(BANCO_OK_4,B331&lt;=MESES),X331+Y331+VINC_MES_4,0)</f>
        <v/>
      </c>
    </row>
    <row r="332">
      <c r="B332" s="56" t="n">
        <v>324</v>
      </c>
      <c r="C332" s="56">
        <f>ROUNDUP(B332/12,0)</f>
        <v/>
      </c>
      <c r="D332" s="52">
        <f>IF(AND(BANCO_OK_1,B332&lt;=MESES),IF(OR(OF_TIPO_1="Fija",C332&lt;=OF_ANIOS_INI_1),OF_TIN_1,MAX(0,EURIBOR+OF_DIF_1)),0)</f>
        <v/>
      </c>
      <c r="E332" s="58">
        <f>IF(AND(BANCO_OK_1,B332&lt;=MESES),IF(OR(B332=1,D332&lt;&gt;D331),PMT(D332/1200,MESES-B332+1,-H331),E331),0)</f>
        <v/>
      </c>
      <c r="F332" s="58">
        <f>H331*D332/1200</f>
        <v/>
      </c>
      <c r="G332" s="58">
        <f>IF(AND(BANCO_OK_1,B332&lt;=MESES),IF(OR(B332=MESES,E332-F332&gt;H331),H331,E332-F332),0)</f>
        <v/>
      </c>
      <c r="H332" s="58">
        <f>H331-G332</f>
        <v/>
      </c>
      <c r="I332" s="58">
        <f>IF(AND(BANCO_OK_1,B332&lt;=MESES),F332+G332+VINC_MES_1,0)</f>
        <v/>
      </c>
      <c r="J332" s="52">
        <f>IF(AND(BANCO_OK_2,B332&lt;=MESES),IF(OR(OF_TIPO_2="Fija",C332&lt;=OF_ANIOS_INI_2),OF_TIN_2,MAX(0,EURIBOR+OF_DIF_2)),0)</f>
        <v/>
      </c>
      <c r="K332" s="58">
        <f>IF(AND(BANCO_OK_2,B332&lt;=MESES),IF(OR(B332=1,J332&lt;&gt;J331),PMT(J332/1200,MESES-B332+1,-N331),K331),0)</f>
        <v/>
      </c>
      <c r="L332" s="58">
        <f>N331*J332/1200</f>
        <v/>
      </c>
      <c r="M332" s="58">
        <f>IF(AND(BANCO_OK_2,B332&lt;=MESES),IF(OR(B332=MESES,K332-L332&gt;N331),N331,K332-L332),0)</f>
        <v/>
      </c>
      <c r="N332" s="58">
        <f>N331-M332</f>
        <v/>
      </c>
      <c r="O332" s="58">
        <f>IF(AND(BANCO_OK_2,B332&lt;=MESES),L332+M332+VINC_MES_2,0)</f>
        <v/>
      </c>
      <c r="P332" s="52">
        <f>IF(AND(BANCO_OK_3,B332&lt;=MESES),IF(OR(OF_TIPO_3="Fija",C332&lt;=OF_ANIOS_INI_3),OF_TIN_3,MAX(0,EURIBOR+OF_DIF_3)),0)</f>
        <v/>
      </c>
      <c r="Q332" s="58">
        <f>IF(AND(BANCO_OK_3,B332&lt;=MESES),IF(OR(B332=1,P332&lt;&gt;P331),PMT(P332/1200,MESES-B332+1,-T331),Q331),0)</f>
        <v/>
      </c>
      <c r="R332" s="58">
        <f>T331*P332/1200</f>
        <v/>
      </c>
      <c r="S332" s="58">
        <f>IF(AND(BANCO_OK_3,B332&lt;=MESES),IF(OR(B332=MESES,Q332-R332&gt;T331),T331,Q332-R332),0)</f>
        <v/>
      </c>
      <c r="T332" s="58">
        <f>T331-S332</f>
        <v/>
      </c>
      <c r="U332" s="58">
        <f>IF(AND(BANCO_OK_3,B332&lt;=MESES),R332+S332+VINC_MES_3,0)</f>
        <v/>
      </c>
      <c r="V332" s="52">
        <f>IF(AND(BANCO_OK_4,B332&lt;=MESES),IF(OR(OF_TIPO_4="Fija",C332&lt;=OF_ANIOS_INI_4),OF_TIN_4,MAX(0,EURIBOR+OF_DIF_4)),0)</f>
        <v/>
      </c>
      <c r="W332" s="58">
        <f>IF(AND(BANCO_OK_4,B332&lt;=MESES),IF(OR(B332=1,V332&lt;&gt;V331),PMT(V332/1200,MESES-B332+1,-Z331),W331),0)</f>
        <v/>
      </c>
      <c r="X332" s="58">
        <f>Z331*V332/1200</f>
        <v/>
      </c>
      <c r="Y332" s="58">
        <f>IF(AND(BANCO_OK_4,B332&lt;=MESES),IF(OR(B332=MESES,W332-X332&gt;Z331),Z331,W332-X332),0)</f>
        <v/>
      </c>
      <c r="Z332" s="58">
        <f>Z331-Y332</f>
        <v/>
      </c>
      <c r="AA332" s="58">
        <f>IF(AND(BANCO_OK_4,B332&lt;=MESES),X332+Y332+VINC_MES_4,0)</f>
        <v/>
      </c>
    </row>
    <row r="333">
      <c r="B333" s="56" t="n">
        <v>325</v>
      </c>
      <c r="C333" s="56">
        <f>ROUNDUP(B333/12,0)</f>
        <v/>
      </c>
      <c r="D333" s="52">
        <f>IF(AND(BANCO_OK_1,B333&lt;=MESES),IF(OR(OF_TIPO_1="Fija",C333&lt;=OF_ANIOS_INI_1),OF_TIN_1,MAX(0,EURIBOR+OF_DIF_1)),0)</f>
        <v/>
      </c>
      <c r="E333" s="58">
        <f>IF(AND(BANCO_OK_1,B333&lt;=MESES),IF(OR(B333=1,D333&lt;&gt;D332),PMT(D333/1200,MESES-B333+1,-H332),E332),0)</f>
        <v/>
      </c>
      <c r="F333" s="58">
        <f>H332*D333/1200</f>
        <v/>
      </c>
      <c r="G333" s="58">
        <f>IF(AND(BANCO_OK_1,B333&lt;=MESES),IF(OR(B333=MESES,E333-F333&gt;H332),H332,E333-F333),0)</f>
        <v/>
      </c>
      <c r="H333" s="58">
        <f>H332-G333</f>
        <v/>
      </c>
      <c r="I333" s="58">
        <f>IF(AND(BANCO_OK_1,B333&lt;=MESES),F333+G333+VINC_MES_1,0)</f>
        <v/>
      </c>
      <c r="J333" s="52">
        <f>IF(AND(BANCO_OK_2,B333&lt;=MESES),IF(OR(OF_TIPO_2="Fija",C333&lt;=OF_ANIOS_INI_2),OF_TIN_2,MAX(0,EURIBOR+OF_DIF_2)),0)</f>
        <v/>
      </c>
      <c r="K333" s="58">
        <f>IF(AND(BANCO_OK_2,B333&lt;=MESES),IF(OR(B333=1,J333&lt;&gt;J332),PMT(J333/1200,MESES-B333+1,-N332),K332),0)</f>
        <v/>
      </c>
      <c r="L333" s="58">
        <f>N332*J333/1200</f>
        <v/>
      </c>
      <c r="M333" s="58">
        <f>IF(AND(BANCO_OK_2,B333&lt;=MESES),IF(OR(B333=MESES,K333-L333&gt;N332),N332,K333-L333),0)</f>
        <v/>
      </c>
      <c r="N333" s="58">
        <f>N332-M333</f>
        <v/>
      </c>
      <c r="O333" s="58">
        <f>IF(AND(BANCO_OK_2,B333&lt;=MESES),L333+M333+VINC_MES_2,0)</f>
        <v/>
      </c>
      <c r="P333" s="52">
        <f>IF(AND(BANCO_OK_3,B333&lt;=MESES),IF(OR(OF_TIPO_3="Fija",C333&lt;=OF_ANIOS_INI_3),OF_TIN_3,MAX(0,EURIBOR+OF_DIF_3)),0)</f>
        <v/>
      </c>
      <c r="Q333" s="58">
        <f>IF(AND(BANCO_OK_3,B333&lt;=MESES),IF(OR(B333=1,P333&lt;&gt;P332),PMT(P333/1200,MESES-B333+1,-T332),Q332),0)</f>
        <v/>
      </c>
      <c r="R333" s="58">
        <f>T332*P333/1200</f>
        <v/>
      </c>
      <c r="S333" s="58">
        <f>IF(AND(BANCO_OK_3,B333&lt;=MESES),IF(OR(B333=MESES,Q333-R333&gt;T332),T332,Q333-R333),0)</f>
        <v/>
      </c>
      <c r="T333" s="58">
        <f>T332-S333</f>
        <v/>
      </c>
      <c r="U333" s="58">
        <f>IF(AND(BANCO_OK_3,B333&lt;=MESES),R333+S333+VINC_MES_3,0)</f>
        <v/>
      </c>
      <c r="V333" s="52">
        <f>IF(AND(BANCO_OK_4,B333&lt;=MESES),IF(OR(OF_TIPO_4="Fija",C333&lt;=OF_ANIOS_INI_4),OF_TIN_4,MAX(0,EURIBOR+OF_DIF_4)),0)</f>
        <v/>
      </c>
      <c r="W333" s="58">
        <f>IF(AND(BANCO_OK_4,B333&lt;=MESES),IF(OR(B333=1,V333&lt;&gt;V332),PMT(V333/1200,MESES-B333+1,-Z332),W332),0)</f>
        <v/>
      </c>
      <c r="X333" s="58">
        <f>Z332*V333/1200</f>
        <v/>
      </c>
      <c r="Y333" s="58">
        <f>IF(AND(BANCO_OK_4,B333&lt;=MESES),IF(OR(B333=MESES,W333-X333&gt;Z332),Z332,W333-X333),0)</f>
        <v/>
      </c>
      <c r="Z333" s="58">
        <f>Z332-Y333</f>
        <v/>
      </c>
      <c r="AA333" s="58">
        <f>IF(AND(BANCO_OK_4,B333&lt;=MESES),X333+Y333+VINC_MES_4,0)</f>
        <v/>
      </c>
    </row>
    <row r="334">
      <c r="B334" s="56" t="n">
        <v>326</v>
      </c>
      <c r="C334" s="56">
        <f>ROUNDUP(B334/12,0)</f>
        <v/>
      </c>
      <c r="D334" s="52">
        <f>IF(AND(BANCO_OK_1,B334&lt;=MESES),IF(OR(OF_TIPO_1="Fija",C334&lt;=OF_ANIOS_INI_1),OF_TIN_1,MAX(0,EURIBOR+OF_DIF_1)),0)</f>
        <v/>
      </c>
      <c r="E334" s="58">
        <f>IF(AND(BANCO_OK_1,B334&lt;=MESES),IF(OR(B334=1,D334&lt;&gt;D333),PMT(D334/1200,MESES-B334+1,-H333),E333),0)</f>
        <v/>
      </c>
      <c r="F334" s="58">
        <f>H333*D334/1200</f>
        <v/>
      </c>
      <c r="G334" s="58">
        <f>IF(AND(BANCO_OK_1,B334&lt;=MESES),IF(OR(B334=MESES,E334-F334&gt;H333),H333,E334-F334),0)</f>
        <v/>
      </c>
      <c r="H334" s="58">
        <f>H333-G334</f>
        <v/>
      </c>
      <c r="I334" s="58">
        <f>IF(AND(BANCO_OK_1,B334&lt;=MESES),F334+G334+VINC_MES_1,0)</f>
        <v/>
      </c>
      <c r="J334" s="52">
        <f>IF(AND(BANCO_OK_2,B334&lt;=MESES),IF(OR(OF_TIPO_2="Fija",C334&lt;=OF_ANIOS_INI_2),OF_TIN_2,MAX(0,EURIBOR+OF_DIF_2)),0)</f>
        <v/>
      </c>
      <c r="K334" s="58">
        <f>IF(AND(BANCO_OK_2,B334&lt;=MESES),IF(OR(B334=1,J334&lt;&gt;J333),PMT(J334/1200,MESES-B334+1,-N333),K333),0)</f>
        <v/>
      </c>
      <c r="L334" s="58">
        <f>N333*J334/1200</f>
        <v/>
      </c>
      <c r="M334" s="58">
        <f>IF(AND(BANCO_OK_2,B334&lt;=MESES),IF(OR(B334=MESES,K334-L334&gt;N333),N333,K334-L334),0)</f>
        <v/>
      </c>
      <c r="N334" s="58">
        <f>N333-M334</f>
        <v/>
      </c>
      <c r="O334" s="58">
        <f>IF(AND(BANCO_OK_2,B334&lt;=MESES),L334+M334+VINC_MES_2,0)</f>
        <v/>
      </c>
      <c r="P334" s="52">
        <f>IF(AND(BANCO_OK_3,B334&lt;=MESES),IF(OR(OF_TIPO_3="Fija",C334&lt;=OF_ANIOS_INI_3),OF_TIN_3,MAX(0,EURIBOR+OF_DIF_3)),0)</f>
        <v/>
      </c>
      <c r="Q334" s="58">
        <f>IF(AND(BANCO_OK_3,B334&lt;=MESES),IF(OR(B334=1,P334&lt;&gt;P333),PMT(P334/1200,MESES-B334+1,-T333),Q333),0)</f>
        <v/>
      </c>
      <c r="R334" s="58">
        <f>T333*P334/1200</f>
        <v/>
      </c>
      <c r="S334" s="58">
        <f>IF(AND(BANCO_OK_3,B334&lt;=MESES),IF(OR(B334=MESES,Q334-R334&gt;T333),T333,Q334-R334),0)</f>
        <v/>
      </c>
      <c r="T334" s="58">
        <f>T333-S334</f>
        <v/>
      </c>
      <c r="U334" s="58">
        <f>IF(AND(BANCO_OK_3,B334&lt;=MESES),R334+S334+VINC_MES_3,0)</f>
        <v/>
      </c>
      <c r="V334" s="52">
        <f>IF(AND(BANCO_OK_4,B334&lt;=MESES),IF(OR(OF_TIPO_4="Fija",C334&lt;=OF_ANIOS_INI_4),OF_TIN_4,MAX(0,EURIBOR+OF_DIF_4)),0)</f>
        <v/>
      </c>
      <c r="W334" s="58">
        <f>IF(AND(BANCO_OK_4,B334&lt;=MESES),IF(OR(B334=1,V334&lt;&gt;V333),PMT(V334/1200,MESES-B334+1,-Z333),W333),0)</f>
        <v/>
      </c>
      <c r="X334" s="58">
        <f>Z333*V334/1200</f>
        <v/>
      </c>
      <c r="Y334" s="58">
        <f>IF(AND(BANCO_OK_4,B334&lt;=MESES),IF(OR(B334=MESES,W334-X334&gt;Z333),Z333,W334-X334),0)</f>
        <v/>
      </c>
      <c r="Z334" s="58">
        <f>Z333-Y334</f>
        <v/>
      </c>
      <c r="AA334" s="58">
        <f>IF(AND(BANCO_OK_4,B334&lt;=MESES),X334+Y334+VINC_MES_4,0)</f>
        <v/>
      </c>
    </row>
    <row r="335">
      <c r="B335" s="56" t="n">
        <v>327</v>
      </c>
      <c r="C335" s="56">
        <f>ROUNDUP(B335/12,0)</f>
        <v/>
      </c>
      <c r="D335" s="52">
        <f>IF(AND(BANCO_OK_1,B335&lt;=MESES),IF(OR(OF_TIPO_1="Fija",C335&lt;=OF_ANIOS_INI_1),OF_TIN_1,MAX(0,EURIBOR+OF_DIF_1)),0)</f>
        <v/>
      </c>
      <c r="E335" s="58">
        <f>IF(AND(BANCO_OK_1,B335&lt;=MESES),IF(OR(B335=1,D335&lt;&gt;D334),PMT(D335/1200,MESES-B335+1,-H334),E334),0)</f>
        <v/>
      </c>
      <c r="F335" s="58">
        <f>H334*D335/1200</f>
        <v/>
      </c>
      <c r="G335" s="58">
        <f>IF(AND(BANCO_OK_1,B335&lt;=MESES),IF(OR(B335=MESES,E335-F335&gt;H334),H334,E335-F335),0)</f>
        <v/>
      </c>
      <c r="H335" s="58">
        <f>H334-G335</f>
        <v/>
      </c>
      <c r="I335" s="58">
        <f>IF(AND(BANCO_OK_1,B335&lt;=MESES),F335+G335+VINC_MES_1,0)</f>
        <v/>
      </c>
      <c r="J335" s="52">
        <f>IF(AND(BANCO_OK_2,B335&lt;=MESES),IF(OR(OF_TIPO_2="Fija",C335&lt;=OF_ANIOS_INI_2),OF_TIN_2,MAX(0,EURIBOR+OF_DIF_2)),0)</f>
        <v/>
      </c>
      <c r="K335" s="58">
        <f>IF(AND(BANCO_OK_2,B335&lt;=MESES),IF(OR(B335=1,J335&lt;&gt;J334),PMT(J335/1200,MESES-B335+1,-N334),K334),0)</f>
        <v/>
      </c>
      <c r="L335" s="58">
        <f>N334*J335/1200</f>
        <v/>
      </c>
      <c r="M335" s="58">
        <f>IF(AND(BANCO_OK_2,B335&lt;=MESES),IF(OR(B335=MESES,K335-L335&gt;N334),N334,K335-L335),0)</f>
        <v/>
      </c>
      <c r="N335" s="58">
        <f>N334-M335</f>
        <v/>
      </c>
      <c r="O335" s="58">
        <f>IF(AND(BANCO_OK_2,B335&lt;=MESES),L335+M335+VINC_MES_2,0)</f>
        <v/>
      </c>
      <c r="P335" s="52">
        <f>IF(AND(BANCO_OK_3,B335&lt;=MESES),IF(OR(OF_TIPO_3="Fija",C335&lt;=OF_ANIOS_INI_3),OF_TIN_3,MAX(0,EURIBOR+OF_DIF_3)),0)</f>
        <v/>
      </c>
      <c r="Q335" s="58">
        <f>IF(AND(BANCO_OK_3,B335&lt;=MESES),IF(OR(B335=1,P335&lt;&gt;P334),PMT(P335/1200,MESES-B335+1,-T334),Q334),0)</f>
        <v/>
      </c>
      <c r="R335" s="58">
        <f>T334*P335/1200</f>
        <v/>
      </c>
      <c r="S335" s="58">
        <f>IF(AND(BANCO_OK_3,B335&lt;=MESES),IF(OR(B335=MESES,Q335-R335&gt;T334),T334,Q335-R335),0)</f>
        <v/>
      </c>
      <c r="T335" s="58">
        <f>T334-S335</f>
        <v/>
      </c>
      <c r="U335" s="58">
        <f>IF(AND(BANCO_OK_3,B335&lt;=MESES),R335+S335+VINC_MES_3,0)</f>
        <v/>
      </c>
      <c r="V335" s="52">
        <f>IF(AND(BANCO_OK_4,B335&lt;=MESES),IF(OR(OF_TIPO_4="Fija",C335&lt;=OF_ANIOS_INI_4),OF_TIN_4,MAX(0,EURIBOR+OF_DIF_4)),0)</f>
        <v/>
      </c>
      <c r="W335" s="58">
        <f>IF(AND(BANCO_OK_4,B335&lt;=MESES),IF(OR(B335=1,V335&lt;&gt;V334),PMT(V335/1200,MESES-B335+1,-Z334),W334),0)</f>
        <v/>
      </c>
      <c r="X335" s="58">
        <f>Z334*V335/1200</f>
        <v/>
      </c>
      <c r="Y335" s="58">
        <f>IF(AND(BANCO_OK_4,B335&lt;=MESES),IF(OR(B335=MESES,W335-X335&gt;Z334),Z334,W335-X335),0)</f>
        <v/>
      </c>
      <c r="Z335" s="58">
        <f>Z334-Y335</f>
        <v/>
      </c>
      <c r="AA335" s="58">
        <f>IF(AND(BANCO_OK_4,B335&lt;=MESES),X335+Y335+VINC_MES_4,0)</f>
        <v/>
      </c>
    </row>
    <row r="336">
      <c r="B336" s="56" t="n">
        <v>328</v>
      </c>
      <c r="C336" s="56">
        <f>ROUNDUP(B336/12,0)</f>
        <v/>
      </c>
      <c r="D336" s="52">
        <f>IF(AND(BANCO_OK_1,B336&lt;=MESES),IF(OR(OF_TIPO_1="Fija",C336&lt;=OF_ANIOS_INI_1),OF_TIN_1,MAX(0,EURIBOR+OF_DIF_1)),0)</f>
        <v/>
      </c>
      <c r="E336" s="58">
        <f>IF(AND(BANCO_OK_1,B336&lt;=MESES),IF(OR(B336=1,D336&lt;&gt;D335),PMT(D336/1200,MESES-B336+1,-H335),E335),0)</f>
        <v/>
      </c>
      <c r="F336" s="58">
        <f>H335*D336/1200</f>
        <v/>
      </c>
      <c r="G336" s="58">
        <f>IF(AND(BANCO_OK_1,B336&lt;=MESES),IF(OR(B336=MESES,E336-F336&gt;H335),H335,E336-F336),0)</f>
        <v/>
      </c>
      <c r="H336" s="58">
        <f>H335-G336</f>
        <v/>
      </c>
      <c r="I336" s="58">
        <f>IF(AND(BANCO_OK_1,B336&lt;=MESES),F336+G336+VINC_MES_1,0)</f>
        <v/>
      </c>
      <c r="J336" s="52">
        <f>IF(AND(BANCO_OK_2,B336&lt;=MESES),IF(OR(OF_TIPO_2="Fija",C336&lt;=OF_ANIOS_INI_2),OF_TIN_2,MAX(0,EURIBOR+OF_DIF_2)),0)</f>
        <v/>
      </c>
      <c r="K336" s="58">
        <f>IF(AND(BANCO_OK_2,B336&lt;=MESES),IF(OR(B336=1,J336&lt;&gt;J335),PMT(J336/1200,MESES-B336+1,-N335),K335),0)</f>
        <v/>
      </c>
      <c r="L336" s="58">
        <f>N335*J336/1200</f>
        <v/>
      </c>
      <c r="M336" s="58">
        <f>IF(AND(BANCO_OK_2,B336&lt;=MESES),IF(OR(B336=MESES,K336-L336&gt;N335),N335,K336-L336),0)</f>
        <v/>
      </c>
      <c r="N336" s="58">
        <f>N335-M336</f>
        <v/>
      </c>
      <c r="O336" s="58">
        <f>IF(AND(BANCO_OK_2,B336&lt;=MESES),L336+M336+VINC_MES_2,0)</f>
        <v/>
      </c>
      <c r="P336" s="52">
        <f>IF(AND(BANCO_OK_3,B336&lt;=MESES),IF(OR(OF_TIPO_3="Fija",C336&lt;=OF_ANIOS_INI_3),OF_TIN_3,MAX(0,EURIBOR+OF_DIF_3)),0)</f>
        <v/>
      </c>
      <c r="Q336" s="58">
        <f>IF(AND(BANCO_OK_3,B336&lt;=MESES),IF(OR(B336=1,P336&lt;&gt;P335),PMT(P336/1200,MESES-B336+1,-T335),Q335),0)</f>
        <v/>
      </c>
      <c r="R336" s="58">
        <f>T335*P336/1200</f>
        <v/>
      </c>
      <c r="S336" s="58">
        <f>IF(AND(BANCO_OK_3,B336&lt;=MESES),IF(OR(B336=MESES,Q336-R336&gt;T335),T335,Q336-R336),0)</f>
        <v/>
      </c>
      <c r="T336" s="58">
        <f>T335-S336</f>
        <v/>
      </c>
      <c r="U336" s="58">
        <f>IF(AND(BANCO_OK_3,B336&lt;=MESES),R336+S336+VINC_MES_3,0)</f>
        <v/>
      </c>
      <c r="V336" s="52">
        <f>IF(AND(BANCO_OK_4,B336&lt;=MESES),IF(OR(OF_TIPO_4="Fija",C336&lt;=OF_ANIOS_INI_4),OF_TIN_4,MAX(0,EURIBOR+OF_DIF_4)),0)</f>
        <v/>
      </c>
      <c r="W336" s="58">
        <f>IF(AND(BANCO_OK_4,B336&lt;=MESES),IF(OR(B336=1,V336&lt;&gt;V335),PMT(V336/1200,MESES-B336+1,-Z335),W335),0)</f>
        <v/>
      </c>
      <c r="X336" s="58">
        <f>Z335*V336/1200</f>
        <v/>
      </c>
      <c r="Y336" s="58">
        <f>IF(AND(BANCO_OK_4,B336&lt;=MESES),IF(OR(B336=MESES,W336-X336&gt;Z335),Z335,W336-X336),0)</f>
        <v/>
      </c>
      <c r="Z336" s="58">
        <f>Z335-Y336</f>
        <v/>
      </c>
      <c r="AA336" s="58">
        <f>IF(AND(BANCO_OK_4,B336&lt;=MESES),X336+Y336+VINC_MES_4,0)</f>
        <v/>
      </c>
    </row>
    <row r="337">
      <c r="B337" s="56" t="n">
        <v>329</v>
      </c>
      <c r="C337" s="56">
        <f>ROUNDUP(B337/12,0)</f>
        <v/>
      </c>
      <c r="D337" s="52">
        <f>IF(AND(BANCO_OK_1,B337&lt;=MESES),IF(OR(OF_TIPO_1="Fija",C337&lt;=OF_ANIOS_INI_1),OF_TIN_1,MAX(0,EURIBOR+OF_DIF_1)),0)</f>
        <v/>
      </c>
      <c r="E337" s="58">
        <f>IF(AND(BANCO_OK_1,B337&lt;=MESES),IF(OR(B337=1,D337&lt;&gt;D336),PMT(D337/1200,MESES-B337+1,-H336),E336),0)</f>
        <v/>
      </c>
      <c r="F337" s="58">
        <f>H336*D337/1200</f>
        <v/>
      </c>
      <c r="G337" s="58">
        <f>IF(AND(BANCO_OK_1,B337&lt;=MESES),IF(OR(B337=MESES,E337-F337&gt;H336),H336,E337-F337),0)</f>
        <v/>
      </c>
      <c r="H337" s="58">
        <f>H336-G337</f>
        <v/>
      </c>
      <c r="I337" s="58">
        <f>IF(AND(BANCO_OK_1,B337&lt;=MESES),F337+G337+VINC_MES_1,0)</f>
        <v/>
      </c>
      <c r="J337" s="52">
        <f>IF(AND(BANCO_OK_2,B337&lt;=MESES),IF(OR(OF_TIPO_2="Fija",C337&lt;=OF_ANIOS_INI_2),OF_TIN_2,MAX(0,EURIBOR+OF_DIF_2)),0)</f>
        <v/>
      </c>
      <c r="K337" s="58">
        <f>IF(AND(BANCO_OK_2,B337&lt;=MESES),IF(OR(B337=1,J337&lt;&gt;J336),PMT(J337/1200,MESES-B337+1,-N336),K336),0)</f>
        <v/>
      </c>
      <c r="L337" s="58">
        <f>N336*J337/1200</f>
        <v/>
      </c>
      <c r="M337" s="58">
        <f>IF(AND(BANCO_OK_2,B337&lt;=MESES),IF(OR(B337=MESES,K337-L337&gt;N336),N336,K337-L337),0)</f>
        <v/>
      </c>
      <c r="N337" s="58">
        <f>N336-M337</f>
        <v/>
      </c>
      <c r="O337" s="58">
        <f>IF(AND(BANCO_OK_2,B337&lt;=MESES),L337+M337+VINC_MES_2,0)</f>
        <v/>
      </c>
      <c r="P337" s="52">
        <f>IF(AND(BANCO_OK_3,B337&lt;=MESES),IF(OR(OF_TIPO_3="Fija",C337&lt;=OF_ANIOS_INI_3),OF_TIN_3,MAX(0,EURIBOR+OF_DIF_3)),0)</f>
        <v/>
      </c>
      <c r="Q337" s="58">
        <f>IF(AND(BANCO_OK_3,B337&lt;=MESES),IF(OR(B337=1,P337&lt;&gt;P336),PMT(P337/1200,MESES-B337+1,-T336),Q336),0)</f>
        <v/>
      </c>
      <c r="R337" s="58">
        <f>T336*P337/1200</f>
        <v/>
      </c>
      <c r="S337" s="58">
        <f>IF(AND(BANCO_OK_3,B337&lt;=MESES),IF(OR(B337=MESES,Q337-R337&gt;T336),T336,Q337-R337),0)</f>
        <v/>
      </c>
      <c r="T337" s="58">
        <f>T336-S337</f>
        <v/>
      </c>
      <c r="U337" s="58">
        <f>IF(AND(BANCO_OK_3,B337&lt;=MESES),R337+S337+VINC_MES_3,0)</f>
        <v/>
      </c>
      <c r="V337" s="52">
        <f>IF(AND(BANCO_OK_4,B337&lt;=MESES),IF(OR(OF_TIPO_4="Fija",C337&lt;=OF_ANIOS_INI_4),OF_TIN_4,MAX(0,EURIBOR+OF_DIF_4)),0)</f>
        <v/>
      </c>
      <c r="W337" s="58">
        <f>IF(AND(BANCO_OK_4,B337&lt;=MESES),IF(OR(B337=1,V337&lt;&gt;V336),PMT(V337/1200,MESES-B337+1,-Z336),W336),0)</f>
        <v/>
      </c>
      <c r="X337" s="58">
        <f>Z336*V337/1200</f>
        <v/>
      </c>
      <c r="Y337" s="58">
        <f>IF(AND(BANCO_OK_4,B337&lt;=MESES),IF(OR(B337=MESES,W337-X337&gt;Z336),Z336,W337-X337),0)</f>
        <v/>
      </c>
      <c r="Z337" s="58">
        <f>Z336-Y337</f>
        <v/>
      </c>
      <c r="AA337" s="58">
        <f>IF(AND(BANCO_OK_4,B337&lt;=MESES),X337+Y337+VINC_MES_4,0)</f>
        <v/>
      </c>
    </row>
    <row r="338">
      <c r="B338" s="56" t="n">
        <v>330</v>
      </c>
      <c r="C338" s="56">
        <f>ROUNDUP(B338/12,0)</f>
        <v/>
      </c>
      <c r="D338" s="52">
        <f>IF(AND(BANCO_OK_1,B338&lt;=MESES),IF(OR(OF_TIPO_1="Fija",C338&lt;=OF_ANIOS_INI_1),OF_TIN_1,MAX(0,EURIBOR+OF_DIF_1)),0)</f>
        <v/>
      </c>
      <c r="E338" s="58">
        <f>IF(AND(BANCO_OK_1,B338&lt;=MESES),IF(OR(B338=1,D338&lt;&gt;D337),PMT(D338/1200,MESES-B338+1,-H337),E337),0)</f>
        <v/>
      </c>
      <c r="F338" s="58">
        <f>H337*D338/1200</f>
        <v/>
      </c>
      <c r="G338" s="58">
        <f>IF(AND(BANCO_OK_1,B338&lt;=MESES),IF(OR(B338=MESES,E338-F338&gt;H337),H337,E338-F338),0)</f>
        <v/>
      </c>
      <c r="H338" s="58">
        <f>H337-G338</f>
        <v/>
      </c>
      <c r="I338" s="58">
        <f>IF(AND(BANCO_OK_1,B338&lt;=MESES),F338+G338+VINC_MES_1,0)</f>
        <v/>
      </c>
      <c r="J338" s="52">
        <f>IF(AND(BANCO_OK_2,B338&lt;=MESES),IF(OR(OF_TIPO_2="Fija",C338&lt;=OF_ANIOS_INI_2),OF_TIN_2,MAX(0,EURIBOR+OF_DIF_2)),0)</f>
        <v/>
      </c>
      <c r="K338" s="58">
        <f>IF(AND(BANCO_OK_2,B338&lt;=MESES),IF(OR(B338=1,J338&lt;&gt;J337),PMT(J338/1200,MESES-B338+1,-N337),K337),0)</f>
        <v/>
      </c>
      <c r="L338" s="58">
        <f>N337*J338/1200</f>
        <v/>
      </c>
      <c r="M338" s="58">
        <f>IF(AND(BANCO_OK_2,B338&lt;=MESES),IF(OR(B338=MESES,K338-L338&gt;N337),N337,K338-L338),0)</f>
        <v/>
      </c>
      <c r="N338" s="58">
        <f>N337-M338</f>
        <v/>
      </c>
      <c r="O338" s="58">
        <f>IF(AND(BANCO_OK_2,B338&lt;=MESES),L338+M338+VINC_MES_2,0)</f>
        <v/>
      </c>
      <c r="P338" s="52">
        <f>IF(AND(BANCO_OK_3,B338&lt;=MESES),IF(OR(OF_TIPO_3="Fija",C338&lt;=OF_ANIOS_INI_3),OF_TIN_3,MAX(0,EURIBOR+OF_DIF_3)),0)</f>
        <v/>
      </c>
      <c r="Q338" s="58">
        <f>IF(AND(BANCO_OK_3,B338&lt;=MESES),IF(OR(B338=1,P338&lt;&gt;P337),PMT(P338/1200,MESES-B338+1,-T337),Q337),0)</f>
        <v/>
      </c>
      <c r="R338" s="58">
        <f>T337*P338/1200</f>
        <v/>
      </c>
      <c r="S338" s="58">
        <f>IF(AND(BANCO_OK_3,B338&lt;=MESES),IF(OR(B338=MESES,Q338-R338&gt;T337),T337,Q338-R338),0)</f>
        <v/>
      </c>
      <c r="T338" s="58">
        <f>T337-S338</f>
        <v/>
      </c>
      <c r="U338" s="58">
        <f>IF(AND(BANCO_OK_3,B338&lt;=MESES),R338+S338+VINC_MES_3,0)</f>
        <v/>
      </c>
      <c r="V338" s="52">
        <f>IF(AND(BANCO_OK_4,B338&lt;=MESES),IF(OR(OF_TIPO_4="Fija",C338&lt;=OF_ANIOS_INI_4),OF_TIN_4,MAX(0,EURIBOR+OF_DIF_4)),0)</f>
        <v/>
      </c>
      <c r="W338" s="58">
        <f>IF(AND(BANCO_OK_4,B338&lt;=MESES),IF(OR(B338=1,V338&lt;&gt;V337),PMT(V338/1200,MESES-B338+1,-Z337),W337),0)</f>
        <v/>
      </c>
      <c r="X338" s="58">
        <f>Z337*V338/1200</f>
        <v/>
      </c>
      <c r="Y338" s="58">
        <f>IF(AND(BANCO_OK_4,B338&lt;=MESES),IF(OR(B338=MESES,W338-X338&gt;Z337),Z337,W338-X338),0)</f>
        <v/>
      </c>
      <c r="Z338" s="58">
        <f>Z337-Y338</f>
        <v/>
      </c>
      <c r="AA338" s="58">
        <f>IF(AND(BANCO_OK_4,B338&lt;=MESES),X338+Y338+VINC_MES_4,0)</f>
        <v/>
      </c>
    </row>
    <row r="339">
      <c r="B339" s="56" t="n">
        <v>331</v>
      </c>
      <c r="C339" s="56">
        <f>ROUNDUP(B339/12,0)</f>
        <v/>
      </c>
      <c r="D339" s="52">
        <f>IF(AND(BANCO_OK_1,B339&lt;=MESES),IF(OR(OF_TIPO_1="Fija",C339&lt;=OF_ANIOS_INI_1),OF_TIN_1,MAX(0,EURIBOR+OF_DIF_1)),0)</f>
        <v/>
      </c>
      <c r="E339" s="58">
        <f>IF(AND(BANCO_OK_1,B339&lt;=MESES),IF(OR(B339=1,D339&lt;&gt;D338),PMT(D339/1200,MESES-B339+1,-H338),E338),0)</f>
        <v/>
      </c>
      <c r="F339" s="58">
        <f>H338*D339/1200</f>
        <v/>
      </c>
      <c r="G339" s="58">
        <f>IF(AND(BANCO_OK_1,B339&lt;=MESES),IF(OR(B339=MESES,E339-F339&gt;H338),H338,E339-F339),0)</f>
        <v/>
      </c>
      <c r="H339" s="58">
        <f>H338-G339</f>
        <v/>
      </c>
      <c r="I339" s="58">
        <f>IF(AND(BANCO_OK_1,B339&lt;=MESES),F339+G339+VINC_MES_1,0)</f>
        <v/>
      </c>
      <c r="J339" s="52">
        <f>IF(AND(BANCO_OK_2,B339&lt;=MESES),IF(OR(OF_TIPO_2="Fija",C339&lt;=OF_ANIOS_INI_2),OF_TIN_2,MAX(0,EURIBOR+OF_DIF_2)),0)</f>
        <v/>
      </c>
      <c r="K339" s="58">
        <f>IF(AND(BANCO_OK_2,B339&lt;=MESES),IF(OR(B339=1,J339&lt;&gt;J338),PMT(J339/1200,MESES-B339+1,-N338),K338),0)</f>
        <v/>
      </c>
      <c r="L339" s="58">
        <f>N338*J339/1200</f>
        <v/>
      </c>
      <c r="M339" s="58">
        <f>IF(AND(BANCO_OK_2,B339&lt;=MESES),IF(OR(B339=MESES,K339-L339&gt;N338),N338,K339-L339),0)</f>
        <v/>
      </c>
      <c r="N339" s="58">
        <f>N338-M339</f>
        <v/>
      </c>
      <c r="O339" s="58">
        <f>IF(AND(BANCO_OK_2,B339&lt;=MESES),L339+M339+VINC_MES_2,0)</f>
        <v/>
      </c>
      <c r="P339" s="52">
        <f>IF(AND(BANCO_OK_3,B339&lt;=MESES),IF(OR(OF_TIPO_3="Fija",C339&lt;=OF_ANIOS_INI_3),OF_TIN_3,MAX(0,EURIBOR+OF_DIF_3)),0)</f>
        <v/>
      </c>
      <c r="Q339" s="58">
        <f>IF(AND(BANCO_OK_3,B339&lt;=MESES),IF(OR(B339=1,P339&lt;&gt;P338),PMT(P339/1200,MESES-B339+1,-T338),Q338),0)</f>
        <v/>
      </c>
      <c r="R339" s="58">
        <f>T338*P339/1200</f>
        <v/>
      </c>
      <c r="S339" s="58">
        <f>IF(AND(BANCO_OK_3,B339&lt;=MESES),IF(OR(B339=MESES,Q339-R339&gt;T338),T338,Q339-R339),0)</f>
        <v/>
      </c>
      <c r="T339" s="58">
        <f>T338-S339</f>
        <v/>
      </c>
      <c r="U339" s="58">
        <f>IF(AND(BANCO_OK_3,B339&lt;=MESES),R339+S339+VINC_MES_3,0)</f>
        <v/>
      </c>
      <c r="V339" s="52">
        <f>IF(AND(BANCO_OK_4,B339&lt;=MESES),IF(OR(OF_TIPO_4="Fija",C339&lt;=OF_ANIOS_INI_4),OF_TIN_4,MAX(0,EURIBOR+OF_DIF_4)),0)</f>
        <v/>
      </c>
      <c r="W339" s="58">
        <f>IF(AND(BANCO_OK_4,B339&lt;=MESES),IF(OR(B339=1,V339&lt;&gt;V338),PMT(V339/1200,MESES-B339+1,-Z338),W338),0)</f>
        <v/>
      </c>
      <c r="X339" s="58">
        <f>Z338*V339/1200</f>
        <v/>
      </c>
      <c r="Y339" s="58">
        <f>IF(AND(BANCO_OK_4,B339&lt;=MESES),IF(OR(B339=MESES,W339-X339&gt;Z338),Z338,W339-X339),0)</f>
        <v/>
      </c>
      <c r="Z339" s="58">
        <f>Z338-Y339</f>
        <v/>
      </c>
      <c r="AA339" s="58">
        <f>IF(AND(BANCO_OK_4,B339&lt;=MESES),X339+Y339+VINC_MES_4,0)</f>
        <v/>
      </c>
    </row>
    <row r="340">
      <c r="B340" s="56" t="n">
        <v>332</v>
      </c>
      <c r="C340" s="56">
        <f>ROUNDUP(B340/12,0)</f>
        <v/>
      </c>
      <c r="D340" s="52">
        <f>IF(AND(BANCO_OK_1,B340&lt;=MESES),IF(OR(OF_TIPO_1="Fija",C340&lt;=OF_ANIOS_INI_1),OF_TIN_1,MAX(0,EURIBOR+OF_DIF_1)),0)</f>
        <v/>
      </c>
      <c r="E340" s="58">
        <f>IF(AND(BANCO_OK_1,B340&lt;=MESES),IF(OR(B340=1,D340&lt;&gt;D339),PMT(D340/1200,MESES-B340+1,-H339),E339),0)</f>
        <v/>
      </c>
      <c r="F340" s="58">
        <f>H339*D340/1200</f>
        <v/>
      </c>
      <c r="G340" s="58">
        <f>IF(AND(BANCO_OK_1,B340&lt;=MESES),IF(OR(B340=MESES,E340-F340&gt;H339),H339,E340-F340),0)</f>
        <v/>
      </c>
      <c r="H340" s="58">
        <f>H339-G340</f>
        <v/>
      </c>
      <c r="I340" s="58">
        <f>IF(AND(BANCO_OK_1,B340&lt;=MESES),F340+G340+VINC_MES_1,0)</f>
        <v/>
      </c>
      <c r="J340" s="52">
        <f>IF(AND(BANCO_OK_2,B340&lt;=MESES),IF(OR(OF_TIPO_2="Fija",C340&lt;=OF_ANIOS_INI_2),OF_TIN_2,MAX(0,EURIBOR+OF_DIF_2)),0)</f>
        <v/>
      </c>
      <c r="K340" s="58">
        <f>IF(AND(BANCO_OK_2,B340&lt;=MESES),IF(OR(B340=1,J340&lt;&gt;J339),PMT(J340/1200,MESES-B340+1,-N339),K339),0)</f>
        <v/>
      </c>
      <c r="L340" s="58">
        <f>N339*J340/1200</f>
        <v/>
      </c>
      <c r="M340" s="58">
        <f>IF(AND(BANCO_OK_2,B340&lt;=MESES),IF(OR(B340=MESES,K340-L340&gt;N339),N339,K340-L340),0)</f>
        <v/>
      </c>
      <c r="N340" s="58">
        <f>N339-M340</f>
        <v/>
      </c>
      <c r="O340" s="58">
        <f>IF(AND(BANCO_OK_2,B340&lt;=MESES),L340+M340+VINC_MES_2,0)</f>
        <v/>
      </c>
      <c r="P340" s="52">
        <f>IF(AND(BANCO_OK_3,B340&lt;=MESES),IF(OR(OF_TIPO_3="Fija",C340&lt;=OF_ANIOS_INI_3),OF_TIN_3,MAX(0,EURIBOR+OF_DIF_3)),0)</f>
        <v/>
      </c>
      <c r="Q340" s="58">
        <f>IF(AND(BANCO_OK_3,B340&lt;=MESES),IF(OR(B340=1,P340&lt;&gt;P339),PMT(P340/1200,MESES-B340+1,-T339),Q339),0)</f>
        <v/>
      </c>
      <c r="R340" s="58">
        <f>T339*P340/1200</f>
        <v/>
      </c>
      <c r="S340" s="58">
        <f>IF(AND(BANCO_OK_3,B340&lt;=MESES),IF(OR(B340=MESES,Q340-R340&gt;T339),T339,Q340-R340),0)</f>
        <v/>
      </c>
      <c r="T340" s="58">
        <f>T339-S340</f>
        <v/>
      </c>
      <c r="U340" s="58">
        <f>IF(AND(BANCO_OK_3,B340&lt;=MESES),R340+S340+VINC_MES_3,0)</f>
        <v/>
      </c>
      <c r="V340" s="52">
        <f>IF(AND(BANCO_OK_4,B340&lt;=MESES),IF(OR(OF_TIPO_4="Fija",C340&lt;=OF_ANIOS_INI_4),OF_TIN_4,MAX(0,EURIBOR+OF_DIF_4)),0)</f>
        <v/>
      </c>
      <c r="W340" s="58">
        <f>IF(AND(BANCO_OK_4,B340&lt;=MESES),IF(OR(B340=1,V340&lt;&gt;V339),PMT(V340/1200,MESES-B340+1,-Z339),W339),0)</f>
        <v/>
      </c>
      <c r="X340" s="58">
        <f>Z339*V340/1200</f>
        <v/>
      </c>
      <c r="Y340" s="58">
        <f>IF(AND(BANCO_OK_4,B340&lt;=MESES),IF(OR(B340=MESES,W340-X340&gt;Z339),Z339,W340-X340),0)</f>
        <v/>
      </c>
      <c r="Z340" s="58">
        <f>Z339-Y340</f>
        <v/>
      </c>
      <c r="AA340" s="58">
        <f>IF(AND(BANCO_OK_4,B340&lt;=MESES),X340+Y340+VINC_MES_4,0)</f>
        <v/>
      </c>
    </row>
    <row r="341">
      <c r="B341" s="56" t="n">
        <v>333</v>
      </c>
      <c r="C341" s="56">
        <f>ROUNDUP(B341/12,0)</f>
        <v/>
      </c>
      <c r="D341" s="52">
        <f>IF(AND(BANCO_OK_1,B341&lt;=MESES),IF(OR(OF_TIPO_1="Fija",C341&lt;=OF_ANIOS_INI_1),OF_TIN_1,MAX(0,EURIBOR+OF_DIF_1)),0)</f>
        <v/>
      </c>
      <c r="E341" s="58">
        <f>IF(AND(BANCO_OK_1,B341&lt;=MESES),IF(OR(B341=1,D341&lt;&gt;D340),PMT(D341/1200,MESES-B341+1,-H340),E340),0)</f>
        <v/>
      </c>
      <c r="F341" s="58">
        <f>H340*D341/1200</f>
        <v/>
      </c>
      <c r="G341" s="58">
        <f>IF(AND(BANCO_OK_1,B341&lt;=MESES),IF(OR(B341=MESES,E341-F341&gt;H340),H340,E341-F341),0)</f>
        <v/>
      </c>
      <c r="H341" s="58">
        <f>H340-G341</f>
        <v/>
      </c>
      <c r="I341" s="58">
        <f>IF(AND(BANCO_OK_1,B341&lt;=MESES),F341+G341+VINC_MES_1,0)</f>
        <v/>
      </c>
      <c r="J341" s="52">
        <f>IF(AND(BANCO_OK_2,B341&lt;=MESES),IF(OR(OF_TIPO_2="Fija",C341&lt;=OF_ANIOS_INI_2),OF_TIN_2,MAX(0,EURIBOR+OF_DIF_2)),0)</f>
        <v/>
      </c>
      <c r="K341" s="58">
        <f>IF(AND(BANCO_OK_2,B341&lt;=MESES),IF(OR(B341=1,J341&lt;&gt;J340),PMT(J341/1200,MESES-B341+1,-N340),K340),0)</f>
        <v/>
      </c>
      <c r="L341" s="58">
        <f>N340*J341/1200</f>
        <v/>
      </c>
      <c r="M341" s="58">
        <f>IF(AND(BANCO_OK_2,B341&lt;=MESES),IF(OR(B341=MESES,K341-L341&gt;N340),N340,K341-L341),0)</f>
        <v/>
      </c>
      <c r="N341" s="58">
        <f>N340-M341</f>
        <v/>
      </c>
      <c r="O341" s="58">
        <f>IF(AND(BANCO_OK_2,B341&lt;=MESES),L341+M341+VINC_MES_2,0)</f>
        <v/>
      </c>
      <c r="P341" s="52">
        <f>IF(AND(BANCO_OK_3,B341&lt;=MESES),IF(OR(OF_TIPO_3="Fija",C341&lt;=OF_ANIOS_INI_3),OF_TIN_3,MAX(0,EURIBOR+OF_DIF_3)),0)</f>
        <v/>
      </c>
      <c r="Q341" s="58">
        <f>IF(AND(BANCO_OK_3,B341&lt;=MESES),IF(OR(B341=1,P341&lt;&gt;P340),PMT(P341/1200,MESES-B341+1,-T340),Q340),0)</f>
        <v/>
      </c>
      <c r="R341" s="58">
        <f>T340*P341/1200</f>
        <v/>
      </c>
      <c r="S341" s="58">
        <f>IF(AND(BANCO_OK_3,B341&lt;=MESES),IF(OR(B341=MESES,Q341-R341&gt;T340),T340,Q341-R341),0)</f>
        <v/>
      </c>
      <c r="T341" s="58">
        <f>T340-S341</f>
        <v/>
      </c>
      <c r="U341" s="58">
        <f>IF(AND(BANCO_OK_3,B341&lt;=MESES),R341+S341+VINC_MES_3,0)</f>
        <v/>
      </c>
      <c r="V341" s="52">
        <f>IF(AND(BANCO_OK_4,B341&lt;=MESES),IF(OR(OF_TIPO_4="Fija",C341&lt;=OF_ANIOS_INI_4),OF_TIN_4,MAX(0,EURIBOR+OF_DIF_4)),0)</f>
        <v/>
      </c>
      <c r="W341" s="58">
        <f>IF(AND(BANCO_OK_4,B341&lt;=MESES),IF(OR(B341=1,V341&lt;&gt;V340),PMT(V341/1200,MESES-B341+1,-Z340),W340),0)</f>
        <v/>
      </c>
      <c r="X341" s="58">
        <f>Z340*V341/1200</f>
        <v/>
      </c>
      <c r="Y341" s="58">
        <f>IF(AND(BANCO_OK_4,B341&lt;=MESES),IF(OR(B341=MESES,W341-X341&gt;Z340),Z340,W341-X341),0)</f>
        <v/>
      </c>
      <c r="Z341" s="58">
        <f>Z340-Y341</f>
        <v/>
      </c>
      <c r="AA341" s="58">
        <f>IF(AND(BANCO_OK_4,B341&lt;=MESES),X341+Y341+VINC_MES_4,0)</f>
        <v/>
      </c>
    </row>
    <row r="342">
      <c r="B342" s="56" t="n">
        <v>334</v>
      </c>
      <c r="C342" s="56">
        <f>ROUNDUP(B342/12,0)</f>
        <v/>
      </c>
      <c r="D342" s="52">
        <f>IF(AND(BANCO_OK_1,B342&lt;=MESES),IF(OR(OF_TIPO_1="Fija",C342&lt;=OF_ANIOS_INI_1),OF_TIN_1,MAX(0,EURIBOR+OF_DIF_1)),0)</f>
        <v/>
      </c>
      <c r="E342" s="58">
        <f>IF(AND(BANCO_OK_1,B342&lt;=MESES),IF(OR(B342=1,D342&lt;&gt;D341),PMT(D342/1200,MESES-B342+1,-H341),E341),0)</f>
        <v/>
      </c>
      <c r="F342" s="58">
        <f>H341*D342/1200</f>
        <v/>
      </c>
      <c r="G342" s="58">
        <f>IF(AND(BANCO_OK_1,B342&lt;=MESES),IF(OR(B342=MESES,E342-F342&gt;H341),H341,E342-F342),0)</f>
        <v/>
      </c>
      <c r="H342" s="58">
        <f>H341-G342</f>
        <v/>
      </c>
      <c r="I342" s="58">
        <f>IF(AND(BANCO_OK_1,B342&lt;=MESES),F342+G342+VINC_MES_1,0)</f>
        <v/>
      </c>
      <c r="J342" s="52">
        <f>IF(AND(BANCO_OK_2,B342&lt;=MESES),IF(OR(OF_TIPO_2="Fija",C342&lt;=OF_ANIOS_INI_2),OF_TIN_2,MAX(0,EURIBOR+OF_DIF_2)),0)</f>
        <v/>
      </c>
      <c r="K342" s="58">
        <f>IF(AND(BANCO_OK_2,B342&lt;=MESES),IF(OR(B342=1,J342&lt;&gt;J341),PMT(J342/1200,MESES-B342+1,-N341),K341),0)</f>
        <v/>
      </c>
      <c r="L342" s="58">
        <f>N341*J342/1200</f>
        <v/>
      </c>
      <c r="M342" s="58">
        <f>IF(AND(BANCO_OK_2,B342&lt;=MESES),IF(OR(B342=MESES,K342-L342&gt;N341),N341,K342-L342),0)</f>
        <v/>
      </c>
      <c r="N342" s="58">
        <f>N341-M342</f>
        <v/>
      </c>
      <c r="O342" s="58">
        <f>IF(AND(BANCO_OK_2,B342&lt;=MESES),L342+M342+VINC_MES_2,0)</f>
        <v/>
      </c>
      <c r="P342" s="52">
        <f>IF(AND(BANCO_OK_3,B342&lt;=MESES),IF(OR(OF_TIPO_3="Fija",C342&lt;=OF_ANIOS_INI_3),OF_TIN_3,MAX(0,EURIBOR+OF_DIF_3)),0)</f>
        <v/>
      </c>
      <c r="Q342" s="58">
        <f>IF(AND(BANCO_OK_3,B342&lt;=MESES),IF(OR(B342=1,P342&lt;&gt;P341),PMT(P342/1200,MESES-B342+1,-T341),Q341),0)</f>
        <v/>
      </c>
      <c r="R342" s="58">
        <f>T341*P342/1200</f>
        <v/>
      </c>
      <c r="S342" s="58">
        <f>IF(AND(BANCO_OK_3,B342&lt;=MESES),IF(OR(B342=MESES,Q342-R342&gt;T341),T341,Q342-R342),0)</f>
        <v/>
      </c>
      <c r="T342" s="58">
        <f>T341-S342</f>
        <v/>
      </c>
      <c r="U342" s="58">
        <f>IF(AND(BANCO_OK_3,B342&lt;=MESES),R342+S342+VINC_MES_3,0)</f>
        <v/>
      </c>
      <c r="V342" s="52">
        <f>IF(AND(BANCO_OK_4,B342&lt;=MESES),IF(OR(OF_TIPO_4="Fija",C342&lt;=OF_ANIOS_INI_4),OF_TIN_4,MAX(0,EURIBOR+OF_DIF_4)),0)</f>
        <v/>
      </c>
      <c r="W342" s="58">
        <f>IF(AND(BANCO_OK_4,B342&lt;=MESES),IF(OR(B342=1,V342&lt;&gt;V341),PMT(V342/1200,MESES-B342+1,-Z341),W341),0)</f>
        <v/>
      </c>
      <c r="X342" s="58">
        <f>Z341*V342/1200</f>
        <v/>
      </c>
      <c r="Y342" s="58">
        <f>IF(AND(BANCO_OK_4,B342&lt;=MESES),IF(OR(B342=MESES,W342-X342&gt;Z341),Z341,W342-X342),0)</f>
        <v/>
      </c>
      <c r="Z342" s="58">
        <f>Z341-Y342</f>
        <v/>
      </c>
      <c r="AA342" s="58">
        <f>IF(AND(BANCO_OK_4,B342&lt;=MESES),X342+Y342+VINC_MES_4,0)</f>
        <v/>
      </c>
    </row>
    <row r="343">
      <c r="B343" s="56" t="n">
        <v>335</v>
      </c>
      <c r="C343" s="56">
        <f>ROUNDUP(B343/12,0)</f>
        <v/>
      </c>
      <c r="D343" s="52">
        <f>IF(AND(BANCO_OK_1,B343&lt;=MESES),IF(OR(OF_TIPO_1="Fija",C343&lt;=OF_ANIOS_INI_1),OF_TIN_1,MAX(0,EURIBOR+OF_DIF_1)),0)</f>
        <v/>
      </c>
      <c r="E343" s="58">
        <f>IF(AND(BANCO_OK_1,B343&lt;=MESES),IF(OR(B343=1,D343&lt;&gt;D342),PMT(D343/1200,MESES-B343+1,-H342),E342),0)</f>
        <v/>
      </c>
      <c r="F343" s="58">
        <f>H342*D343/1200</f>
        <v/>
      </c>
      <c r="G343" s="58">
        <f>IF(AND(BANCO_OK_1,B343&lt;=MESES),IF(OR(B343=MESES,E343-F343&gt;H342),H342,E343-F343),0)</f>
        <v/>
      </c>
      <c r="H343" s="58">
        <f>H342-G343</f>
        <v/>
      </c>
      <c r="I343" s="58">
        <f>IF(AND(BANCO_OK_1,B343&lt;=MESES),F343+G343+VINC_MES_1,0)</f>
        <v/>
      </c>
      <c r="J343" s="52">
        <f>IF(AND(BANCO_OK_2,B343&lt;=MESES),IF(OR(OF_TIPO_2="Fija",C343&lt;=OF_ANIOS_INI_2),OF_TIN_2,MAX(0,EURIBOR+OF_DIF_2)),0)</f>
        <v/>
      </c>
      <c r="K343" s="58">
        <f>IF(AND(BANCO_OK_2,B343&lt;=MESES),IF(OR(B343=1,J343&lt;&gt;J342),PMT(J343/1200,MESES-B343+1,-N342),K342),0)</f>
        <v/>
      </c>
      <c r="L343" s="58">
        <f>N342*J343/1200</f>
        <v/>
      </c>
      <c r="M343" s="58">
        <f>IF(AND(BANCO_OK_2,B343&lt;=MESES),IF(OR(B343=MESES,K343-L343&gt;N342),N342,K343-L343),0)</f>
        <v/>
      </c>
      <c r="N343" s="58">
        <f>N342-M343</f>
        <v/>
      </c>
      <c r="O343" s="58">
        <f>IF(AND(BANCO_OK_2,B343&lt;=MESES),L343+M343+VINC_MES_2,0)</f>
        <v/>
      </c>
      <c r="P343" s="52">
        <f>IF(AND(BANCO_OK_3,B343&lt;=MESES),IF(OR(OF_TIPO_3="Fija",C343&lt;=OF_ANIOS_INI_3),OF_TIN_3,MAX(0,EURIBOR+OF_DIF_3)),0)</f>
        <v/>
      </c>
      <c r="Q343" s="58">
        <f>IF(AND(BANCO_OK_3,B343&lt;=MESES),IF(OR(B343=1,P343&lt;&gt;P342),PMT(P343/1200,MESES-B343+1,-T342),Q342),0)</f>
        <v/>
      </c>
      <c r="R343" s="58">
        <f>T342*P343/1200</f>
        <v/>
      </c>
      <c r="S343" s="58">
        <f>IF(AND(BANCO_OK_3,B343&lt;=MESES),IF(OR(B343=MESES,Q343-R343&gt;T342),T342,Q343-R343),0)</f>
        <v/>
      </c>
      <c r="T343" s="58">
        <f>T342-S343</f>
        <v/>
      </c>
      <c r="U343" s="58">
        <f>IF(AND(BANCO_OK_3,B343&lt;=MESES),R343+S343+VINC_MES_3,0)</f>
        <v/>
      </c>
      <c r="V343" s="52">
        <f>IF(AND(BANCO_OK_4,B343&lt;=MESES),IF(OR(OF_TIPO_4="Fija",C343&lt;=OF_ANIOS_INI_4),OF_TIN_4,MAX(0,EURIBOR+OF_DIF_4)),0)</f>
        <v/>
      </c>
      <c r="W343" s="58">
        <f>IF(AND(BANCO_OK_4,B343&lt;=MESES),IF(OR(B343=1,V343&lt;&gt;V342),PMT(V343/1200,MESES-B343+1,-Z342),W342),0)</f>
        <v/>
      </c>
      <c r="X343" s="58">
        <f>Z342*V343/1200</f>
        <v/>
      </c>
      <c r="Y343" s="58">
        <f>IF(AND(BANCO_OK_4,B343&lt;=MESES),IF(OR(B343=MESES,W343-X343&gt;Z342),Z342,W343-X343),0)</f>
        <v/>
      </c>
      <c r="Z343" s="58">
        <f>Z342-Y343</f>
        <v/>
      </c>
      <c r="AA343" s="58">
        <f>IF(AND(BANCO_OK_4,B343&lt;=MESES),X343+Y343+VINC_MES_4,0)</f>
        <v/>
      </c>
    </row>
    <row r="344">
      <c r="B344" s="56" t="n">
        <v>336</v>
      </c>
      <c r="C344" s="56">
        <f>ROUNDUP(B344/12,0)</f>
        <v/>
      </c>
      <c r="D344" s="52">
        <f>IF(AND(BANCO_OK_1,B344&lt;=MESES),IF(OR(OF_TIPO_1="Fija",C344&lt;=OF_ANIOS_INI_1),OF_TIN_1,MAX(0,EURIBOR+OF_DIF_1)),0)</f>
        <v/>
      </c>
      <c r="E344" s="58">
        <f>IF(AND(BANCO_OK_1,B344&lt;=MESES),IF(OR(B344=1,D344&lt;&gt;D343),PMT(D344/1200,MESES-B344+1,-H343),E343),0)</f>
        <v/>
      </c>
      <c r="F344" s="58">
        <f>H343*D344/1200</f>
        <v/>
      </c>
      <c r="G344" s="58">
        <f>IF(AND(BANCO_OK_1,B344&lt;=MESES),IF(OR(B344=MESES,E344-F344&gt;H343),H343,E344-F344),0)</f>
        <v/>
      </c>
      <c r="H344" s="58">
        <f>H343-G344</f>
        <v/>
      </c>
      <c r="I344" s="58">
        <f>IF(AND(BANCO_OK_1,B344&lt;=MESES),F344+G344+VINC_MES_1,0)</f>
        <v/>
      </c>
      <c r="J344" s="52">
        <f>IF(AND(BANCO_OK_2,B344&lt;=MESES),IF(OR(OF_TIPO_2="Fija",C344&lt;=OF_ANIOS_INI_2),OF_TIN_2,MAX(0,EURIBOR+OF_DIF_2)),0)</f>
        <v/>
      </c>
      <c r="K344" s="58">
        <f>IF(AND(BANCO_OK_2,B344&lt;=MESES),IF(OR(B344=1,J344&lt;&gt;J343),PMT(J344/1200,MESES-B344+1,-N343),K343),0)</f>
        <v/>
      </c>
      <c r="L344" s="58">
        <f>N343*J344/1200</f>
        <v/>
      </c>
      <c r="M344" s="58">
        <f>IF(AND(BANCO_OK_2,B344&lt;=MESES),IF(OR(B344=MESES,K344-L344&gt;N343),N343,K344-L344),0)</f>
        <v/>
      </c>
      <c r="N344" s="58">
        <f>N343-M344</f>
        <v/>
      </c>
      <c r="O344" s="58">
        <f>IF(AND(BANCO_OK_2,B344&lt;=MESES),L344+M344+VINC_MES_2,0)</f>
        <v/>
      </c>
      <c r="P344" s="52">
        <f>IF(AND(BANCO_OK_3,B344&lt;=MESES),IF(OR(OF_TIPO_3="Fija",C344&lt;=OF_ANIOS_INI_3),OF_TIN_3,MAX(0,EURIBOR+OF_DIF_3)),0)</f>
        <v/>
      </c>
      <c r="Q344" s="58">
        <f>IF(AND(BANCO_OK_3,B344&lt;=MESES),IF(OR(B344=1,P344&lt;&gt;P343),PMT(P344/1200,MESES-B344+1,-T343),Q343),0)</f>
        <v/>
      </c>
      <c r="R344" s="58">
        <f>T343*P344/1200</f>
        <v/>
      </c>
      <c r="S344" s="58">
        <f>IF(AND(BANCO_OK_3,B344&lt;=MESES),IF(OR(B344=MESES,Q344-R344&gt;T343),T343,Q344-R344),0)</f>
        <v/>
      </c>
      <c r="T344" s="58">
        <f>T343-S344</f>
        <v/>
      </c>
      <c r="U344" s="58">
        <f>IF(AND(BANCO_OK_3,B344&lt;=MESES),R344+S344+VINC_MES_3,0)</f>
        <v/>
      </c>
      <c r="V344" s="52">
        <f>IF(AND(BANCO_OK_4,B344&lt;=MESES),IF(OR(OF_TIPO_4="Fija",C344&lt;=OF_ANIOS_INI_4),OF_TIN_4,MAX(0,EURIBOR+OF_DIF_4)),0)</f>
        <v/>
      </c>
      <c r="W344" s="58">
        <f>IF(AND(BANCO_OK_4,B344&lt;=MESES),IF(OR(B344=1,V344&lt;&gt;V343),PMT(V344/1200,MESES-B344+1,-Z343),W343),0)</f>
        <v/>
      </c>
      <c r="X344" s="58">
        <f>Z343*V344/1200</f>
        <v/>
      </c>
      <c r="Y344" s="58">
        <f>IF(AND(BANCO_OK_4,B344&lt;=MESES),IF(OR(B344=MESES,W344-X344&gt;Z343),Z343,W344-X344),0)</f>
        <v/>
      </c>
      <c r="Z344" s="58">
        <f>Z343-Y344</f>
        <v/>
      </c>
      <c r="AA344" s="58">
        <f>IF(AND(BANCO_OK_4,B344&lt;=MESES),X344+Y344+VINC_MES_4,0)</f>
        <v/>
      </c>
    </row>
    <row r="345">
      <c r="B345" s="56" t="n">
        <v>337</v>
      </c>
      <c r="C345" s="56">
        <f>ROUNDUP(B345/12,0)</f>
        <v/>
      </c>
      <c r="D345" s="52">
        <f>IF(AND(BANCO_OK_1,B345&lt;=MESES),IF(OR(OF_TIPO_1="Fija",C345&lt;=OF_ANIOS_INI_1),OF_TIN_1,MAX(0,EURIBOR+OF_DIF_1)),0)</f>
        <v/>
      </c>
      <c r="E345" s="58">
        <f>IF(AND(BANCO_OK_1,B345&lt;=MESES),IF(OR(B345=1,D345&lt;&gt;D344),PMT(D345/1200,MESES-B345+1,-H344),E344),0)</f>
        <v/>
      </c>
      <c r="F345" s="58">
        <f>H344*D345/1200</f>
        <v/>
      </c>
      <c r="G345" s="58">
        <f>IF(AND(BANCO_OK_1,B345&lt;=MESES),IF(OR(B345=MESES,E345-F345&gt;H344),H344,E345-F345),0)</f>
        <v/>
      </c>
      <c r="H345" s="58">
        <f>H344-G345</f>
        <v/>
      </c>
      <c r="I345" s="58">
        <f>IF(AND(BANCO_OK_1,B345&lt;=MESES),F345+G345+VINC_MES_1,0)</f>
        <v/>
      </c>
      <c r="J345" s="52">
        <f>IF(AND(BANCO_OK_2,B345&lt;=MESES),IF(OR(OF_TIPO_2="Fija",C345&lt;=OF_ANIOS_INI_2),OF_TIN_2,MAX(0,EURIBOR+OF_DIF_2)),0)</f>
        <v/>
      </c>
      <c r="K345" s="58">
        <f>IF(AND(BANCO_OK_2,B345&lt;=MESES),IF(OR(B345=1,J345&lt;&gt;J344),PMT(J345/1200,MESES-B345+1,-N344),K344),0)</f>
        <v/>
      </c>
      <c r="L345" s="58">
        <f>N344*J345/1200</f>
        <v/>
      </c>
      <c r="M345" s="58">
        <f>IF(AND(BANCO_OK_2,B345&lt;=MESES),IF(OR(B345=MESES,K345-L345&gt;N344),N344,K345-L345),0)</f>
        <v/>
      </c>
      <c r="N345" s="58">
        <f>N344-M345</f>
        <v/>
      </c>
      <c r="O345" s="58">
        <f>IF(AND(BANCO_OK_2,B345&lt;=MESES),L345+M345+VINC_MES_2,0)</f>
        <v/>
      </c>
      <c r="P345" s="52">
        <f>IF(AND(BANCO_OK_3,B345&lt;=MESES),IF(OR(OF_TIPO_3="Fija",C345&lt;=OF_ANIOS_INI_3),OF_TIN_3,MAX(0,EURIBOR+OF_DIF_3)),0)</f>
        <v/>
      </c>
      <c r="Q345" s="58">
        <f>IF(AND(BANCO_OK_3,B345&lt;=MESES),IF(OR(B345=1,P345&lt;&gt;P344),PMT(P345/1200,MESES-B345+1,-T344),Q344),0)</f>
        <v/>
      </c>
      <c r="R345" s="58">
        <f>T344*P345/1200</f>
        <v/>
      </c>
      <c r="S345" s="58">
        <f>IF(AND(BANCO_OK_3,B345&lt;=MESES),IF(OR(B345=MESES,Q345-R345&gt;T344),T344,Q345-R345),0)</f>
        <v/>
      </c>
      <c r="T345" s="58">
        <f>T344-S345</f>
        <v/>
      </c>
      <c r="U345" s="58">
        <f>IF(AND(BANCO_OK_3,B345&lt;=MESES),R345+S345+VINC_MES_3,0)</f>
        <v/>
      </c>
      <c r="V345" s="52">
        <f>IF(AND(BANCO_OK_4,B345&lt;=MESES),IF(OR(OF_TIPO_4="Fija",C345&lt;=OF_ANIOS_INI_4),OF_TIN_4,MAX(0,EURIBOR+OF_DIF_4)),0)</f>
        <v/>
      </c>
      <c r="W345" s="58">
        <f>IF(AND(BANCO_OK_4,B345&lt;=MESES),IF(OR(B345=1,V345&lt;&gt;V344),PMT(V345/1200,MESES-B345+1,-Z344),W344),0)</f>
        <v/>
      </c>
      <c r="X345" s="58">
        <f>Z344*V345/1200</f>
        <v/>
      </c>
      <c r="Y345" s="58">
        <f>IF(AND(BANCO_OK_4,B345&lt;=MESES),IF(OR(B345=MESES,W345-X345&gt;Z344),Z344,W345-X345),0)</f>
        <v/>
      </c>
      <c r="Z345" s="58">
        <f>Z344-Y345</f>
        <v/>
      </c>
      <c r="AA345" s="58">
        <f>IF(AND(BANCO_OK_4,B345&lt;=MESES),X345+Y345+VINC_MES_4,0)</f>
        <v/>
      </c>
    </row>
    <row r="346">
      <c r="B346" s="56" t="n">
        <v>338</v>
      </c>
      <c r="C346" s="56">
        <f>ROUNDUP(B346/12,0)</f>
        <v/>
      </c>
      <c r="D346" s="52">
        <f>IF(AND(BANCO_OK_1,B346&lt;=MESES),IF(OR(OF_TIPO_1="Fija",C346&lt;=OF_ANIOS_INI_1),OF_TIN_1,MAX(0,EURIBOR+OF_DIF_1)),0)</f>
        <v/>
      </c>
      <c r="E346" s="58">
        <f>IF(AND(BANCO_OK_1,B346&lt;=MESES),IF(OR(B346=1,D346&lt;&gt;D345),PMT(D346/1200,MESES-B346+1,-H345),E345),0)</f>
        <v/>
      </c>
      <c r="F346" s="58">
        <f>H345*D346/1200</f>
        <v/>
      </c>
      <c r="G346" s="58">
        <f>IF(AND(BANCO_OK_1,B346&lt;=MESES),IF(OR(B346=MESES,E346-F346&gt;H345),H345,E346-F346),0)</f>
        <v/>
      </c>
      <c r="H346" s="58">
        <f>H345-G346</f>
        <v/>
      </c>
      <c r="I346" s="58">
        <f>IF(AND(BANCO_OK_1,B346&lt;=MESES),F346+G346+VINC_MES_1,0)</f>
        <v/>
      </c>
      <c r="J346" s="52">
        <f>IF(AND(BANCO_OK_2,B346&lt;=MESES),IF(OR(OF_TIPO_2="Fija",C346&lt;=OF_ANIOS_INI_2),OF_TIN_2,MAX(0,EURIBOR+OF_DIF_2)),0)</f>
        <v/>
      </c>
      <c r="K346" s="58">
        <f>IF(AND(BANCO_OK_2,B346&lt;=MESES),IF(OR(B346=1,J346&lt;&gt;J345),PMT(J346/1200,MESES-B346+1,-N345),K345),0)</f>
        <v/>
      </c>
      <c r="L346" s="58">
        <f>N345*J346/1200</f>
        <v/>
      </c>
      <c r="M346" s="58">
        <f>IF(AND(BANCO_OK_2,B346&lt;=MESES),IF(OR(B346=MESES,K346-L346&gt;N345),N345,K346-L346),0)</f>
        <v/>
      </c>
      <c r="N346" s="58">
        <f>N345-M346</f>
        <v/>
      </c>
      <c r="O346" s="58">
        <f>IF(AND(BANCO_OK_2,B346&lt;=MESES),L346+M346+VINC_MES_2,0)</f>
        <v/>
      </c>
      <c r="P346" s="52">
        <f>IF(AND(BANCO_OK_3,B346&lt;=MESES),IF(OR(OF_TIPO_3="Fija",C346&lt;=OF_ANIOS_INI_3),OF_TIN_3,MAX(0,EURIBOR+OF_DIF_3)),0)</f>
        <v/>
      </c>
      <c r="Q346" s="58">
        <f>IF(AND(BANCO_OK_3,B346&lt;=MESES),IF(OR(B346=1,P346&lt;&gt;P345),PMT(P346/1200,MESES-B346+1,-T345),Q345),0)</f>
        <v/>
      </c>
      <c r="R346" s="58">
        <f>T345*P346/1200</f>
        <v/>
      </c>
      <c r="S346" s="58">
        <f>IF(AND(BANCO_OK_3,B346&lt;=MESES),IF(OR(B346=MESES,Q346-R346&gt;T345),T345,Q346-R346),0)</f>
        <v/>
      </c>
      <c r="T346" s="58">
        <f>T345-S346</f>
        <v/>
      </c>
      <c r="U346" s="58">
        <f>IF(AND(BANCO_OK_3,B346&lt;=MESES),R346+S346+VINC_MES_3,0)</f>
        <v/>
      </c>
      <c r="V346" s="52">
        <f>IF(AND(BANCO_OK_4,B346&lt;=MESES),IF(OR(OF_TIPO_4="Fija",C346&lt;=OF_ANIOS_INI_4),OF_TIN_4,MAX(0,EURIBOR+OF_DIF_4)),0)</f>
        <v/>
      </c>
      <c r="W346" s="58">
        <f>IF(AND(BANCO_OK_4,B346&lt;=MESES),IF(OR(B346=1,V346&lt;&gt;V345),PMT(V346/1200,MESES-B346+1,-Z345),W345),0)</f>
        <v/>
      </c>
      <c r="X346" s="58">
        <f>Z345*V346/1200</f>
        <v/>
      </c>
      <c r="Y346" s="58">
        <f>IF(AND(BANCO_OK_4,B346&lt;=MESES),IF(OR(B346=MESES,W346-X346&gt;Z345),Z345,W346-X346),0)</f>
        <v/>
      </c>
      <c r="Z346" s="58">
        <f>Z345-Y346</f>
        <v/>
      </c>
      <c r="AA346" s="58">
        <f>IF(AND(BANCO_OK_4,B346&lt;=MESES),X346+Y346+VINC_MES_4,0)</f>
        <v/>
      </c>
    </row>
    <row r="347">
      <c r="B347" s="56" t="n">
        <v>339</v>
      </c>
      <c r="C347" s="56">
        <f>ROUNDUP(B347/12,0)</f>
        <v/>
      </c>
      <c r="D347" s="52">
        <f>IF(AND(BANCO_OK_1,B347&lt;=MESES),IF(OR(OF_TIPO_1="Fija",C347&lt;=OF_ANIOS_INI_1),OF_TIN_1,MAX(0,EURIBOR+OF_DIF_1)),0)</f>
        <v/>
      </c>
      <c r="E347" s="58">
        <f>IF(AND(BANCO_OK_1,B347&lt;=MESES),IF(OR(B347=1,D347&lt;&gt;D346),PMT(D347/1200,MESES-B347+1,-H346),E346),0)</f>
        <v/>
      </c>
      <c r="F347" s="58">
        <f>H346*D347/1200</f>
        <v/>
      </c>
      <c r="G347" s="58">
        <f>IF(AND(BANCO_OK_1,B347&lt;=MESES),IF(OR(B347=MESES,E347-F347&gt;H346),H346,E347-F347),0)</f>
        <v/>
      </c>
      <c r="H347" s="58">
        <f>H346-G347</f>
        <v/>
      </c>
      <c r="I347" s="58">
        <f>IF(AND(BANCO_OK_1,B347&lt;=MESES),F347+G347+VINC_MES_1,0)</f>
        <v/>
      </c>
      <c r="J347" s="52">
        <f>IF(AND(BANCO_OK_2,B347&lt;=MESES),IF(OR(OF_TIPO_2="Fija",C347&lt;=OF_ANIOS_INI_2),OF_TIN_2,MAX(0,EURIBOR+OF_DIF_2)),0)</f>
        <v/>
      </c>
      <c r="K347" s="58">
        <f>IF(AND(BANCO_OK_2,B347&lt;=MESES),IF(OR(B347=1,J347&lt;&gt;J346),PMT(J347/1200,MESES-B347+1,-N346),K346),0)</f>
        <v/>
      </c>
      <c r="L347" s="58">
        <f>N346*J347/1200</f>
        <v/>
      </c>
      <c r="M347" s="58">
        <f>IF(AND(BANCO_OK_2,B347&lt;=MESES),IF(OR(B347=MESES,K347-L347&gt;N346),N346,K347-L347),0)</f>
        <v/>
      </c>
      <c r="N347" s="58">
        <f>N346-M347</f>
        <v/>
      </c>
      <c r="O347" s="58">
        <f>IF(AND(BANCO_OK_2,B347&lt;=MESES),L347+M347+VINC_MES_2,0)</f>
        <v/>
      </c>
      <c r="P347" s="52">
        <f>IF(AND(BANCO_OK_3,B347&lt;=MESES),IF(OR(OF_TIPO_3="Fija",C347&lt;=OF_ANIOS_INI_3),OF_TIN_3,MAX(0,EURIBOR+OF_DIF_3)),0)</f>
        <v/>
      </c>
      <c r="Q347" s="58">
        <f>IF(AND(BANCO_OK_3,B347&lt;=MESES),IF(OR(B347=1,P347&lt;&gt;P346),PMT(P347/1200,MESES-B347+1,-T346),Q346),0)</f>
        <v/>
      </c>
      <c r="R347" s="58">
        <f>T346*P347/1200</f>
        <v/>
      </c>
      <c r="S347" s="58">
        <f>IF(AND(BANCO_OK_3,B347&lt;=MESES),IF(OR(B347=MESES,Q347-R347&gt;T346),T346,Q347-R347),0)</f>
        <v/>
      </c>
      <c r="T347" s="58">
        <f>T346-S347</f>
        <v/>
      </c>
      <c r="U347" s="58">
        <f>IF(AND(BANCO_OK_3,B347&lt;=MESES),R347+S347+VINC_MES_3,0)</f>
        <v/>
      </c>
      <c r="V347" s="52">
        <f>IF(AND(BANCO_OK_4,B347&lt;=MESES),IF(OR(OF_TIPO_4="Fija",C347&lt;=OF_ANIOS_INI_4),OF_TIN_4,MAX(0,EURIBOR+OF_DIF_4)),0)</f>
        <v/>
      </c>
      <c r="W347" s="58">
        <f>IF(AND(BANCO_OK_4,B347&lt;=MESES),IF(OR(B347=1,V347&lt;&gt;V346),PMT(V347/1200,MESES-B347+1,-Z346),W346),0)</f>
        <v/>
      </c>
      <c r="X347" s="58">
        <f>Z346*V347/1200</f>
        <v/>
      </c>
      <c r="Y347" s="58">
        <f>IF(AND(BANCO_OK_4,B347&lt;=MESES),IF(OR(B347=MESES,W347-X347&gt;Z346),Z346,W347-X347),0)</f>
        <v/>
      </c>
      <c r="Z347" s="58">
        <f>Z346-Y347</f>
        <v/>
      </c>
      <c r="AA347" s="58">
        <f>IF(AND(BANCO_OK_4,B347&lt;=MESES),X347+Y347+VINC_MES_4,0)</f>
        <v/>
      </c>
    </row>
    <row r="348">
      <c r="B348" s="56" t="n">
        <v>340</v>
      </c>
      <c r="C348" s="56">
        <f>ROUNDUP(B348/12,0)</f>
        <v/>
      </c>
      <c r="D348" s="52">
        <f>IF(AND(BANCO_OK_1,B348&lt;=MESES),IF(OR(OF_TIPO_1="Fija",C348&lt;=OF_ANIOS_INI_1),OF_TIN_1,MAX(0,EURIBOR+OF_DIF_1)),0)</f>
        <v/>
      </c>
      <c r="E348" s="58">
        <f>IF(AND(BANCO_OK_1,B348&lt;=MESES),IF(OR(B348=1,D348&lt;&gt;D347),PMT(D348/1200,MESES-B348+1,-H347),E347),0)</f>
        <v/>
      </c>
      <c r="F348" s="58">
        <f>H347*D348/1200</f>
        <v/>
      </c>
      <c r="G348" s="58">
        <f>IF(AND(BANCO_OK_1,B348&lt;=MESES),IF(OR(B348=MESES,E348-F348&gt;H347),H347,E348-F348),0)</f>
        <v/>
      </c>
      <c r="H348" s="58">
        <f>H347-G348</f>
        <v/>
      </c>
      <c r="I348" s="58">
        <f>IF(AND(BANCO_OK_1,B348&lt;=MESES),F348+G348+VINC_MES_1,0)</f>
        <v/>
      </c>
      <c r="J348" s="52">
        <f>IF(AND(BANCO_OK_2,B348&lt;=MESES),IF(OR(OF_TIPO_2="Fija",C348&lt;=OF_ANIOS_INI_2),OF_TIN_2,MAX(0,EURIBOR+OF_DIF_2)),0)</f>
        <v/>
      </c>
      <c r="K348" s="58">
        <f>IF(AND(BANCO_OK_2,B348&lt;=MESES),IF(OR(B348=1,J348&lt;&gt;J347),PMT(J348/1200,MESES-B348+1,-N347),K347),0)</f>
        <v/>
      </c>
      <c r="L348" s="58">
        <f>N347*J348/1200</f>
        <v/>
      </c>
      <c r="M348" s="58">
        <f>IF(AND(BANCO_OK_2,B348&lt;=MESES),IF(OR(B348=MESES,K348-L348&gt;N347),N347,K348-L348),0)</f>
        <v/>
      </c>
      <c r="N348" s="58">
        <f>N347-M348</f>
        <v/>
      </c>
      <c r="O348" s="58">
        <f>IF(AND(BANCO_OK_2,B348&lt;=MESES),L348+M348+VINC_MES_2,0)</f>
        <v/>
      </c>
      <c r="P348" s="52">
        <f>IF(AND(BANCO_OK_3,B348&lt;=MESES),IF(OR(OF_TIPO_3="Fija",C348&lt;=OF_ANIOS_INI_3),OF_TIN_3,MAX(0,EURIBOR+OF_DIF_3)),0)</f>
        <v/>
      </c>
      <c r="Q348" s="58">
        <f>IF(AND(BANCO_OK_3,B348&lt;=MESES),IF(OR(B348=1,P348&lt;&gt;P347),PMT(P348/1200,MESES-B348+1,-T347),Q347),0)</f>
        <v/>
      </c>
      <c r="R348" s="58">
        <f>T347*P348/1200</f>
        <v/>
      </c>
      <c r="S348" s="58">
        <f>IF(AND(BANCO_OK_3,B348&lt;=MESES),IF(OR(B348=MESES,Q348-R348&gt;T347),T347,Q348-R348),0)</f>
        <v/>
      </c>
      <c r="T348" s="58">
        <f>T347-S348</f>
        <v/>
      </c>
      <c r="U348" s="58">
        <f>IF(AND(BANCO_OK_3,B348&lt;=MESES),R348+S348+VINC_MES_3,0)</f>
        <v/>
      </c>
      <c r="V348" s="52">
        <f>IF(AND(BANCO_OK_4,B348&lt;=MESES),IF(OR(OF_TIPO_4="Fija",C348&lt;=OF_ANIOS_INI_4),OF_TIN_4,MAX(0,EURIBOR+OF_DIF_4)),0)</f>
        <v/>
      </c>
      <c r="W348" s="58">
        <f>IF(AND(BANCO_OK_4,B348&lt;=MESES),IF(OR(B348=1,V348&lt;&gt;V347),PMT(V348/1200,MESES-B348+1,-Z347),W347),0)</f>
        <v/>
      </c>
      <c r="X348" s="58">
        <f>Z347*V348/1200</f>
        <v/>
      </c>
      <c r="Y348" s="58">
        <f>IF(AND(BANCO_OK_4,B348&lt;=MESES),IF(OR(B348=MESES,W348-X348&gt;Z347),Z347,W348-X348),0)</f>
        <v/>
      </c>
      <c r="Z348" s="58">
        <f>Z347-Y348</f>
        <v/>
      </c>
      <c r="AA348" s="58">
        <f>IF(AND(BANCO_OK_4,B348&lt;=MESES),X348+Y348+VINC_MES_4,0)</f>
        <v/>
      </c>
    </row>
    <row r="349">
      <c r="B349" s="56" t="n">
        <v>341</v>
      </c>
      <c r="C349" s="56">
        <f>ROUNDUP(B349/12,0)</f>
        <v/>
      </c>
      <c r="D349" s="52">
        <f>IF(AND(BANCO_OK_1,B349&lt;=MESES),IF(OR(OF_TIPO_1="Fija",C349&lt;=OF_ANIOS_INI_1),OF_TIN_1,MAX(0,EURIBOR+OF_DIF_1)),0)</f>
        <v/>
      </c>
      <c r="E349" s="58">
        <f>IF(AND(BANCO_OK_1,B349&lt;=MESES),IF(OR(B349=1,D349&lt;&gt;D348),PMT(D349/1200,MESES-B349+1,-H348),E348),0)</f>
        <v/>
      </c>
      <c r="F349" s="58">
        <f>H348*D349/1200</f>
        <v/>
      </c>
      <c r="G349" s="58">
        <f>IF(AND(BANCO_OK_1,B349&lt;=MESES),IF(OR(B349=MESES,E349-F349&gt;H348),H348,E349-F349),0)</f>
        <v/>
      </c>
      <c r="H349" s="58">
        <f>H348-G349</f>
        <v/>
      </c>
      <c r="I349" s="58">
        <f>IF(AND(BANCO_OK_1,B349&lt;=MESES),F349+G349+VINC_MES_1,0)</f>
        <v/>
      </c>
      <c r="J349" s="52">
        <f>IF(AND(BANCO_OK_2,B349&lt;=MESES),IF(OR(OF_TIPO_2="Fija",C349&lt;=OF_ANIOS_INI_2),OF_TIN_2,MAX(0,EURIBOR+OF_DIF_2)),0)</f>
        <v/>
      </c>
      <c r="K349" s="58">
        <f>IF(AND(BANCO_OK_2,B349&lt;=MESES),IF(OR(B349=1,J349&lt;&gt;J348),PMT(J349/1200,MESES-B349+1,-N348),K348),0)</f>
        <v/>
      </c>
      <c r="L349" s="58">
        <f>N348*J349/1200</f>
        <v/>
      </c>
      <c r="M349" s="58">
        <f>IF(AND(BANCO_OK_2,B349&lt;=MESES),IF(OR(B349=MESES,K349-L349&gt;N348),N348,K349-L349),0)</f>
        <v/>
      </c>
      <c r="N349" s="58">
        <f>N348-M349</f>
        <v/>
      </c>
      <c r="O349" s="58">
        <f>IF(AND(BANCO_OK_2,B349&lt;=MESES),L349+M349+VINC_MES_2,0)</f>
        <v/>
      </c>
      <c r="P349" s="52">
        <f>IF(AND(BANCO_OK_3,B349&lt;=MESES),IF(OR(OF_TIPO_3="Fija",C349&lt;=OF_ANIOS_INI_3),OF_TIN_3,MAX(0,EURIBOR+OF_DIF_3)),0)</f>
        <v/>
      </c>
      <c r="Q349" s="58">
        <f>IF(AND(BANCO_OK_3,B349&lt;=MESES),IF(OR(B349=1,P349&lt;&gt;P348),PMT(P349/1200,MESES-B349+1,-T348),Q348),0)</f>
        <v/>
      </c>
      <c r="R349" s="58">
        <f>T348*P349/1200</f>
        <v/>
      </c>
      <c r="S349" s="58">
        <f>IF(AND(BANCO_OK_3,B349&lt;=MESES),IF(OR(B349=MESES,Q349-R349&gt;T348),T348,Q349-R349),0)</f>
        <v/>
      </c>
      <c r="T349" s="58">
        <f>T348-S349</f>
        <v/>
      </c>
      <c r="U349" s="58">
        <f>IF(AND(BANCO_OK_3,B349&lt;=MESES),R349+S349+VINC_MES_3,0)</f>
        <v/>
      </c>
      <c r="V349" s="52">
        <f>IF(AND(BANCO_OK_4,B349&lt;=MESES),IF(OR(OF_TIPO_4="Fija",C349&lt;=OF_ANIOS_INI_4),OF_TIN_4,MAX(0,EURIBOR+OF_DIF_4)),0)</f>
        <v/>
      </c>
      <c r="W349" s="58">
        <f>IF(AND(BANCO_OK_4,B349&lt;=MESES),IF(OR(B349=1,V349&lt;&gt;V348),PMT(V349/1200,MESES-B349+1,-Z348),W348),0)</f>
        <v/>
      </c>
      <c r="X349" s="58">
        <f>Z348*V349/1200</f>
        <v/>
      </c>
      <c r="Y349" s="58">
        <f>IF(AND(BANCO_OK_4,B349&lt;=MESES),IF(OR(B349=MESES,W349-X349&gt;Z348),Z348,W349-X349),0)</f>
        <v/>
      </c>
      <c r="Z349" s="58">
        <f>Z348-Y349</f>
        <v/>
      </c>
      <c r="AA349" s="58">
        <f>IF(AND(BANCO_OK_4,B349&lt;=MESES),X349+Y349+VINC_MES_4,0)</f>
        <v/>
      </c>
    </row>
    <row r="350">
      <c r="B350" s="56" t="n">
        <v>342</v>
      </c>
      <c r="C350" s="56">
        <f>ROUNDUP(B350/12,0)</f>
        <v/>
      </c>
      <c r="D350" s="52">
        <f>IF(AND(BANCO_OK_1,B350&lt;=MESES),IF(OR(OF_TIPO_1="Fija",C350&lt;=OF_ANIOS_INI_1),OF_TIN_1,MAX(0,EURIBOR+OF_DIF_1)),0)</f>
        <v/>
      </c>
      <c r="E350" s="58">
        <f>IF(AND(BANCO_OK_1,B350&lt;=MESES),IF(OR(B350=1,D350&lt;&gt;D349),PMT(D350/1200,MESES-B350+1,-H349),E349),0)</f>
        <v/>
      </c>
      <c r="F350" s="58">
        <f>H349*D350/1200</f>
        <v/>
      </c>
      <c r="G350" s="58">
        <f>IF(AND(BANCO_OK_1,B350&lt;=MESES),IF(OR(B350=MESES,E350-F350&gt;H349),H349,E350-F350),0)</f>
        <v/>
      </c>
      <c r="H350" s="58">
        <f>H349-G350</f>
        <v/>
      </c>
      <c r="I350" s="58">
        <f>IF(AND(BANCO_OK_1,B350&lt;=MESES),F350+G350+VINC_MES_1,0)</f>
        <v/>
      </c>
      <c r="J350" s="52">
        <f>IF(AND(BANCO_OK_2,B350&lt;=MESES),IF(OR(OF_TIPO_2="Fija",C350&lt;=OF_ANIOS_INI_2),OF_TIN_2,MAX(0,EURIBOR+OF_DIF_2)),0)</f>
        <v/>
      </c>
      <c r="K350" s="58">
        <f>IF(AND(BANCO_OK_2,B350&lt;=MESES),IF(OR(B350=1,J350&lt;&gt;J349),PMT(J350/1200,MESES-B350+1,-N349),K349),0)</f>
        <v/>
      </c>
      <c r="L350" s="58">
        <f>N349*J350/1200</f>
        <v/>
      </c>
      <c r="M350" s="58">
        <f>IF(AND(BANCO_OK_2,B350&lt;=MESES),IF(OR(B350=MESES,K350-L350&gt;N349),N349,K350-L350),0)</f>
        <v/>
      </c>
      <c r="N350" s="58">
        <f>N349-M350</f>
        <v/>
      </c>
      <c r="O350" s="58">
        <f>IF(AND(BANCO_OK_2,B350&lt;=MESES),L350+M350+VINC_MES_2,0)</f>
        <v/>
      </c>
      <c r="P350" s="52">
        <f>IF(AND(BANCO_OK_3,B350&lt;=MESES),IF(OR(OF_TIPO_3="Fija",C350&lt;=OF_ANIOS_INI_3),OF_TIN_3,MAX(0,EURIBOR+OF_DIF_3)),0)</f>
        <v/>
      </c>
      <c r="Q350" s="58">
        <f>IF(AND(BANCO_OK_3,B350&lt;=MESES),IF(OR(B350=1,P350&lt;&gt;P349),PMT(P350/1200,MESES-B350+1,-T349),Q349),0)</f>
        <v/>
      </c>
      <c r="R350" s="58">
        <f>T349*P350/1200</f>
        <v/>
      </c>
      <c r="S350" s="58">
        <f>IF(AND(BANCO_OK_3,B350&lt;=MESES),IF(OR(B350=MESES,Q350-R350&gt;T349),T349,Q350-R350),0)</f>
        <v/>
      </c>
      <c r="T350" s="58">
        <f>T349-S350</f>
        <v/>
      </c>
      <c r="U350" s="58">
        <f>IF(AND(BANCO_OK_3,B350&lt;=MESES),R350+S350+VINC_MES_3,0)</f>
        <v/>
      </c>
      <c r="V350" s="52">
        <f>IF(AND(BANCO_OK_4,B350&lt;=MESES),IF(OR(OF_TIPO_4="Fija",C350&lt;=OF_ANIOS_INI_4),OF_TIN_4,MAX(0,EURIBOR+OF_DIF_4)),0)</f>
        <v/>
      </c>
      <c r="W350" s="58">
        <f>IF(AND(BANCO_OK_4,B350&lt;=MESES),IF(OR(B350=1,V350&lt;&gt;V349),PMT(V350/1200,MESES-B350+1,-Z349),W349),0)</f>
        <v/>
      </c>
      <c r="X350" s="58">
        <f>Z349*V350/1200</f>
        <v/>
      </c>
      <c r="Y350" s="58">
        <f>IF(AND(BANCO_OK_4,B350&lt;=MESES),IF(OR(B350=MESES,W350-X350&gt;Z349),Z349,W350-X350),0)</f>
        <v/>
      </c>
      <c r="Z350" s="58">
        <f>Z349-Y350</f>
        <v/>
      </c>
      <c r="AA350" s="58">
        <f>IF(AND(BANCO_OK_4,B350&lt;=MESES),X350+Y350+VINC_MES_4,0)</f>
        <v/>
      </c>
    </row>
    <row r="351">
      <c r="B351" s="56" t="n">
        <v>343</v>
      </c>
      <c r="C351" s="56">
        <f>ROUNDUP(B351/12,0)</f>
        <v/>
      </c>
      <c r="D351" s="52">
        <f>IF(AND(BANCO_OK_1,B351&lt;=MESES),IF(OR(OF_TIPO_1="Fija",C351&lt;=OF_ANIOS_INI_1),OF_TIN_1,MAX(0,EURIBOR+OF_DIF_1)),0)</f>
        <v/>
      </c>
      <c r="E351" s="58">
        <f>IF(AND(BANCO_OK_1,B351&lt;=MESES),IF(OR(B351=1,D351&lt;&gt;D350),PMT(D351/1200,MESES-B351+1,-H350),E350),0)</f>
        <v/>
      </c>
      <c r="F351" s="58">
        <f>H350*D351/1200</f>
        <v/>
      </c>
      <c r="G351" s="58">
        <f>IF(AND(BANCO_OK_1,B351&lt;=MESES),IF(OR(B351=MESES,E351-F351&gt;H350),H350,E351-F351),0)</f>
        <v/>
      </c>
      <c r="H351" s="58">
        <f>H350-G351</f>
        <v/>
      </c>
      <c r="I351" s="58">
        <f>IF(AND(BANCO_OK_1,B351&lt;=MESES),F351+G351+VINC_MES_1,0)</f>
        <v/>
      </c>
      <c r="J351" s="52">
        <f>IF(AND(BANCO_OK_2,B351&lt;=MESES),IF(OR(OF_TIPO_2="Fija",C351&lt;=OF_ANIOS_INI_2),OF_TIN_2,MAX(0,EURIBOR+OF_DIF_2)),0)</f>
        <v/>
      </c>
      <c r="K351" s="58">
        <f>IF(AND(BANCO_OK_2,B351&lt;=MESES),IF(OR(B351=1,J351&lt;&gt;J350),PMT(J351/1200,MESES-B351+1,-N350),K350),0)</f>
        <v/>
      </c>
      <c r="L351" s="58">
        <f>N350*J351/1200</f>
        <v/>
      </c>
      <c r="M351" s="58">
        <f>IF(AND(BANCO_OK_2,B351&lt;=MESES),IF(OR(B351=MESES,K351-L351&gt;N350),N350,K351-L351),0)</f>
        <v/>
      </c>
      <c r="N351" s="58">
        <f>N350-M351</f>
        <v/>
      </c>
      <c r="O351" s="58">
        <f>IF(AND(BANCO_OK_2,B351&lt;=MESES),L351+M351+VINC_MES_2,0)</f>
        <v/>
      </c>
      <c r="P351" s="52">
        <f>IF(AND(BANCO_OK_3,B351&lt;=MESES),IF(OR(OF_TIPO_3="Fija",C351&lt;=OF_ANIOS_INI_3),OF_TIN_3,MAX(0,EURIBOR+OF_DIF_3)),0)</f>
        <v/>
      </c>
      <c r="Q351" s="58">
        <f>IF(AND(BANCO_OK_3,B351&lt;=MESES),IF(OR(B351=1,P351&lt;&gt;P350),PMT(P351/1200,MESES-B351+1,-T350),Q350),0)</f>
        <v/>
      </c>
      <c r="R351" s="58">
        <f>T350*P351/1200</f>
        <v/>
      </c>
      <c r="S351" s="58">
        <f>IF(AND(BANCO_OK_3,B351&lt;=MESES),IF(OR(B351=MESES,Q351-R351&gt;T350),T350,Q351-R351),0)</f>
        <v/>
      </c>
      <c r="T351" s="58">
        <f>T350-S351</f>
        <v/>
      </c>
      <c r="U351" s="58">
        <f>IF(AND(BANCO_OK_3,B351&lt;=MESES),R351+S351+VINC_MES_3,0)</f>
        <v/>
      </c>
      <c r="V351" s="52">
        <f>IF(AND(BANCO_OK_4,B351&lt;=MESES),IF(OR(OF_TIPO_4="Fija",C351&lt;=OF_ANIOS_INI_4),OF_TIN_4,MAX(0,EURIBOR+OF_DIF_4)),0)</f>
        <v/>
      </c>
      <c r="W351" s="58">
        <f>IF(AND(BANCO_OK_4,B351&lt;=MESES),IF(OR(B351=1,V351&lt;&gt;V350),PMT(V351/1200,MESES-B351+1,-Z350),W350),0)</f>
        <v/>
      </c>
      <c r="X351" s="58">
        <f>Z350*V351/1200</f>
        <v/>
      </c>
      <c r="Y351" s="58">
        <f>IF(AND(BANCO_OK_4,B351&lt;=MESES),IF(OR(B351=MESES,W351-X351&gt;Z350),Z350,W351-X351),0)</f>
        <v/>
      </c>
      <c r="Z351" s="58">
        <f>Z350-Y351</f>
        <v/>
      </c>
      <c r="AA351" s="58">
        <f>IF(AND(BANCO_OK_4,B351&lt;=MESES),X351+Y351+VINC_MES_4,0)</f>
        <v/>
      </c>
    </row>
    <row r="352">
      <c r="B352" s="56" t="n">
        <v>344</v>
      </c>
      <c r="C352" s="56">
        <f>ROUNDUP(B352/12,0)</f>
        <v/>
      </c>
      <c r="D352" s="52">
        <f>IF(AND(BANCO_OK_1,B352&lt;=MESES),IF(OR(OF_TIPO_1="Fija",C352&lt;=OF_ANIOS_INI_1),OF_TIN_1,MAX(0,EURIBOR+OF_DIF_1)),0)</f>
        <v/>
      </c>
      <c r="E352" s="58">
        <f>IF(AND(BANCO_OK_1,B352&lt;=MESES),IF(OR(B352=1,D352&lt;&gt;D351),PMT(D352/1200,MESES-B352+1,-H351),E351),0)</f>
        <v/>
      </c>
      <c r="F352" s="58">
        <f>H351*D352/1200</f>
        <v/>
      </c>
      <c r="G352" s="58">
        <f>IF(AND(BANCO_OK_1,B352&lt;=MESES),IF(OR(B352=MESES,E352-F352&gt;H351),H351,E352-F352),0)</f>
        <v/>
      </c>
      <c r="H352" s="58">
        <f>H351-G352</f>
        <v/>
      </c>
      <c r="I352" s="58">
        <f>IF(AND(BANCO_OK_1,B352&lt;=MESES),F352+G352+VINC_MES_1,0)</f>
        <v/>
      </c>
      <c r="J352" s="52">
        <f>IF(AND(BANCO_OK_2,B352&lt;=MESES),IF(OR(OF_TIPO_2="Fija",C352&lt;=OF_ANIOS_INI_2),OF_TIN_2,MAX(0,EURIBOR+OF_DIF_2)),0)</f>
        <v/>
      </c>
      <c r="K352" s="58">
        <f>IF(AND(BANCO_OK_2,B352&lt;=MESES),IF(OR(B352=1,J352&lt;&gt;J351),PMT(J352/1200,MESES-B352+1,-N351),K351),0)</f>
        <v/>
      </c>
      <c r="L352" s="58">
        <f>N351*J352/1200</f>
        <v/>
      </c>
      <c r="M352" s="58">
        <f>IF(AND(BANCO_OK_2,B352&lt;=MESES),IF(OR(B352=MESES,K352-L352&gt;N351),N351,K352-L352),0)</f>
        <v/>
      </c>
      <c r="N352" s="58">
        <f>N351-M352</f>
        <v/>
      </c>
      <c r="O352" s="58">
        <f>IF(AND(BANCO_OK_2,B352&lt;=MESES),L352+M352+VINC_MES_2,0)</f>
        <v/>
      </c>
      <c r="P352" s="52">
        <f>IF(AND(BANCO_OK_3,B352&lt;=MESES),IF(OR(OF_TIPO_3="Fija",C352&lt;=OF_ANIOS_INI_3),OF_TIN_3,MAX(0,EURIBOR+OF_DIF_3)),0)</f>
        <v/>
      </c>
      <c r="Q352" s="58">
        <f>IF(AND(BANCO_OK_3,B352&lt;=MESES),IF(OR(B352=1,P352&lt;&gt;P351),PMT(P352/1200,MESES-B352+1,-T351),Q351),0)</f>
        <v/>
      </c>
      <c r="R352" s="58">
        <f>T351*P352/1200</f>
        <v/>
      </c>
      <c r="S352" s="58">
        <f>IF(AND(BANCO_OK_3,B352&lt;=MESES),IF(OR(B352=MESES,Q352-R352&gt;T351),T351,Q352-R352),0)</f>
        <v/>
      </c>
      <c r="T352" s="58">
        <f>T351-S352</f>
        <v/>
      </c>
      <c r="U352" s="58">
        <f>IF(AND(BANCO_OK_3,B352&lt;=MESES),R352+S352+VINC_MES_3,0)</f>
        <v/>
      </c>
      <c r="V352" s="52">
        <f>IF(AND(BANCO_OK_4,B352&lt;=MESES),IF(OR(OF_TIPO_4="Fija",C352&lt;=OF_ANIOS_INI_4),OF_TIN_4,MAX(0,EURIBOR+OF_DIF_4)),0)</f>
        <v/>
      </c>
      <c r="W352" s="58">
        <f>IF(AND(BANCO_OK_4,B352&lt;=MESES),IF(OR(B352=1,V352&lt;&gt;V351),PMT(V352/1200,MESES-B352+1,-Z351),W351),0)</f>
        <v/>
      </c>
      <c r="X352" s="58">
        <f>Z351*V352/1200</f>
        <v/>
      </c>
      <c r="Y352" s="58">
        <f>IF(AND(BANCO_OK_4,B352&lt;=MESES),IF(OR(B352=MESES,W352-X352&gt;Z351),Z351,W352-X352),0)</f>
        <v/>
      </c>
      <c r="Z352" s="58">
        <f>Z351-Y352</f>
        <v/>
      </c>
      <c r="AA352" s="58">
        <f>IF(AND(BANCO_OK_4,B352&lt;=MESES),X352+Y352+VINC_MES_4,0)</f>
        <v/>
      </c>
    </row>
    <row r="353">
      <c r="B353" s="56" t="n">
        <v>345</v>
      </c>
      <c r="C353" s="56">
        <f>ROUNDUP(B353/12,0)</f>
        <v/>
      </c>
      <c r="D353" s="52">
        <f>IF(AND(BANCO_OK_1,B353&lt;=MESES),IF(OR(OF_TIPO_1="Fija",C353&lt;=OF_ANIOS_INI_1),OF_TIN_1,MAX(0,EURIBOR+OF_DIF_1)),0)</f>
        <v/>
      </c>
      <c r="E353" s="58">
        <f>IF(AND(BANCO_OK_1,B353&lt;=MESES),IF(OR(B353=1,D353&lt;&gt;D352),PMT(D353/1200,MESES-B353+1,-H352),E352),0)</f>
        <v/>
      </c>
      <c r="F353" s="58">
        <f>H352*D353/1200</f>
        <v/>
      </c>
      <c r="G353" s="58">
        <f>IF(AND(BANCO_OK_1,B353&lt;=MESES),IF(OR(B353=MESES,E353-F353&gt;H352),H352,E353-F353),0)</f>
        <v/>
      </c>
      <c r="H353" s="58">
        <f>H352-G353</f>
        <v/>
      </c>
      <c r="I353" s="58">
        <f>IF(AND(BANCO_OK_1,B353&lt;=MESES),F353+G353+VINC_MES_1,0)</f>
        <v/>
      </c>
      <c r="J353" s="52">
        <f>IF(AND(BANCO_OK_2,B353&lt;=MESES),IF(OR(OF_TIPO_2="Fija",C353&lt;=OF_ANIOS_INI_2),OF_TIN_2,MAX(0,EURIBOR+OF_DIF_2)),0)</f>
        <v/>
      </c>
      <c r="K353" s="58">
        <f>IF(AND(BANCO_OK_2,B353&lt;=MESES),IF(OR(B353=1,J353&lt;&gt;J352),PMT(J353/1200,MESES-B353+1,-N352),K352),0)</f>
        <v/>
      </c>
      <c r="L353" s="58">
        <f>N352*J353/1200</f>
        <v/>
      </c>
      <c r="M353" s="58">
        <f>IF(AND(BANCO_OK_2,B353&lt;=MESES),IF(OR(B353=MESES,K353-L353&gt;N352),N352,K353-L353),0)</f>
        <v/>
      </c>
      <c r="N353" s="58">
        <f>N352-M353</f>
        <v/>
      </c>
      <c r="O353" s="58">
        <f>IF(AND(BANCO_OK_2,B353&lt;=MESES),L353+M353+VINC_MES_2,0)</f>
        <v/>
      </c>
      <c r="P353" s="52">
        <f>IF(AND(BANCO_OK_3,B353&lt;=MESES),IF(OR(OF_TIPO_3="Fija",C353&lt;=OF_ANIOS_INI_3),OF_TIN_3,MAX(0,EURIBOR+OF_DIF_3)),0)</f>
        <v/>
      </c>
      <c r="Q353" s="58">
        <f>IF(AND(BANCO_OK_3,B353&lt;=MESES),IF(OR(B353=1,P353&lt;&gt;P352),PMT(P353/1200,MESES-B353+1,-T352),Q352),0)</f>
        <v/>
      </c>
      <c r="R353" s="58">
        <f>T352*P353/1200</f>
        <v/>
      </c>
      <c r="S353" s="58">
        <f>IF(AND(BANCO_OK_3,B353&lt;=MESES),IF(OR(B353=MESES,Q353-R353&gt;T352),T352,Q353-R353),0)</f>
        <v/>
      </c>
      <c r="T353" s="58">
        <f>T352-S353</f>
        <v/>
      </c>
      <c r="U353" s="58">
        <f>IF(AND(BANCO_OK_3,B353&lt;=MESES),R353+S353+VINC_MES_3,0)</f>
        <v/>
      </c>
      <c r="V353" s="52">
        <f>IF(AND(BANCO_OK_4,B353&lt;=MESES),IF(OR(OF_TIPO_4="Fija",C353&lt;=OF_ANIOS_INI_4),OF_TIN_4,MAX(0,EURIBOR+OF_DIF_4)),0)</f>
        <v/>
      </c>
      <c r="W353" s="58">
        <f>IF(AND(BANCO_OK_4,B353&lt;=MESES),IF(OR(B353=1,V353&lt;&gt;V352),PMT(V353/1200,MESES-B353+1,-Z352),W352),0)</f>
        <v/>
      </c>
      <c r="X353" s="58">
        <f>Z352*V353/1200</f>
        <v/>
      </c>
      <c r="Y353" s="58">
        <f>IF(AND(BANCO_OK_4,B353&lt;=MESES),IF(OR(B353=MESES,W353-X353&gt;Z352),Z352,W353-X353),0)</f>
        <v/>
      </c>
      <c r="Z353" s="58">
        <f>Z352-Y353</f>
        <v/>
      </c>
      <c r="AA353" s="58">
        <f>IF(AND(BANCO_OK_4,B353&lt;=MESES),X353+Y353+VINC_MES_4,0)</f>
        <v/>
      </c>
    </row>
    <row r="354">
      <c r="B354" s="56" t="n">
        <v>346</v>
      </c>
      <c r="C354" s="56">
        <f>ROUNDUP(B354/12,0)</f>
        <v/>
      </c>
      <c r="D354" s="52">
        <f>IF(AND(BANCO_OK_1,B354&lt;=MESES),IF(OR(OF_TIPO_1="Fija",C354&lt;=OF_ANIOS_INI_1),OF_TIN_1,MAX(0,EURIBOR+OF_DIF_1)),0)</f>
        <v/>
      </c>
      <c r="E354" s="58">
        <f>IF(AND(BANCO_OK_1,B354&lt;=MESES),IF(OR(B354=1,D354&lt;&gt;D353),PMT(D354/1200,MESES-B354+1,-H353),E353),0)</f>
        <v/>
      </c>
      <c r="F354" s="58">
        <f>H353*D354/1200</f>
        <v/>
      </c>
      <c r="G354" s="58">
        <f>IF(AND(BANCO_OK_1,B354&lt;=MESES),IF(OR(B354=MESES,E354-F354&gt;H353),H353,E354-F354),0)</f>
        <v/>
      </c>
      <c r="H354" s="58">
        <f>H353-G354</f>
        <v/>
      </c>
      <c r="I354" s="58">
        <f>IF(AND(BANCO_OK_1,B354&lt;=MESES),F354+G354+VINC_MES_1,0)</f>
        <v/>
      </c>
      <c r="J354" s="52">
        <f>IF(AND(BANCO_OK_2,B354&lt;=MESES),IF(OR(OF_TIPO_2="Fija",C354&lt;=OF_ANIOS_INI_2),OF_TIN_2,MAX(0,EURIBOR+OF_DIF_2)),0)</f>
        <v/>
      </c>
      <c r="K354" s="58">
        <f>IF(AND(BANCO_OK_2,B354&lt;=MESES),IF(OR(B354=1,J354&lt;&gt;J353),PMT(J354/1200,MESES-B354+1,-N353),K353),0)</f>
        <v/>
      </c>
      <c r="L354" s="58">
        <f>N353*J354/1200</f>
        <v/>
      </c>
      <c r="M354" s="58">
        <f>IF(AND(BANCO_OK_2,B354&lt;=MESES),IF(OR(B354=MESES,K354-L354&gt;N353),N353,K354-L354),0)</f>
        <v/>
      </c>
      <c r="N354" s="58">
        <f>N353-M354</f>
        <v/>
      </c>
      <c r="O354" s="58">
        <f>IF(AND(BANCO_OK_2,B354&lt;=MESES),L354+M354+VINC_MES_2,0)</f>
        <v/>
      </c>
      <c r="P354" s="52">
        <f>IF(AND(BANCO_OK_3,B354&lt;=MESES),IF(OR(OF_TIPO_3="Fija",C354&lt;=OF_ANIOS_INI_3),OF_TIN_3,MAX(0,EURIBOR+OF_DIF_3)),0)</f>
        <v/>
      </c>
      <c r="Q354" s="58">
        <f>IF(AND(BANCO_OK_3,B354&lt;=MESES),IF(OR(B354=1,P354&lt;&gt;P353),PMT(P354/1200,MESES-B354+1,-T353),Q353),0)</f>
        <v/>
      </c>
      <c r="R354" s="58">
        <f>T353*P354/1200</f>
        <v/>
      </c>
      <c r="S354" s="58">
        <f>IF(AND(BANCO_OK_3,B354&lt;=MESES),IF(OR(B354=MESES,Q354-R354&gt;T353),T353,Q354-R354),0)</f>
        <v/>
      </c>
      <c r="T354" s="58">
        <f>T353-S354</f>
        <v/>
      </c>
      <c r="U354" s="58">
        <f>IF(AND(BANCO_OK_3,B354&lt;=MESES),R354+S354+VINC_MES_3,0)</f>
        <v/>
      </c>
      <c r="V354" s="52">
        <f>IF(AND(BANCO_OK_4,B354&lt;=MESES),IF(OR(OF_TIPO_4="Fija",C354&lt;=OF_ANIOS_INI_4),OF_TIN_4,MAX(0,EURIBOR+OF_DIF_4)),0)</f>
        <v/>
      </c>
      <c r="W354" s="58">
        <f>IF(AND(BANCO_OK_4,B354&lt;=MESES),IF(OR(B354=1,V354&lt;&gt;V353),PMT(V354/1200,MESES-B354+1,-Z353),W353),0)</f>
        <v/>
      </c>
      <c r="X354" s="58">
        <f>Z353*V354/1200</f>
        <v/>
      </c>
      <c r="Y354" s="58">
        <f>IF(AND(BANCO_OK_4,B354&lt;=MESES),IF(OR(B354=MESES,W354-X354&gt;Z353),Z353,W354-X354),0)</f>
        <v/>
      </c>
      <c r="Z354" s="58">
        <f>Z353-Y354</f>
        <v/>
      </c>
      <c r="AA354" s="58">
        <f>IF(AND(BANCO_OK_4,B354&lt;=MESES),X354+Y354+VINC_MES_4,0)</f>
        <v/>
      </c>
    </row>
    <row r="355">
      <c r="B355" s="56" t="n">
        <v>347</v>
      </c>
      <c r="C355" s="56">
        <f>ROUNDUP(B355/12,0)</f>
        <v/>
      </c>
      <c r="D355" s="52">
        <f>IF(AND(BANCO_OK_1,B355&lt;=MESES),IF(OR(OF_TIPO_1="Fija",C355&lt;=OF_ANIOS_INI_1),OF_TIN_1,MAX(0,EURIBOR+OF_DIF_1)),0)</f>
        <v/>
      </c>
      <c r="E355" s="58">
        <f>IF(AND(BANCO_OK_1,B355&lt;=MESES),IF(OR(B355=1,D355&lt;&gt;D354),PMT(D355/1200,MESES-B355+1,-H354),E354),0)</f>
        <v/>
      </c>
      <c r="F355" s="58">
        <f>H354*D355/1200</f>
        <v/>
      </c>
      <c r="G355" s="58">
        <f>IF(AND(BANCO_OK_1,B355&lt;=MESES),IF(OR(B355=MESES,E355-F355&gt;H354),H354,E355-F355),0)</f>
        <v/>
      </c>
      <c r="H355" s="58">
        <f>H354-G355</f>
        <v/>
      </c>
      <c r="I355" s="58">
        <f>IF(AND(BANCO_OK_1,B355&lt;=MESES),F355+G355+VINC_MES_1,0)</f>
        <v/>
      </c>
      <c r="J355" s="52">
        <f>IF(AND(BANCO_OK_2,B355&lt;=MESES),IF(OR(OF_TIPO_2="Fija",C355&lt;=OF_ANIOS_INI_2),OF_TIN_2,MAX(0,EURIBOR+OF_DIF_2)),0)</f>
        <v/>
      </c>
      <c r="K355" s="58">
        <f>IF(AND(BANCO_OK_2,B355&lt;=MESES),IF(OR(B355=1,J355&lt;&gt;J354),PMT(J355/1200,MESES-B355+1,-N354),K354),0)</f>
        <v/>
      </c>
      <c r="L355" s="58">
        <f>N354*J355/1200</f>
        <v/>
      </c>
      <c r="M355" s="58">
        <f>IF(AND(BANCO_OK_2,B355&lt;=MESES),IF(OR(B355=MESES,K355-L355&gt;N354),N354,K355-L355),0)</f>
        <v/>
      </c>
      <c r="N355" s="58">
        <f>N354-M355</f>
        <v/>
      </c>
      <c r="O355" s="58">
        <f>IF(AND(BANCO_OK_2,B355&lt;=MESES),L355+M355+VINC_MES_2,0)</f>
        <v/>
      </c>
      <c r="P355" s="52">
        <f>IF(AND(BANCO_OK_3,B355&lt;=MESES),IF(OR(OF_TIPO_3="Fija",C355&lt;=OF_ANIOS_INI_3),OF_TIN_3,MAX(0,EURIBOR+OF_DIF_3)),0)</f>
        <v/>
      </c>
      <c r="Q355" s="58">
        <f>IF(AND(BANCO_OK_3,B355&lt;=MESES),IF(OR(B355=1,P355&lt;&gt;P354),PMT(P355/1200,MESES-B355+1,-T354),Q354),0)</f>
        <v/>
      </c>
      <c r="R355" s="58">
        <f>T354*P355/1200</f>
        <v/>
      </c>
      <c r="S355" s="58">
        <f>IF(AND(BANCO_OK_3,B355&lt;=MESES),IF(OR(B355=MESES,Q355-R355&gt;T354),T354,Q355-R355),0)</f>
        <v/>
      </c>
      <c r="T355" s="58">
        <f>T354-S355</f>
        <v/>
      </c>
      <c r="U355" s="58">
        <f>IF(AND(BANCO_OK_3,B355&lt;=MESES),R355+S355+VINC_MES_3,0)</f>
        <v/>
      </c>
      <c r="V355" s="52">
        <f>IF(AND(BANCO_OK_4,B355&lt;=MESES),IF(OR(OF_TIPO_4="Fija",C355&lt;=OF_ANIOS_INI_4),OF_TIN_4,MAX(0,EURIBOR+OF_DIF_4)),0)</f>
        <v/>
      </c>
      <c r="W355" s="58">
        <f>IF(AND(BANCO_OK_4,B355&lt;=MESES),IF(OR(B355=1,V355&lt;&gt;V354),PMT(V355/1200,MESES-B355+1,-Z354),W354),0)</f>
        <v/>
      </c>
      <c r="X355" s="58">
        <f>Z354*V355/1200</f>
        <v/>
      </c>
      <c r="Y355" s="58">
        <f>IF(AND(BANCO_OK_4,B355&lt;=MESES),IF(OR(B355=MESES,W355-X355&gt;Z354),Z354,W355-X355),0)</f>
        <v/>
      </c>
      <c r="Z355" s="58">
        <f>Z354-Y355</f>
        <v/>
      </c>
      <c r="AA355" s="58">
        <f>IF(AND(BANCO_OK_4,B355&lt;=MESES),X355+Y355+VINC_MES_4,0)</f>
        <v/>
      </c>
    </row>
    <row r="356">
      <c r="B356" s="56" t="n">
        <v>348</v>
      </c>
      <c r="C356" s="56">
        <f>ROUNDUP(B356/12,0)</f>
        <v/>
      </c>
      <c r="D356" s="52">
        <f>IF(AND(BANCO_OK_1,B356&lt;=MESES),IF(OR(OF_TIPO_1="Fija",C356&lt;=OF_ANIOS_INI_1),OF_TIN_1,MAX(0,EURIBOR+OF_DIF_1)),0)</f>
        <v/>
      </c>
      <c r="E356" s="58">
        <f>IF(AND(BANCO_OK_1,B356&lt;=MESES),IF(OR(B356=1,D356&lt;&gt;D355),PMT(D356/1200,MESES-B356+1,-H355),E355),0)</f>
        <v/>
      </c>
      <c r="F356" s="58">
        <f>H355*D356/1200</f>
        <v/>
      </c>
      <c r="G356" s="58">
        <f>IF(AND(BANCO_OK_1,B356&lt;=MESES),IF(OR(B356=MESES,E356-F356&gt;H355),H355,E356-F356),0)</f>
        <v/>
      </c>
      <c r="H356" s="58">
        <f>H355-G356</f>
        <v/>
      </c>
      <c r="I356" s="58">
        <f>IF(AND(BANCO_OK_1,B356&lt;=MESES),F356+G356+VINC_MES_1,0)</f>
        <v/>
      </c>
      <c r="J356" s="52">
        <f>IF(AND(BANCO_OK_2,B356&lt;=MESES),IF(OR(OF_TIPO_2="Fija",C356&lt;=OF_ANIOS_INI_2),OF_TIN_2,MAX(0,EURIBOR+OF_DIF_2)),0)</f>
        <v/>
      </c>
      <c r="K356" s="58">
        <f>IF(AND(BANCO_OK_2,B356&lt;=MESES),IF(OR(B356=1,J356&lt;&gt;J355),PMT(J356/1200,MESES-B356+1,-N355),K355),0)</f>
        <v/>
      </c>
      <c r="L356" s="58">
        <f>N355*J356/1200</f>
        <v/>
      </c>
      <c r="M356" s="58">
        <f>IF(AND(BANCO_OK_2,B356&lt;=MESES),IF(OR(B356=MESES,K356-L356&gt;N355),N355,K356-L356),0)</f>
        <v/>
      </c>
      <c r="N356" s="58">
        <f>N355-M356</f>
        <v/>
      </c>
      <c r="O356" s="58">
        <f>IF(AND(BANCO_OK_2,B356&lt;=MESES),L356+M356+VINC_MES_2,0)</f>
        <v/>
      </c>
      <c r="P356" s="52">
        <f>IF(AND(BANCO_OK_3,B356&lt;=MESES),IF(OR(OF_TIPO_3="Fija",C356&lt;=OF_ANIOS_INI_3),OF_TIN_3,MAX(0,EURIBOR+OF_DIF_3)),0)</f>
        <v/>
      </c>
      <c r="Q356" s="58">
        <f>IF(AND(BANCO_OK_3,B356&lt;=MESES),IF(OR(B356=1,P356&lt;&gt;P355),PMT(P356/1200,MESES-B356+1,-T355),Q355),0)</f>
        <v/>
      </c>
      <c r="R356" s="58">
        <f>T355*P356/1200</f>
        <v/>
      </c>
      <c r="S356" s="58">
        <f>IF(AND(BANCO_OK_3,B356&lt;=MESES),IF(OR(B356=MESES,Q356-R356&gt;T355),T355,Q356-R356),0)</f>
        <v/>
      </c>
      <c r="T356" s="58">
        <f>T355-S356</f>
        <v/>
      </c>
      <c r="U356" s="58">
        <f>IF(AND(BANCO_OK_3,B356&lt;=MESES),R356+S356+VINC_MES_3,0)</f>
        <v/>
      </c>
      <c r="V356" s="52">
        <f>IF(AND(BANCO_OK_4,B356&lt;=MESES),IF(OR(OF_TIPO_4="Fija",C356&lt;=OF_ANIOS_INI_4),OF_TIN_4,MAX(0,EURIBOR+OF_DIF_4)),0)</f>
        <v/>
      </c>
      <c r="W356" s="58">
        <f>IF(AND(BANCO_OK_4,B356&lt;=MESES),IF(OR(B356=1,V356&lt;&gt;V355),PMT(V356/1200,MESES-B356+1,-Z355),W355),0)</f>
        <v/>
      </c>
      <c r="X356" s="58">
        <f>Z355*V356/1200</f>
        <v/>
      </c>
      <c r="Y356" s="58">
        <f>IF(AND(BANCO_OK_4,B356&lt;=MESES),IF(OR(B356=MESES,W356-X356&gt;Z355),Z355,W356-X356),0)</f>
        <v/>
      </c>
      <c r="Z356" s="58">
        <f>Z355-Y356</f>
        <v/>
      </c>
      <c r="AA356" s="58">
        <f>IF(AND(BANCO_OK_4,B356&lt;=MESES),X356+Y356+VINC_MES_4,0)</f>
        <v/>
      </c>
    </row>
    <row r="357">
      <c r="B357" s="56" t="n">
        <v>349</v>
      </c>
      <c r="C357" s="56">
        <f>ROUNDUP(B357/12,0)</f>
        <v/>
      </c>
      <c r="D357" s="52">
        <f>IF(AND(BANCO_OK_1,B357&lt;=MESES),IF(OR(OF_TIPO_1="Fija",C357&lt;=OF_ANIOS_INI_1),OF_TIN_1,MAX(0,EURIBOR+OF_DIF_1)),0)</f>
        <v/>
      </c>
      <c r="E357" s="58">
        <f>IF(AND(BANCO_OK_1,B357&lt;=MESES),IF(OR(B357=1,D357&lt;&gt;D356),PMT(D357/1200,MESES-B357+1,-H356),E356),0)</f>
        <v/>
      </c>
      <c r="F357" s="58">
        <f>H356*D357/1200</f>
        <v/>
      </c>
      <c r="G357" s="58">
        <f>IF(AND(BANCO_OK_1,B357&lt;=MESES),IF(OR(B357=MESES,E357-F357&gt;H356),H356,E357-F357),0)</f>
        <v/>
      </c>
      <c r="H357" s="58">
        <f>H356-G357</f>
        <v/>
      </c>
      <c r="I357" s="58">
        <f>IF(AND(BANCO_OK_1,B357&lt;=MESES),F357+G357+VINC_MES_1,0)</f>
        <v/>
      </c>
      <c r="J357" s="52">
        <f>IF(AND(BANCO_OK_2,B357&lt;=MESES),IF(OR(OF_TIPO_2="Fija",C357&lt;=OF_ANIOS_INI_2),OF_TIN_2,MAX(0,EURIBOR+OF_DIF_2)),0)</f>
        <v/>
      </c>
      <c r="K357" s="58">
        <f>IF(AND(BANCO_OK_2,B357&lt;=MESES),IF(OR(B357=1,J357&lt;&gt;J356),PMT(J357/1200,MESES-B357+1,-N356),K356),0)</f>
        <v/>
      </c>
      <c r="L357" s="58">
        <f>N356*J357/1200</f>
        <v/>
      </c>
      <c r="M357" s="58">
        <f>IF(AND(BANCO_OK_2,B357&lt;=MESES),IF(OR(B357=MESES,K357-L357&gt;N356),N356,K357-L357),0)</f>
        <v/>
      </c>
      <c r="N357" s="58">
        <f>N356-M357</f>
        <v/>
      </c>
      <c r="O357" s="58">
        <f>IF(AND(BANCO_OK_2,B357&lt;=MESES),L357+M357+VINC_MES_2,0)</f>
        <v/>
      </c>
      <c r="P357" s="52">
        <f>IF(AND(BANCO_OK_3,B357&lt;=MESES),IF(OR(OF_TIPO_3="Fija",C357&lt;=OF_ANIOS_INI_3),OF_TIN_3,MAX(0,EURIBOR+OF_DIF_3)),0)</f>
        <v/>
      </c>
      <c r="Q357" s="58">
        <f>IF(AND(BANCO_OK_3,B357&lt;=MESES),IF(OR(B357=1,P357&lt;&gt;P356),PMT(P357/1200,MESES-B357+1,-T356),Q356),0)</f>
        <v/>
      </c>
      <c r="R357" s="58">
        <f>T356*P357/1200</f>
        <v/>
      </c>
      <c r="S357" s="58">
        <f>IF(AND(BANCO_OK_3,B357&lt;=MESES),IF(OR(B357=MESES,Q357-R357&gt;T356),T356,Q357-R357),0)</f>
        <v/>
      </c>
      <c r="T357" s="58">
        <f>T356-S357</f>
        <v/>
      </c>
      <c r="U357" s="58">
        <f>IF(AND(BANCO_OK_3,B357&lt;=MESES),R357+S357+VINC_MES_3,0)</f>
        <v/>
      </c>
      <c r="V357" s="52">
        <f>IF(AND(BANCO_OK_4,B357&lt;=MESES),IF(OR(OF_TIPO_4="Fija",C357&lt;=OF_ANIOS_INI_4),OF_TIN_4,MAX(0,EURIBOR+OF_DIF_4)),0)</f>
        <v/>
      </c>
      <c r="W357" s="58">
        <f>IF(AND(BANCO_OK_4,B357&lt;=MESES),IF(OR(B357=1,V357&lt;&gt;V356),PMT(V357/1200,MESES-B357+1,-Z356),W356),0)</f>
        <v/>
      </c>
      <c r="X357" s="58">
        <f>Z356*V357/1200</f>
        <v/>
      </c>
      <c r="Y357" s="58">
        <f>IF(AND(BANCO_OK_4,B357&lt;=MESES),IF(OR(B357=MESES,W357-X357&gt;Z356),Z356,W357-X357),0)</f>
        <v/>
      </c>
      <c r="Z357" s="58">
        <f>Z356-Y357</f>
        <v/>
      </c>
      <c r="AA357" s="58">
        <f>IF(AND(BANCO_OK_4,B357&lt;=MESES),X357+Y357+VINC_MES_4,0)</f>
        <v/>
      </c>
    </row>
    <row r="358">
      <c r="B358" s="56" t="n">
        <v>350</v>
      </c>
      <c r="C358" s="56">
        <f>ROUNDUP(B358/12,0)</f>
        <v/>
      </c>
      <c r="D358" s="52">
        <f>IF(AND(BANCO_OK_1,B358&lt;=MESES),IF(OR(OF_TIPO_1="Fija",C358&lt;=OF_ANIOS_INI_1),OF_TIN_1,MAX(0,EURIBOR+OF_DIF_1)),0)</f>
        <v/>
      </c>
      <c r="E358" s="58">
        <f>IF(AND(BANCO_OK_1,B358&lt;=MESES),IF(OR(B358=1,D358&lt;&gt;D357),PMT(D358/1200,MESES-B358+1,-H357),E357),0)</f>
        <v/>
      </c>
      <c r="F358" s="58">
        <f>H357*D358/1200</f>
        <v/>
      </c>
      <c r="G358" s="58">
        <f>IF(AND(BANCO_OK_1,B358&lt;=MESES),IF(OR(B358=MESES,E358-F358&gt;H357),H357,E358-F358),0)</f>
        <v/>
      </c>
      <c r="H358" s="58">
        <f>H357-G358</f>
        <v/>
      </c>
      <c r="I358" s="58">
        <f>IF(AND(BANCO_OK_1,B358&lt;=MESES),F358+G358+VINC_MES_1,0)</f>
        <v/>
      </c>
      <c r="J358" s="52">
        <f>IF(AND(BANCO_OK_2,B358&lt;=MESES),IF(OR(OF_TIPO_2="Fija",C358&lt;=OF_ANIOS_INI_2),OF_TIN_2,MAX(0,EURIBOR+OF_DIF_2)),0)</f>
        <v/>
      </c>
      <c r="K358" s="58">
        <f>IF(AND(BANCO_OK_2,B358&lt;=MESES),IF(OR(B358=1,J358&lt;&gt;J357),PMT(J358/1200,MESES-B358+1,-N357),K357),0)</f>
        <v/>
      </c>
      <c r="L358" s="58">
        <f>N357*J358/1200</f>
        <v/>
      </c>
      <c r="M358" s="58">
        <f>IF(AND(BANCO_OK_2,B358&lt;=MESES),IF(OR(B358=MESES,K358-L358&gt;N357),N357,K358-L358),0)</f>
        <v/>
      </c>
      <c r="N358" s="58">
        <f>N357-M358</f>
        <v/>
      </c>
      <c r="O358" s="58">
        <f>IF(AND(BANCO_OK_2,B358&lt;=MESES),L358+M358+VINC_MES_2,0)</f>
        <v/>
      </c>
      <c r="P358" s="52">
        <f>IF(AND(BANCO_OK_3,B358&lt;=MESES),IF(OR(OF_TIPO_3="Fija",C358&lt;=OF_ANIOS_INI_3),OF_TIN_3,MAX(0,EURIBOR+OF_DIF_3)),0)</f>
        <v/>
      </c>
      <c r="Q358" s="58">
        <f>IF(AND(BANCO_OK_3,B358&lt;=MESES),IF(OR(B358=1,P358&lt;&gt;P357),PMT(P358/1200,MESES-B358+1,-T357),Q357),0)</f>
        <v/>
      </c>
      <c r="R358" s="58">
        <f>T357*P358/1200</f>
        <v/>
      </c>
      <c r="S358" s="58">
        <f>IF(AND(BANCO_OK_3,B358&lt;=MESES),IF(OR(B358=MESES,Q358-R358&gt;T357),T357,Q358-R358),0)</f>
        <v/>
      </c>
      <c r="T358" s="58">
        <f>T357-S358</f>
        <v/>
      </c>
      <c r="U358" s="58">
        <f>IF(AND(BANCO_OK_3,B358&lt;=MESES),R358+S358+VINC_MES_3,0)</f>
        <v/>
      </c>
      <c r="V358" s="52">
        <f>IF(AND(BANCO_OK_4,B358&lt;=MESES),IF(OR(OF_TIPO_4="Fija",C358&lt;=OF_ANIOS_INI_4),OF_TIN_4,MAX(0,EURIBOR+OF_DIF_4)),0)</f>
        <v/>
      </c>
      <c r="W358" s="58">
        <f>IF(AND(BANCO_OK_4,B358&lt;=MESES),IF(OR(B358=1,V358&lt;&gt;V357),PMT(V358/1200,MESES-B358+1,-Z357),W357),0)</f>
        <v/>
      </c>
      <c r="X358" s="58">
        <f>Z357*V358/1200</f>
        <v/>
      </c>
      <c r="Y358" s="58">
        <f>IF(AND(BANCO_OK_4,B358&lt;=MESES),IF(OR(B358=MESES,W358-X358&gt;Z357),Z357,W358-X358),0)</f>
        <v/>
      </c>
      <c r="Z358" s="58">
        <f>Z357-Y358</f>
        <v/>
      </c>
      <c r="AA358" s="58">
        <f>IF(AND(BANCO_OK_4,B358&lt;=MESES),X358+Y358+VINC_MES_4,0)</f>
        <v/>
      </c>
    </row>
    <row r="359">
      <c r="B359" s="56" t="n">
        <v>351</v>
      </c>
      <c r="C359" s="56">
        <f>ROUNDUP(B359/12,0)</f>
        <v/>
      </c>
      <c r="D359" s="52">
        <f>IF(AND(BANCO_OK_1,B359&lt;=MESES),IF(OR(OF_TIPO_1="Fija",C359&lt;=OF_ANIOS_INI_1),OF_TIN_1,MAX(0,EURIBOR+OF_DIF_1)),0)</f>
        <v/>
      </c>
      <c r="E359" s="58">
        <f>IF(AND(BANCO_OK_1,B359&lt;=MESES),IF(OR(B359=1,D359&lt;&gt;D358),PMT(D359/1200,MESES-B359+1,-H358),E358),0)</f>
        <v/>
      </c>
      <c r="F359" s="58">
        <f>H358*D359/1200</f>
        <v/>
      </c>
      <c r="G359" s="58">
        <f>IF(AND(BANCO_OK_1,B359&lt;=MESES),IF(OR(B359=MESES,E359-F359&gt;H358),H358,E359-F359),0)</f>
        <v/>
      </c>
      <c r="H359" s="58">
        <f>H358-G359</f>
        <v/>
      </c>
      <c r="I359" s="58">
        <f>IF(AND(BANCO_OK_1,B359&lt;=MESES),F359+G359+VINC_MES_1,0)</f>
        <v/>
      </c>
      <c r="J359" s="52">
        <f>IF(AND(BANCO_OK_2,B359&lt;=MESES),IF(OR(OF_TIPO_2="Fija",C359&lt;=OF_ANIOS_INI_2),OF_TIN_2,MAX(0,EURIBOR+OF_DIF_2)),0)</f>
        <v/>
      </c>
      <c r="K359" s="58">
        <f>IF(AND(BANCO_OK_2,B359&lt;=MESES),IF(OR(B359=1,J359&lt;&gt;J358),PMT(J359/1200,MESES-B359+1,-N358),K358),0)</f>
        <v/>
      </c>
      <c r="L359" s="58">
        <f>N358*J359/1200</f>
        <v/>
      </c>
      <c r="M359" s="58">
        <f>IF(AND(BANCO_OK_2,B359&lt;=MESES),IF(OR(B359=MESES,K359-L359&gt;N358),N358,K359-L359),0)</f>
        <v/>
      </c>
      <c r="N359" s="58">
        <f>N358-M359</f>
        <v/>
      </c>
      <c r="O359" s="58">
        <f>IF(AND(BANCO_OK_2,B359&lt;=MESES),L359+M359+VINC_MES_2,0)</f>
        <v/>
      </c>
      <c r="P359" s="52">
        <f>IF(AND(BANCO_OK_3,B359&lt;=MESES),IF(OR(OF_TIPO_3="Fija",C359&lt;=OF_ANIOS_INI_3),OF_TIN_3,MAX(0,EURIBOR+OF_DIF_3)),0)</f>
        <v/>
      </c>
      <c r="Q359" s="58">
        <f>IF(AND(BANCO_OK_3,B359&lt;=MESES),IF(OR(B359=1,P359&lt;&gt;P358),PMT(P359/1200,MESES-B359+1,-T358),Q358),0)</f>
        <v/>
      </c>
      <c r="R359" s="58">
        <f>T358*P359/1200</f>
        <v/>
      </c>
      <c r="S359" s="58">
        <f>IF(AND(BANCO_OK_3,B359&lt;=MESES),IF(OR(B359=MESES,Q359-R359&gt;T358),T358,Q359-R359),0)</f>
        <v/>
      </c>
      <c r="T359" s="58">
        <f>T358-S359</f>
        <v/>
      </c>
      <c r="U359" s="58">
        <f>IF(AND(BANCO_OK_3,B359&lt;=MESES),R359+S359+VINC_MES_3,0)</f>
        <v/>
      </c>
      <c r="V359" s="52">
        <f>IF(AND(BANCO_OK_4,B359&lt;=MESES),IF(OR(OF_TIPO_4="Fija",C359&lt;=OF_ANIOS_INI_4),OF_TIN_4,MAX(0,EURIBOR+OF_DIF_4)),0)</f>
        <v/>
      </c>
      <c r="W359" s="58">
        <f>IF(AND(BANCO_OK_4,B359&lt;=MESES),IF(OR(B359=1,V359&lt;&gt;V358),PMT(V359/1200,MESES-B359+1,-Z358),W358),0)</f>
        <v/>
      </c>
      <c r="X359" s="58">
        <f>Z358*V359/1200</f>
        <v/>
      </c>
      <c r="Y359" s="58">
        <f>IF(AND(BANCO_OK_4,B359&lt;=MESES),IF(OR(B359=MESES,W359-X359&gt;Z358),Z358,W359-X359),0)</f>
        <v/>
      </c>
      <c r="Z359" s="58">
        <f>Z358-Y359</f>
        <v/>
      </c>
      <c r="AA359" s="58">
        <f>IF(AND(BANCO_OK_4,B359&lt;=MESES),X359+Y359+VINC_MES_4,0)</f>
        <v/>
      </c>
    </row>
    <row r="360">
      <c r="B360" s="56" t="n">
        <v>352</v>
      </c>
      <c r="C360" s="56">
        <f>ROUNDUP(B360/12,0)</f>
        <v/>
      </c>
      <c r="D360" s="52">
        <f>IF(AND(BANCO_OK_1,B360&lt;=MESES),IF(OR(OF_TIPO_1="Fija",C360&lt;=OF_ANIOS_INI_1),OF_TIN_1,MAX(0,EURIBOR+OF_DIF_1)),0)</f>
        <v/>
      </c>
      <c r="E360" s="58">
        <f>IF(AND(BANCO_OK_1,B360&lt;=MESES),IF(OR(B360=1,D360&lt;&gt;D359),PMT(D360/1200,MESES-B360+1,-H359),E359),0)</f>
        <v/>
      </c>
      <c r="F360" s="58">
        <f>H359*D360/1200</f>
        <v/>
      </c>
      <c r="G360" s="58">
        <f>IF(AND(BANCO_OK_1,B360&lt;=MESES),IF(OR(B360=MESES,E360-F360&gt;H359),H359,E360-F360),0)</f>
        <v/>
      </c>
      <c r="H360" s="58">
        <f>H359-G360</f>
        <v/>
      </c>
      <c r="I360" s="58">
        <f>IF(AND(BANCO_OK_1,B360&lt;=MESES),F360+G360+VINC_MES_1,0)</f>
        <v/>
      </c>
      <c r="J360" s="52">
        <f>IF(AND(BANCO_OK_2,B360&lt;=MESES),IF(OR(OF_TIPO_2="Fija",C360&lt;=OF_ANIOS_INI_2),OF_TIN_2,MAX(0,EURIBOR+OF_DIF_2)),0)</f>
        <v/>
      </c>
      <c r="K360" s="58">
        <f>IF(AND(BANCO_OK_2,B360&lt;=MESES),IF(OR(B360=1,J360&lt;&gt;J359),PMT(J360/1200,MESES-B360+1,-N359),K359),0)</f>
        <v/>
      </c>
      <c r="L360" s="58">
        <f>N359*J360/1200</f>
        <v/>
      </c>
      <c r="M360" s="58">
        <f>IF(AND(BANCO_OK_2,B360&lt;=MESES),IF(OR(B360=MESES,K360-L360&gt;N359),N359,K360-L360),0)</f>
        <v/>
      </c>
      <c r="N360" s="58">
        <f>N359-M360</f>
        <v/>
      </c>
      <c r="O360" s="58">
        <f>IF(AND(BANCO_OK_2,B360&lt;=MESES),L360+M360+VINC_MES_2,0)</f>
        <v/>
      </c>
      <c r="P360" s="52">
        <f>IF(AND(BANCO_OK_3,B360&lt;=MESES),IF(OR(OF_TIPO_3="Fija",C360&lt;=OF_ANIOS_INI_3),OF_TIN_3,MAX(0,EURIBOR+OF_DIF_3)),0)</f>
        <v/>
      </c>
      <c r="Q360" s="58">
        <f>IF(AND(BANCO_OK_3,B360&lt;=MESES),IF(OR(B360=1,P360&lt;&gt;P359),PMT(P360/1200,MESES-B360+1,-T359),Q359),0)</f>
        <v/>
      </c>
      <c r="R360" s="58">
        <f>T359*P360/1200</f>
        <v/>
      </c>
      <c r="S360" s="58">
        <f>IF(AND(BANCO_OK_3,B360&lt;=MESES),IF(OR(B360=MESES,Q360-R360&gt;T359),T359,Q360-R360),0)</f>
        <v/>
      </c>
      <c r="T360" s="58">
        <f>T359-S360</f>
        <v/>
      </c>
      <c r="U360" s="58">
        <f>IF(AND(BANCO_OK_3,B360&lt;=MESES),R360+S360+VINC_MES_3,0)</f>
        <v/>
      </c>
      <c r="V360" s="52">
        <f>IF(AND(BANCO_OK_4,B360&lt;=MESES),IF(OR(OF_TIPO_4="Fija",C360&lt;=OF_ANIOS_INI_4),OF_TIN_4,MAX(0,EURIBOR+OF_DIF_4)),0)</f>
        <v/>
      </c>
      <c r="W360" s="58">
        <f>IF(AND(BANCO_OK_4,B360&lt;=MESES),IF(OR(B360=1,V360&lt;&gt;V359),PMT(V360/1200,MESES-B360+1,-Z359),W359),0)</f>
        <v/>
      </c>
      <c r="X360" s="58">
        <f>Z359*V360/1200</f>
        <v/>
      </c>
      <c r="Y360" s="58">
        <f>IF(AND(BANCO_OK_4,B360&lt;=MESES),IF(OR(B360=MESES,W360-X360&gt;Z359),Z359,W360-X360),0)</f>
        <v/>
      </c>
      <c r="Z360" s="58">
        <f>Z359-Y360</f>
        <v/>
      </c>
      <c r="AA360" s="58">
        <f>IF(AND(BANCO_OK_4,B360&lt;=MESES),X360+Y360+VINC_MES_4,0)</f>
        <v/>
      </c>
    </row>
    <row r="361">
      <c r="B361" s="56" t="n">
        <v>353</v>
      </c>
      <c r="C361" s="56">
        <f>ROUNDUP(B361/12,0)</f>
        <v/>
      </c>
      <c r="D361" s="52">
        <f>IF(AND(BANCO_OK_1,B361&lt;=MESES),IF(OR(OF_TIPO_1="Fija",C361&lt;=OF_ANIOS_INI_1),OF_TIN_1,MAX(0,EURIBOR+OF_DIF_1)),0)</f>
        <v/>
      </c>
      <c r="E361" s="58">
        <f>IF(AND(BANCO_OK_1,B361&lt;=MESES),IF(OR(B361=1,D361&lt;&gt;D360),PMT(D361/1200,MESES-B361+1,-H360),E360),0)</f>
        <v/>
      </c>
      <c r="F361" s="58">
        <f>H360*D361/1200</f>
        <v/>
      </c>
      <c r="G361" s="58">
        <f>IF(AND(BANCO_OK_1,B361&lt;=MESES),IF(OR(B361=MESES,E361-F361&gt;H360),H360,E361-F361),0)</f>
        <v/>
      </c>
      <c r="H361" s="58">
        <f>H360-G361</f>
        <v/>
      </c>
      <c r="I361" s="58">
        <f>IF(AND(BANCO_OK_1,B361&lt;=MESES),F361+G361+VINC_MES_1,0)</f>
        <v/>
      </c>
      <c r="J361" s="52">
        <f>IF(AND(BANCO_OK_2,B361&lt;=MESES),IF(OR(OF_TIPO_2="Fija",C361&lt;=OF_ANIOS_INI_2),OF_TIN_2,MAX(0,EURIBOR+OF_DIF_2)),0)</f>
        <v/>
      </c>
      <c r="K361" s="58">
        <f>IF(AND(BANCO_OK_2,B361&lt;=MESES),IF(OR(B361=1,J361&lt;&gt;J360),PMT(J361/1200,MESES-B361+1,-N360),K360),0)</f>
        <v/>
      </c>
      <c r="L361" s="58">
        <f>N360*J361/1200</f>
        <v/>
      </c>
      <c r="M361" s="58">
        <f>IF(AND(BANCO_OK_2,B361&lt;=MESES),IF(OR(B361=MESES,K361-L361&gt;N360),N360,K361-L361),0)</f>
        <v/>
      </c>
      <c r="N361" s="58">
        <f>N360-M361</f>
        <v/>
      </c>
      <c r="O361" s="58">
        <f>IF(AND(BANCO_OK_2,B361&lt;=MESES),L361+M361+VINC_MES_2,0)</f>
        <v/>
      </c>
      <c r="P361" s="52">
        <f>IF(AND(BANCO_OK_3,B361&lt;=MESES),IF(OR(OF_TIPO_3="Fija",C361&lt;=OF_ANIOS_INI_3),OF_TIN_3,MAX(0,EURIBOR+OF_DIF_3)),0)</f>
        <v/>
      </c>
      <c r="Q361" s="58">
        <f>IF(AND(BANCO_OK_3,B361&lt;=MESES),IF(OR(B361=1,P361&lt;&gt;P360),PMT(P361/1200,MESES-B361+1,-T360),Q360),0)</f>
        <v/>
      </c>
      <c r="R361" s="58">
        <f>T360*P361/1200</f>
        <v/>
      </c>
      <c r="S361" s="58">
        <f>IF(AND(BANCO_OK_3,B361&lt;=MESES),IF(OR(B361=MESES,Q361-R361&gt;T360),T360,Q361-R361),0)</f>
        <v/>
      </c>
      <c r="T361" s="58">
        <f>T360-S361</f>
        <v/>
      </c>
      <c r="U361" s="58">
        <f>IF(AND(BANCO_OK_3,B361&lt;=MESES),R361+S361+VINC_MES_3,0)</f>
        <v/>
      </c>
      <c r="V361" s="52">
        <f>IF(AND(BANCO_OK_4,B361&lt;=MESES),IF(OR(OF_TIPO_4="Fija",C361&lt;=OF_ANIOS_INI_4),OF_TIN_4,MAX(0,EURIBOR+OF_DIF_4)),0)</f>
        <v/>
      </c>
      <c r="W361" s="58">
        <f>IF(AND(BANCO_OK_4,B361&lt;=MESES),IF(OR(B361=1,V361&lt;&gt;V360),PMT(V361/1200,MESES-B361+1,-Z360),W360),0)</f>
        <v/>
      </c>
      <c r="X361" s="58">
        <f>Z360*V361/1200</f>
        <v/>
      </c>
      <c r="Y361" s="58">
        <f>IF(AND(BANCO_OK_4,B361&lt;=MESES),IF(OR(B361=MESES,W361-X361&gt;Z360),Z360,W361-X361),0)</f>
        <v/>
      </c>
      <c r="Z361" s="58">
        <f>Z360-Y361</f>
        <v/>
      </c>
      <c r="AA361" s="58">
        <f>IF(AND(BANCO_OK_4,B361&lt;=MESES),X361+Y361+VINC_MES_4,0)</f>
        <v/>
      </c>
    </row>
    <row r="362">
      <c r="B362" s="56" t="n">
        <v>354</v>
      </c>
      <c r="C362" s="56">
        <f>ROUNDUP(B362/12,0)</f>
        <v/>
      </c>
      <c r="D362" s="52">
        <f>IF(AND(BANCO_OK_1,B362&lt;=MESES),IF(OR(OF_TIPO_1="Fija",C362&lt;=OF_ANIOS_INI_1),OF_TIN_1,MAX(0,EURIBOR+OF_DIF_1)),0)</f>
        <v/>
      </c>
      <c r="E362" s="58">
        <f>IF(AND(BANCO_OK_1,B362&lt;=MESES),IF(OR(B362=1,D362&lt;&gt;D361),PMT(D362/1200,MESES-B362+1,-H361),E361),0)</f>
        <v/>
      </c>
      <c r="F362" s="58">
        <f>H361*D362/1200</f>
        <v/>
      </c>
      <c r="G362" s="58">
        <f>IF(AND(BANCO_OK_1,B362&lt;=MESES),IF(OR(B362=MESES,E362-F362&gt;H361),H361,E362-F362),0)</f>
        <v/>
      </c>
      <c r="H362" s="58">
        <f>H361-G362</f>
        <v/>
      </c>
      <c r="I362" s="58">
        <f>IF(AND(BANCO_OK_1,B362&lt;=MESES),F362+G362+VINC_MES_1,0)</f>
        <v/>
      </c>
      <c r="J362" s="52">
        <f>IF(AND(BANCO_OK_2,B362&lt;=MESES),IF(OR(OF_TIPO_2="Fija",C362&lt;=OF_ANIOS_INI_2),OF_TIN_2,MAX(0,EURIBOR+OF_DIF_2)),0)</f>
        <v/>
      </c>
      <c r="K362" s="58">
        <f>IF(AND(BANCO_OK_2,B362&lt;=MESES),IF(OR(B362=1,J362&lt;&gt;J361),PMT(J362/1200,MESES-B362+1,-N361),K361),0)</f>
        <v/>
      </c>
      <c r="L362" s="58">
        <f>N361*J362/1200</f>
        <v/>
      </c>
      <c r="M362" s="58">
        <f>IF(AND(BANCO_OK_2,B362&lt;=MESES),IF(OR(B362=MESES,K362-L362&gt;N361),N361,K362-L362),0)</f>
        <v/>
      </c>
      <c r="N362" s="58">
        <f>N361-M362</f>
        <v/>
      </c>
      <c r="O362" s="58">
        <f>IF(AND(BANCO_OK_2,B362&lt;=MESES),L362+M362+VINC_MES_2,0)</f>
        <v/>
      </c>
      <c r="P362" s="52">
        <f>IF(AND(BANCO_OK_3,B362&lt;=MESES),IF(OR(OF_TIPO_3="Fija",C362&lt;=OF_ANIOS_INI_3),OF_TIN_3,MAX(0,EURIBOR+OF_DIF_3)),0)</f>
        <v/>
      </c>
      <c r="Q362" s="58">
        <f>IF(AND(BANCO_OK_3,B362&lt;=MESES),IF(OR(B362=1,P362&lt;&gt;P361),PMT(P362/1200,MESES-B362+1,-T361),Q361),0)</f>
        <v/>
      </c>
      <c r="R362" s="58">
        <f>T361*P362/1200</f>
        <v/>
      </c>
      <c r="S362" s="58">
        <f>IF(AND(BANCO_OK_3,B362&lt;=MESES),IF(OR(B362=MESES,Q362-R362&gt;T361),T361,Q362-R362),0)</f>
        <v/>
      </c>
      <c r="T362" s="58">
        <f>T361-S362</f>
        <v/>
      </c>
      <c r="U362" s="58">
        <f>IF(AND(BANCO_OK_3,B362&lt;=MESES),R362+S362+VINC_MES_3,0)</f>
        <v/>
      </c>
      <c r="V362" s="52">
        <f>IF(AND(BANCO_OK_4,B362&lt;=MESES),IF(OR(OF_TIPO_4="Fija",C362&lt;=OF_ANIOS_INI_4),OF_TIN_4,MAX(0,EURIBOR+OF_DIF_4)),0)</f>
        <v/>
      </c>
      <c r="W362" s="58">
        <f>IF(AND(BANCO_OK_4,B362&lt;=MESES),IF(OR(B362=1,V362&lt;&gt;V361),PMT(V362/1200,MESES-B362+1,-Z361),W361),0)</f>
        <v/>
      </c>
      <c r="X362" s="58">
        <f>Z361*V362/1200</f>
        <v/>
      </c>
      <c r="Y362" s="58">
        <f>IF(AND(BANCO_OK_4,B362&lt;=MESES),IF(OR(B362=MESES,W362-X362&gt;Z361),Z361,W362-X362),0)</f>
        <v/>
      </c>
      <c r="Z362" s="58">
        <f>Z361-Y362</f>
        <v/>
      </c>
      <c r="AA362" s="58">
        <f>IF(AND(BANCO_OK_4,B362&lt;=MESES),X362+Y362+VINC_MES_4,0)</f>
        <v/>
      </c>
    </row>
    <row r="363">
      <c r="B363" s="56" t="n">
        <v>355</v>
      </c>
      <c r="C363" s="56">
        <f>ROUNDUP(B363/12,0)</f>
        <v/>
      </c>
      <c r="D363" s="52">
        <f>IF(AND(BANCO_OK_1,B363&lt;=MESES),IF(OR(OF_TIPO_1="Fija",C363&lt;=OF_ANIOS_INI_1),OF_TIN_1,MAX(0,EURIBOR+OF_DIF_1)),0)</f>
        <v/>
      </c>
      <c r="E363" s="58">
        <f>IF(AND(BANCO_OK_1,B363&lt;=MESES),IF(OR(B363=1,D363&lt;&gt;D362),PMT(D363/1200,MESES-B363+1,-H362),E362),0)</f>
        <v/>
      </c>
      <c r="F363" s="58">
        <f>H362*D363/1200</f>
        <v/>
      </c>
      <c r="G363" s="58">
        <f>IF(AND(BANCO_OK_1,B363&lt;=MESES),IF(OR(B363=MESES,E363-F363&gt;H362),H362,E363-F363),0)</f>
        <v/>
      </c>
      <c r="H363" s="58">
        <f>H362-G363</f>
        <v/>
      </c>
      <c r="I363" s="58">
        <f>IF(AND(BANCO_OK_1,B363&lt;=MESES),F363+G363+VINC_MES_1,0)</f>
        <v/>
      </c>
      <c r="J363" s="52">
        <f>IF(AND(BANCO_OK_2,B363&lt;=MESES),IF(OR(OF_TIPO_2="Fija",C363&lt;=OF_ANIOS_INI_2),OF_TIN_2,MAX(0,EURIBOR+OF_DIF_2)),0)</f>
        <v/>
      </c>
      <c r="K363" s="58">
        <f>IF(AND(BANCO_OK_2,B363&lt;=MESES),IF(OR(B363=1,J363&lt;&gt;J362),PMT(J363/1200,MESES-B363+1,-N362),K362),0)</f>
        <v/>
      </c>
      <c r="L363" s="58">
        <f>N362*J363/1200</f>
        <v/>
      </c>
      <c r="M363" s="58">
        <f>IF(AND(BANCO_OK_2,B363&lt;=MESES),IF(OR(B363=MESES,K363-L363&gt;N362),N362,K363-L363),0)</f>
        <v/>
      </c>
      <c r="N363" s="58">
        <f>N362-M363</f>
        <v/>
      </c>
      <c r="O363" s="58">
        <f>IF(AND(BANCO_OK_2,B363&lt;=MESES),L363+M363+VINC_MES_2,0)</f>
        <v/>
      </c>
      <c r="P363" s="52">
        <f>IF(AND(BANCO_OK_3,B363&lt;=MESES),IF(OR(OF_TIPO_3="Fija",C363&lt;=OF_ANIOS_INI_3),OF_TIN_3,MAX(0,EURIBOR+OF_DIF_3)),0)</f>
        <v/>
      </c>
      <c r="Q363" s="58">
        <f>IF(AND(BANCO_OK_3,B363&lt;=MESES),IF(OR(B363=1,P363&lt;&gt;P362),PMT(P363/1200,MESES-B363+1,-T362),Q362),0)</f>
        <v/>
      </c>
      <c r="R363" s="58">
        <f>T362*P363/1200</f>
        <v/>
      </c>
      <c r="S363" s="58">
        <f>IF(AND(BANCO_OK_3,B363&lt;=MESES),IF(OR(B363=MESES,Q363-R363&gt;T362),T362,Q363-R363),0)</f>
        <v/>
      </c>
      <c r="T363" s="58">
        <f>T362-S363</f>
        <v/>
      </c>
      <c r="U363" s="58">
        <f>IF(AND(BANCO_OK_3,B363&lt;=MESES),R363+S363+VINC_MES_3,0)</f>
        <v/>
      </c>
      <c r="V363" s="52">
        <f>IF(AND(BANCO_OK_4,B363&lt;=MESES),IF(OR(OF_TIPO_4="Fija",C363&lt;=OF_ANIOS_INI_4),OF_TIN_4,MAX(0,EURIBOR+OF_DIF_4)),0)</f>
        <v/>
      </c>
      <c r="W363" s="58">
        <f>IF(AND(BANCO_OK_4,B363&lt;=MESES),IF(OR(B363=1,V363&lt;&gt;V362),PMT(V363/1200,MESES-B363+1,-Z362),W362),0)</f>
        <v/>
      </c>
      <c r="X363" s="58">
        <f>Z362*V363/1200</f>
        <v/>
      </c>
      <c r="Y363" s="58">
        <f>IF(AND(BANCO_OK_4,B363&lt;=MESES),IF(OR(B363=MESES,W363-X363&gt;Z362),Z362,W363-X363),0)</f>
        <v/>
      </c>
      <c r="Z363" s="58">
        <f>Z362-Y363</f>
        <v/>
      </c>
      <c r="AA363" s="58">
        <f>IF(AND(BANCO_OK_4,B363&lt;=MESES),X363+Y363+VINC_MES_4,0)</f>
        <v/>
      </c>
    </row>
    <row r="364">
      <c r="B364" s="56" t="n">
        <v>356</v>
      </c>
      <c r="C364" s="56">
        <f>ROUNDUP(B364/12,0)</f>
        <v/>
      </c>
      <c r="D364" s="52">
        <f>IF(AND(BANCO_OK_1,B364&lt;=MESES),IF(OR(OF_TIPO_1="Fija",C364&lt;=OF_ANIOS_INI_1),OF_TIN_1,MAX(0,EURIBOR+OF_DIF_1)),0)</f>
        <v/>
      </c>
      <c r="E364" s="58">
        <f>IF(AND(BANCO_OK_1,B364&lt;=MESES),IF(OR(B364=1,D364&lt;&gt;D363),PMT(D364/1200,MESES-B364+1,-H363),E363),0)</f>
        <v/>
      </c>
      <c r="F364" s="58">
        <f>H363*D364/1200</f>
        <v/>
      </c>
      <c r="G364" s="58">
        <f>IF(AND(BANCO_OK_1,B364&lt;=MESES),IF(OR(B364=MESES,E364-F364&gt;H363),H363,E364-F364),0)</f>
        <v/>
      </c>
      <c r="H364" s="58">
        <f>H363-G364</f>
        <v/>
      </c>
      <c r="I364" s="58">
        <f>IF(AND(BANCO_OK_1,B364&lt;=MESES),F364+G364+VINC_MES_1,0)</f>
        <v/>
      </c>
      <c r="J364" s="52">
        <f>IF(AND(BANCO_OK_2,B364&lt;=MESES),IF(OR(OF_TIPO_2="Fija",C364&lt;=OF_ANIOS_INI_2),OF_TIN_2,MAX(0,EURIBOR+OF_DIF_2)),0)</f>
        <v/>
      </c>
      <c r="K364" s="58">
        <f>IF(AND(BANCO_OK_2,B364&lt;=MESES),IF(OR(B364=1,J364&lt;&gt;J363),PMT(J364/1200,MESES-B364+1,-N363),K363),0)</f>
        <v/>
      </c>
      <c r="L364" s="58">
        <f>N363*J364/1200</f>
        <v/>
      </c>
      <c r="M364" s="58">
        <f>IF(AND(BANCO_OK_2,B364&lt;=MESES),IF(OR(B364=MESES,K364-L364&gt;N363),N363,K364-L364),0)</f>
        <v/>
      </c>
      <c r="N364" s="58">
        <f>N363-M364</f>
        <v/>
      </c>
      <c r="O364" s="58">
        <f>IF(AND(BANCO_OK_2,B364&lt;=MESES),L364+M364+VINC_MES_2,0)</f>
        <v/>
      </c>
      <c r="P364" s="52">
        <f>IF(AND(BANCO_OK_3,B364&lt;=MESES),IF(OR(OF_TIPO_3="Fija",C364&lt;=OF_ANIOS_INI_3),OF_TIN_3,MAX(0,EURIBOR+OF_DIF_3)),0)</f>
        <v/>
      </c>
      <c r="Q364" s="58">
        <f>IF(AND(BANCO_OK_3,B364&lt;=MESES),IF(OR(B364=1,P364&lt;&gt;P363),PMT(P364/1200,MESES-B364+1,-T363),Q363),0)</f>
        <v/>
      </c>
      <c r="R364" s="58">
        <f>T363*P364/1200</f>
        <v/>
      </c>
      <c r="S364" s="58">
        <f>IF(AND(BANCO_OK_3,B364&lt;=MESES),IF(OR(B364=MESES,Q364-R364&gt;T363),T363,Q364-R364),0)</f>
        <v/>
      </c>
      <c r="T364" s="58">
        <f>T363-S364</f>
        <v/>
      </c>
      <c r="U364" s="58">
        <f>IF(AND(BANCO_OK_3,B364&lt;=MESES),R364+S364+VINC_MES_3,0)</f>
        <v/>
      </c>
      <c r="V364" s="52">
        <f>IF(AND(BANCO_OK_4,B364&lt;=MESES),IF(OR(OF_TIPO_4="Fija",C364&lt;=OF_ANIOS_INI_4),OF_TIN_4,MAX(0,EURIBOR+OF_DIF_4)),0)</f>
        <v/>
      </c>
      <c r="W364" s="58">
        <f>IF(AND(BANCO_OK_4,B364&lt;=MESES),IF(OR(B364=1,V364&lt;&gt;V363),PMT(V364/1200,MESES-B364+1,-Z363),W363),0)</f>
        <v/>
      </c>
      <c r="X364" s="58">
        <f>Z363*V364/1200</f>
        <v/>
      </c>
      <c r="Y364" s="58">
        <f>IF(AND(BANCO_OK_4,B364&lt;=MESES),IF(OR(B364=MESES,W364-X364&gt;Z363),Z363,W364-X364),0)</f>
        <v/>
      </c>
      <c r="Z364" s="58">
        <f>Z363-Y364</f>
        <v/>
      </c>
      <c r="AA364" s="58">
        <f>IF(AND(BANCO_OK_4,B364&lt;=MESES),X364+Y364+VINC_MES_4,0)</f>
        <v/>
      </c>
    </row>
    <row r="365">
      <c r="B365" s="56" t="n">
        <v>357</v>
      </c>
      <c r="C365" s="56">
        <f>ROUNDUP(B365/12,0)</f>
        <v/>
      </c>
      <c r="D365" s="52">
        <f>IF(AND(BANCO_OK_1,B365&lt;=MESES),IF(OR(OF_TIPO_1="Fija",C365&lt;=OF_ANIOS_INI_1),OF_TIN_1,MAX(0,EURIBOR+OF_DIF_1)),0)</f>
        <v/>
      </c>
      <c r="E365" s="58">
        <f>IF(AND(BANCO_OK_1,B365&lt;=MESES),IF(OR(B365=1,D365&lt;&gt;D364),PMT(D365/1200,MESES-B365+1,-H364),E364),0)</f>
        <v/>
      </c>
      <c r="F365" s="58">
        <f>H364*D365/1200</f>
        <v/>
      </c>
      <c r="G365" s="58">
        <f>IF(AND(BANCO_OK_1,B365&lt;=MESES),IF(OR(B365=MESES,E365-F365&gt;H364),H364,E365-F365),0)</f>
        <v/>
      </c>
      <c r="H365" s="58">
        <f>H364-G365</f>
        <v/>
      </c>
      <c r="I365" s="58">
        <f>IF(AND(BANCO_OK_1,B365&lt;=MESES),F365+G365+VINC_MES_1,0)</f>
        <v/>
      </c>
      <c r="J365" s="52">
        <f>IF(AND(BANCO_OK_2,B365&lt;=MESES),IF(OR(OF_TIPO_2="Fija",C365&lt;=OF_ANIOS_INI_2),OF_TIN_2,MAX(0,EURIBOR+OF_DIF_2)),0)</f>
        <v/>
      </c>
      <c r="K365" s="58">
        <f>IF(AND(BANCO_OK_2,B365&lt;=MESES),IF(OR(B365=1,J365&lt;&gt;J364),PMT(J365/1200,MESES-B365+1,-N364),K364),0)</f>
        <v/>
      </c>
      <c r="L365" s="58">
        <f>N364*J365/1200</f>
        <v/>
      </c>
      <c r="M365" s="58">
        <f>IF(AND(BANCO_OK_2,B365&lt;=MESES),IF(OR(B365=MESES,K365-L365&gt;N364),N364,K365-L365),0)</f>
        <v/>
      </c>
      <c r="N365" s="58">
        <f>N364-M365</f>
        <v/>
      </c>
      <c r="O365" s="58">
        <f>IF(AND(BANCO_OK_2,B365&lt;=MESES),L365+M365+VINC_MES_2,0)</f>
        <v/>
      </c>
      <c r="P365" s="52">
        <f>IF(AND(BANCO_OK_3,B365&lt;=MESES),IF(OR(OF_TIPO_3="Fija",C365&lt;=OF_ANIOS_INI_3),OF_TIN_3,MAX(0,EURIBOR+OF_DIF_3)),0)</f>
        <v/>
      </c>
      <c r="Q365" s="58">
        <f>IF(AND(BANCO_OK_3,B365&lt;=MESES),IF(OR(B365=1,P365&lt;&gt;P364),PMT(P365/1200,MESES-B365+1,-T364),Q364),0)</f>
        <v/>
      </c>
      <c r="R365" s="58">
        <f>T364*P365/1200</f>
        <v/>
      </c>
      <c r="S365" s="58">
        <f>IF(AND(BANCO_OK_3,B365&lt;=MESES),IF(OR(B365=MESES,Q365-R365&gt;T364),T364,Q365-R365),0)</f>
        <v/>
      </c>
      <c r="T365" s="58">
        <f>T364-S365</f>
        <v/>
      </c>
      <c r="U365" s="58">
        <f>IF(AND(BANCO_OK_3,B365&lt;=MESES),R365+S365+VINC_MES_3,0)</f>
        <v/>
      </c>
      <c r="V365" s="52">
        <f>IF(AND(BANCO_OK_4,B365&lt;=MESES),IF(OR(OF_TIPO_4="Fija",C365&lt;=OF_ANIOS_INI_4),OF_TIN_4,MAX(0,EURIBOR+OF_DIF_4)),0)</f>
        <v/>
      </c>
      <c r="W365" s="58">
        <f>IF(AND(BANCO_OK_4,B365&lt;=MESES),IF(OR(B365=1,V365&lt;&gt;V364),PMT(V365/1200,MESES-B365+1,-Z364),W364),0)</f>
        <v/>
      </c>
      <c r="X365" s="58">
        <f>Z364*V365/1200</f>
        <v/>
      </c>
      <c r="Y365" s="58">
        <f>IF(AND(BANCO_OK_4,B365&lt;=MESES),IF(OR(B365=MESES,W365-X365&gt;Z364),Z364,W365-X365),0)</f>
        <v/>
      </c>
      <c r="Z365" s="58">
        <f>Z364-Y365</f>
        <v/>
      </c>
      <c r="AA365" s="58">
        <f>IF(AND(BANCO_OK_4,B365&lt;=MESES),X365+Y365+VINC_MES_4,0)</f>
        <v/>
      </c>
    </row>
    <row r="366">
      <c r="B366" s="56" t="n">
        <v>358</v>
      </c>
      <c r="C366" s="56">
        <f>ROUNDUP(B366/12,0)</f>
        <v/>
      </c>
      <c r="D366" s="52">
        <f>IF(AND(BANCO_OK_1,B366&lt;=MESES),IF(OR(OF_TIPO_1="Fija",C366&lt;=OF_ANIOS_INI_1),OF_TIN_1,MAX(0,EURIBOR+OF_DIF_1)),0)</f>
        <v/>
      </c>
      <c r="E366" s="58">
        <f>IF(AND(BANCO_OK_1,B366&lt;=MESES),IF(OR(B366=1,D366&lt;&gt;D365),PMT(D366/1200,MESES-B366+1,-H365),E365),0)</f>
        <v/>
      </c>
      <c r="F366" s="58">
        <f>H365*D366/1200</f>
        <v/>
      </c>
      <c r="G366" s="58">
        <f>IF(AND(BANCO_OK_1,B366&lt;=MESES),IF(OR(B366=MESES,E366-F366&gt;H365),H365,E366-F366),0)</f>
        <v/>
      </c>
      <c r="H366" s="58">
        <f>H365-G366</f>
        <v/>
      </c>
      <c r="I366" s="58">
        <f>IF(AND(BANCO_OK_1,B366&lt;=MESES),F366+G366+VINC_MES_1,0)</f>
        <v/>
      </c>
      <c r="J366" s="52">
        <f>IF(AND(BANCO_OK_2,B366&lt;=MESES),IF(OR(OF_TIPO_2="Fija",C366&lt;=OF_ANIOS_INI_2),OF_TIN_2,MAX(0,EURIBOR+OF_DIF_2)),0)</f>
        <v/>
      </c>
      <c r="K366" s="58">
        <f>IF(AND(BANCO_OK_2,B366&lt;=MESES),IF(OR(B366=1,J366&lt;&gt;J365),PMT(J366/1200,MESES-B366+1,-N365),K365),0)</f>
        <v/>
      </c>
      <c r="L366" s="58">
        <f>N365*J366/1200</f>
        <v/>
      </c>
      <c r="M366" s="58">
        <f>IF(AND(BANCO_OK_2,B366&lt;=MESES),IF(OR(B366=MESES,K366-L366&gt;N365),N365,K366-L366),0)</f>
        <v/>
      </c>
      <c r="N366" s="58">
        <f>N365-M366</f>
        <v/>
      </c>
      <c r="O366" s="58">
        <f>IF(AND(BANCO_OK_2,B366&lt;=MESES),L366+M366+VINC_MES_2,0)</f>
        <v/>
      </c>
      <c r="P366" s="52">
        <f>IF(AND(BANCO_OK_3,B366&lt;=MESES),IF(OR(OF_TIPO_3="Fija",C366&lt;=OF_ANIOS_INI_3),OF_TIN_3,MAX(0,EURIBOR+OF_DIF_3)),0)</f>
        <v/>
      </c>
      <c r="Q366" s="58">
        <f>IF(AND(BANCO_OK_3,B366&lt;=MESES),IF(OR(B366=1,P366&lt;&gt;P365),PMT(P366/1200,MESES-B366+1,-T365),Q365),0)</f>
        <v/>
      </c>
      <c r="R366" s="58">
        <f>T365*P366/1200</f>
        <v/>
      </c>
      <c r="S366" s="58">
        <f>IF(AND(BANCO_OK_3,B366&lt;=MESES),IF(OR(B366=MESES,Q366-R366&gt;T365),T365,Q366-R366),0)</f>
        <v/>
      </c>
      <c r="T366" s="58">
        <f>T365-S366</f>
        <v/>
      </c>
      <c r="U366" s="58">
        <f>IF(AND(BANCO_OK_3,B366&lt;=MESES),R366+S366+VINC_MES_3,0)</f>
        <v/>
      </c>
      <c r="V366" s="52">
        <f>IF(AND(BANCO_OK_4,B366&lt;=MESES),IF(OR(OF_TIPO_4="Fija",C366&lt;=OF_ANIOS_INI_4),OF_TIN_4,MAX(0,EURIBOR+OF_DIF_4)),0)</f>
        <v/>
      </c>
      <c r="W366" s="58">
        <f>IF(AND(BANCO_OK_4,B366&lt;=MESES),IF(OR(B366=1,V366&lt;&gt;V365),PMT(V366/1200,MESES-B366+1,-Z365),W365),0)</f>
        <v/>
      </c>
      <c r="X366" s="58">
        <f>Z365*V366/1200</f>
        <v/>
      </c>
      <c r="Y366" s="58">
        <f>IF(AND(BANCO_OK_4,B366&lt;=MESES),IF(OR(B366=MESES,W366-X366&gt;Z365),Z365,W366-X366),0)</f>
        <v/>
      </c>
      <c r="Z366" s="58">
        <f>Z365-Y366</f>
        <v/>
      </c>
      <c r="AA366" s="58">
        <f>IF(AND(BANCO_OK_4,B366&lt;=MESES),X366+Y366+VINC_MES_4,0)</f>
        <v/>
      </c>
    </row>
    <row r="367">
      <c r="B367" s="56" t="n">
        <v>359</v>
      </c>
      <c r="C367" s="56">
        <f>ROUNDUP(B367/12,0)</f>
        <v/>
      </c>
      <c r="D367" s="52">
        <f>IF(AND(BANCO_OK_1,B367&lt;=MESES),IF(OR(OF_TIPO_1="Fija",C367&lt;=OF_ANIOS_INI_1),OF_TIN_1,MAX(0,EURIBOR+OF_DIF_1)),0)</f>
        <v/>
      </c>
      <c r="E367" s="58">
        <f>IF(AND(BANCO_OK_1,B367&lt;=MESES),IF(OR(B367=1,D367&lt;&gt;D366),PMT(D367/1200,MESES-B367+1,-H366),E366),0)</f>
        <v/>
      </c>
      <c r="F367" s="58">
        <f>H366*D367/1200</f>
        <v/>
      </c>
      <c r="G367" s="58">
        <f>IF(AND(BANCO_OK_1,B367&lt;=MESES),IF(OR(B367=MESES,E367-F367&gt;H366),H366,E367-F367),0)</f>
        <v/>
      </c>
      <c r="H367" s="58">
        <f>H366-G367</f>
        <v/>
      </c>
      <c r="I367" s="58">
        <f>IF(AND(BANCO_OK_1,B367&lt;=MESES),F367+G367+VINC_MES_1,0)</f>
        <v/>
      </c>
      <c r="J367" s="52">
        <f>IF(AND(BANCO_OK_2,B367&lt;=MESES),IF(OR(OF_TIPO_2="Fija",C367&lt;=OF_ANIOS_INI_2),OF_TIN_2,MAX(0,EURIBOR+OF_DIF_2)),0)</f>
        <v/>
      </c>
      <c r="K367" s="58">
        <f>IF(AND(BANCO_OK_2,B367&lt;=MESES),IF(OR(B367=1,J367&lt;&gt;J366),PMT(J367/1200,MESES-B367+1,-N366),K366),0)</f>
        <v/>
      </c>
      <c r="L367" s="58">
        <f>N366*J367/1200</f>
        <v/>
      </c>
      <c r="M367" s="58">
        <f>IF(AND(BANCO_OK_2,B367&lt;=MESES),IF(OR(B367=MESES,K367-L367&gt;N366),N366,K367-L367),0)</f>
        <v/>
      </c>
      <c r="N367" s="58">
        <f>N366-M367</f>
        <v/>
      </c>
      <c r="O367" s="58">
        <f>IF(AND(BANCO_OK_2,B367&lt;=MESES),L367+M367+VINC_MES_2,0)</f>
        <v/>
      </c>
      <c r="P367" s="52">
        <f>IF(AND(BANCO_OK_3,B367&lt;=MESES),IF(OR(OF_TIPO_3="Fija",C367&lt;=OF_ANIOS_INI_3),OF_TIN_3,MAX(0,EURIBOR+OF_DIF_3)),0)</f>
        <v/>
      </c>
      <c r="Q367" s="58">
        <f>IF(AND(BANCO_OK_3,B367&lt;=MESES),IF(OR(B367=1,P367&lt;&gt;P366),PMT(P367/1200,MESES-B367+1,-T366),Q366),0)</f>
        <v/>
      </c>
      <c r="R367" s="58">
        <f>T366*P367/1200</f>
        <v/>
      </c>
      <c r="S367" s="58">
        <f>IF(AND(BANCO_OK_3,B367&lt;=MESES),IF(OR(B367=MESES,Q367-R367&gt;T366),T366,Q367-R367),0)</f>
        <v/>
      </c>
      <c r="T367" s="58">
        <f>T366-S367</f>
        <v/>
      </c>
      <c r="U367" s="58">
        <f>IF(AND(BANCO_OK_3,B367&lt;=MESES),R367+S367+VINC_MES_3,0)</f>
        <v/>
      </c>
      <c r="V367" s="52">
        <f>IF(AND(BANCO_OK_4,B367&lt;=MESES),IF(OR(OF_TIPO_4="Fija",C367&lt;=OF_ANIOS_INI_4),OF_TIN_4,MAX(0,EURIBOR+OF_DIF_4)),0)</f>
        <v/>
      </c>
      <c r="W367" s="58">
        <f>IF(AND(BANCO_OK_4,B367&lt;=MESES),IF(OR(B367=1,V367&lt;&gt;V366),PMT(V367/1200,MESES-B367+1,-Z366),W366),0)</f>
        <v/>
      </c>
      <c r="X367" s="58">
        <f>Z366*V367/1200</f>
        <v/>
      </c>
      <c r="Y367" s="58">
        <f>IF(AND(BANCO_OK_4,B367&lt;=MESES),IF(OR(B367=MESES,W367-X367&gt;Z366),Z366,W367-X367),0)</f>
        <v/>
      </c>
      <c r="Z367" s="58">
        <f>Z366-Y367</f>
        <v/>
      </c>
      <c r="AA367" s="58">
        <f>IF(AND(BANCO_OK_4,B367&lt;=MESES),X367+Y367+VINC_MES_4,0)</f>
        <v/>
      </c>
    </row>
    <row r="368">
      <c r="B368" s="56" t="n">
        <v>360</v>
      </c>
      <c r="C368" s="56">
        <f>ROUNDUP(B368/12,0)</f>
        <v/>
      </c>
      <c r="D368" s="52">
        <f>IF(AND(BANCO_OK_1,B368&lt;=MESES),IF(OR(OF_TIPO_1="Fija",C368&lt;=OF_ANIOS_INI_1),OF_TIN_1,MAX(0,EURIBOR+OF_DIF_1)),0)</f>
        <v/>
      </c>
      <c r="E368" s="58">
        <f>IF(AND(BANCO_OK_1,B368&lt;=MESES),IF(OR(B368=1,D368&lt;&gt;D367),PMT(D368/1200,MESES-B368+1,-H367),E367),0)</f>
        <v/>
      </c>
      <c r="F368" s="58">
        <f>H367*D368/1200</f>
        <v/>
      </c>
      <c r="G368" s="58">
        <f>IF(AND(BANCO_OK_1,B368&lt;=MESES),IF(OR(B368=MESES,E368-F368&gt;H367),H367,E368-F368),0)</f>
        <v/>
      </c>
      <c r="H368" s="58">
        <f>H367-G368</f>
        <v/>
      </c>
      <c r="I368" s="58">
        <f>IF(AND(BANCO_OK_1,B368&lt;=MESES),F368+G368+VINC_MES_1,0)</f>
        <v/>
      </c>
      <c r="J368" s="52">
        <f>IF(AND(BANCO_OK_2,B368&lt;=MESES),IF(OR(OF_TIPO_2="Fija",C368&lt;=OF_ANIOS_INI_2),OF_TIN_2,MAX(0,EURIBOR+OF_DIF_2)),0)</f>
        <v/>
      </c>
      <c r="K368" s="58">
        <f>IF(AND(BANCO_OK_2,B368&lt;=MESES),IF(OR(B368=1,J368&lt;&gt;J367),PMT(J368/1200,MESES-B368+1,-N367),K367),0)</f>
        <v/>
      </c>
      <c r="L368" s="58">
        <f>N367*J368/1200</f>
        <v/>
      </c>
      <c r="M368" s="58">
        <f>IF(AND(BANCO_OK_2,B368&lt;=MESES),IF(OR(B368=MESES,K368-L368&gt;N367),N367,K368-L368),0)</f>
        <v/>
      </c>
      <c r="N368" s="58">
        <f>N367-M368</f>
        <v/>
      </c>
      <c r="O368" s="58">
        <f>IF(AND(BANCO_OK_2,B368&lt;=MESES),L368+M368+VINC_MES_2,0)</f>
        <v/>
      </c>
      <c r="P368" s="52">
        <f>IF(AND(BANCO_OK_3,B368&lt;=MESES),IF(OR(OF_TIPO_3="Fija",C368&lt;=OF_ANIOS_INI_3),OF_TIN_3,MAX(0,EURIBOR+OF_DIF_3)),0)</f>
        <v/>
      </c>
      <c r="Q368" s="58">
        <f>IF(AND(BANCO_OK_3,B368&lt;=MESES),IF(OR(B368=1,P368&lt;&gt;P367),PMT(P368/1200,MESES-B368+1,-T367),Q367),0)</f>
        <v/>
      </c>
      <c r="R368" s="58">
        <f>T367*P368/1200</f>
        <v/>
      </c>
      <c r="S368" s="58">
        <f>IF(AND(BANCO_OK_3,B368&lt;=MESES),IF(OR(B368=MESES,Q368-R368&gt;T367),T367,Q368-R368),0)</f>
        <v/>
      </c>
      <c r="T368" s="58">
        <f>T367-S368</f>
        <v/>
      </c>
      <c r="U368" s="58">
        <f>IF(AND(BANCO_OK_3,B368&lt;=MESES),R368+S368+VINC_MES_3,0)</f>
        <v/>
      </c>
      <c r="V368" s="52">
        <f>IF(AND(BANCO_OK_4,B368&lt;=MESES),IF(OR(OF_TIPO_4="Fija",C368&lt;=OF_ANIOS_INI_4),OF_TIN_4,MAX(0,EURIBOR+OF_DIF_4)),0)</f>
        <v/>
      </c>
      <c r="W368" s="58">
        <f>IF(AND(BANCO_OK_4,B368&lt;=MESES),IF(OR(B368=1,V368&lt;&gt;V367),PMT(V368/1200,MESES-B368+1,-Z367),W367),0)</f>
        <v/>
      </c>
      <c r="X368" s="58">
        <f>Z367*V368/1200</f>
        <v/>
      </c>
      <c r="Y368" s="58">
        <f>IF(AND(BANCO_OK_4,B368&lt;=MESES),IF(OR(B368=MESES,W368-X368&gt;Z367),Z367,W368-X368),0)</f>
        <v/>
      </c>
      <c r="Z368" s="58">
        <f>Z367-Y368</f>
        <v/>
      </c>
      <c r="AA368" s="58">
        <f>IF(AND(BANCO_OK_4,B368&lt;=MESES),X368+Y368+VINC_MES_4,0)</f>
        <v/>
      </c>
    </row>
    <row r="369">
      <c r="B369" s="56" t="n">
        <v>361</v>
      </c>
      <c r="C369" s="56">
        <f>ROUNDUP(B369/12,0)</f>
        <v/>
      </c>
      <c r="D369" s="52">
        <f>IF(AND(BANCO_OK_1,B369&lt;=MESES),IF(OR(OF_TIPO_1="Fija",C369&lt;=OF_ANIOS_INI_1),OF_TIN_1,MAX(0,EURIBOR+OF_DIF_1)),0)</f>
        <v/>
      </c>
      <c r="E369" s="58">
        <f>IF(AND(BANCO_OK_1,B369&lt;=MESES),IF(OR(B369=1,D369&lt;&gt;D368),PMT(D369/1200,MESES-B369+1,-H368),E368),0)</f>
        <v/>
      </c>
      <c r="F369" s="58">
        <f>H368*D369/1200</f>
        <v/>
      </c>
      <c r="G369" s="58">
        <f>IF(AND(BANCO_OK_1,B369&lt;=MESES),IF(OR(B369=MESES,E369-F369&gt;H368),H368,E369-F369),0)</f>
        <v/>
      </c>
      <c r="H369" s="58">
        <f>H368-G369</f>
        <v/>
      </c>
      <c r="I369" s="58">
        <f>IF(AND(BANCO_OK_1,B369&lt;=MESES),F369+G369+VINC_MES_1,0)</f>
        <v/>
      </c>
      <c r="J369" s="52">
        <f>IF(AND(BANCO_OK_2,B369&lt;=MESES),IF(OR(OF_TIPO_2="Fija",C369&lt;=OF_ANIOS_INI_2),OF_TIN_2,MAX(0,EURIBOR+OF_DIF_2)),0)</f>
        <v/>
      </c>
      <c r="K369" s="58">
        <f>IF(AND(BANCO_OK_2,B369&lt;=MESES),IF(OR(B369=1,J369&lt;&gt;J368),PMT(J369/1200,MESES-B369+1,-N368),K368),0)</f>
        <v/>
      </c>
      <c r="L369" s="58">
        <f>N368*J369/1200</f>
        <v/>
      </c>
      <c r="M369" s="58">
        <f>IF(AND(BANCO_OK_2,B369&lt;=MESES),IF(OR(B369=MESES,K369-L369&gt;N368),N368,K369-L369),0)</f>
        <v/>
      </c>
      <c r="N369" s="58">
        <f>N368-M369</f>
        <v/>
      </c>
      <c r="O369" s="58">
        <f>IF(AND(BANCO_OK_2,B369&lt;=MESES),L369+M369+VINC_MES_2,0)</f>
        <v/>
      </c>
      <c r="P369" s="52">
        <f>IF(AND(BANCO_OK_3,B369&lt;=MESES),IF(OR(OF_TIPO_3="Fija",C369&lt;=OF_ANIOS_INI_3),OF_TIN_3,MAX(0,EURIBOR+OF_DIF_3)),0)</f>
        <v/>
      </c>
      <c r="Q369" s="58">
        <f>IF(AND(BANCO_OK_3,B369&lt;=MESES),IF(OR(B369=1,P369&lt;&gt;P368),PMT(P369/1200,MESES-B369+1,-T368),Q368),0)</f>
        <v/>
      </c>
      <c r="R369" s="58">
        <f>T368*P369/1200</f>
        <v/>
      </c>
      <c r="S369" s="58">
        <f>IF(AND(BANCO_OK_3,B369&lt;=MESES),IF(OR(B369=MESES,Q369-R369&gt;T368),T368,Q369-R369),0)</f>
        <v/>
      </c>
      <c r="T369" s="58">
        <f>T368-S369</f>
        <v/>
      </c>
      <c r="U369" s="58">
        <f>IF(AND(BANCO_OK_3,B369&lt;=MESES),R369+S369+VINC_MES_3,0)</f>
        <v/>
      </c>
      <c r="V369" s="52">
        <f>IF(AND(BANCO_OK_4,B369&lt;=MESES),IF(OR(OF_TIPO_4="Fija",C369&lt;=OF_ANIOS_INI_4),OF_TIN_4,MAX(0,EURIBOR+OF_DIF_4)),0)</f>
        <v/>
      </c>
      <c r="W369" s="58">
        <f>IF(AND(BANCO_OK_4,B369&lt;=MESES),IF(OR(B369=1,V369&lt;&gt;V368),PMT(V369/1200,MESES-B369+1,-Z368),W368),0)</f>
        <v/>
      </c>
      <c r="X369" s="58">
        <f>Z368*V369/1200</f>
        <v/>
      </c>
      <c r="Y369" s="58">
        <f>IF(AND(BANCO_OK_4,B369&lt;=MESES),IF(OR(B369=MESES,W369-X369&gt;Z368),Z368,W369-X369),0)</f>
        <v/>
      </c>
      <c r="Z369" s="58">
        <f>Z368-Y369</f>
        <v/>
      </c>
      <c r="AA369" s="58">
        <f>IF(AND(BANCO_OK_4,B369&lt;=MESES),X369+Y369+VINC_MES_4,0)</f>
        <v/>
      </c>
    </row>
    <row r="370">
      <c r="B370" s="56" t="n">
        <v>362</v>
      </c>
      <c r="C370" s="56">
        <f>ROUNDUP(B370/12,0)</f>
        <v/>
      </c>
      <c r="D370" s="52">
        <f>IF(AND(BANCO_OK_1,B370&lt;=MESES),IF(OR(OF_TIPO_1="Fija",C370&lt;=OF_ANIOS_INI_1),OF_TIN_1,MAX(0,EURIBOR+OF_DIF_1)),0)</f>
        <v/>
      </c>
      <c r="E370" s="58">
        <f>IF(AND(BANCO_OK_1,B370&lt;=MESES),IF(OR(B370=1,D370&lt;&gt;D369),PMT(D370/1200,MESES-B370+1,-H369),E369),0)</f>
        <v/>
      </c>
      <c r="F370" s="58">
        <f>H369*D370/1200</f>
        <v/>
      </c>
      <c r="G370" s="58">
        <f>IF(AND(BANCO_OK_1,B370&lt;=MESES),IF(OR(B370=MESES,E370-F370&gt;H369),H369,E370-F370),0)</f>
        <v/>
      </c>
      <c r="H370" s="58">
        <f>H369-G370</f>
        <v/>
      </c>
      <c r="I370" s="58">
        <f>IF(AND(BANCO_OK_1,B370&lt;=MESES),F370+G370+VINC_MES_1,0)</f>
        <v/>
      </c>
      <c r="J370" s="52">
        <f>IF(AND(BANCO_OK_2,B370&lt;=MESES),IF(OR(OF_TIPO_2="Fija",C370&lt;=OF_ANIOS_INI_2),OF_TIN_2,MAX(0,EURIBOR+OF_DIF_2)),0)</f>
        <v/>
      </c>
      <c r="K370" s="58">
        <f>IF(AND(BANCO_OK_2,B370&lt;=MESES),IF(OR(B370=1,J370&lt;&gt;J369),PMT(J370/1200,MESES-B370+1,-N369),K369),0)</f>
        <v/>
      </c>
      <c r="L370" s="58">
        <f>N369*J370/1200</f>
        <v/>
      </c>
      <c r="M370" s="58">
        <f>IF(AND(BANCO_OK_2,B370&lt;=MESES),IF(OR(B370=MESES,K370-L370&gt;N369),N369,K370-L370),0)</f>
        <v/>
      </c>
      <c r="N370" s="58">
        <f>N369-M370</f>
        <v/>
      </c>
      <c r="O370" s="58">
        <f>IF(AND(BANCO_OK_2,B370&lt;=MESES),L370+M370+VINC_MES_2,0)</f>
        <v/>
      </c>
      <c r="P370" s="52">
        <f>IF(AND(BANCO_OK_3,B370&lt;=MESES),IF(OR(OF_TIPO_3="Fija",C370&lt;=OF_ANIOS_INI_3),OF_TIN_3,MAX(0,EURIBOR+OF_DIF_3)),0)</f>
        <v/>
      </c>
      <c r="Q370" s="58">
        <f>IF(AND(BANCO_OK_3,B370&lt;=MESES),IF(OR(B370=1,P370&lt;&gt;P369),PMT(P370/1200,MESES-B370+1,-T369),Q369),0)</f>
        <v/>
      </c>
      <c r="R370" s="58">
        <f>T369*P370/1200</f>
        <v/>
      </c>
      <c r="S370" s="58">
        <f>IF(AND(BANCO_OK_3,B370&lt;=MESES),IF(OR(B370=MESES,Q370-R370&gt;T369),T369,Q370-R370),0)</f>
        <v/>
      </c>
      <c r="T370" s="58">
        <f>T369-S370</f>
        <v/>
      </c>
      <c r="U370" s="58">
        <f>IF(AND(BANCO_OK_3,B370&lt;=MESES),R370+S370+VINC_MES_3,0)</f>
        <v/>
      </c>
      <c r="V370" s="52">
        <f>IF(AND(BANCO_OK_4,B370&lt;=MESES),IF(OR(OF_TIPO_4="Fija",C370&lt;=OF_ANIOS_INI_4),OF_TIN_4,MAX(0,EURIBOR+OF_DIF_4)),0)</f>
        <v/>
      </c>
      <c r="W370" s="58">
        <f>IF(AND(BANCO_OK_4,B370&lt;=MESES),IF(OR(B370=1,V370&lt;&gt;V369),PMT(V370/1200,MESES-B370+1,-Z369),W369),0)</f>
        <v/>
      </c>
      <c r="X370" s="58">
        <f>Z369*V370/1200</f>
        <v/>
      </c>
      <c r="Y370" s="58">
        <f>IF(AND(BANCO_OK_4,B370&lt;=MESES),IF(OR(B370=MESES,W370-X370&gt;Z369),Z369,W370-X370),0)</f>
        <v/>
      </c>
      <c r="Z370" s="58">
        <f>Z369-Y370</f>
        <v/>
      </c>
      <c r="AA370" s="58">
        <f>IF(AND(BANCO_OK_4,B370&lt;=MESES),X370+Y370+VINC_MES_4,0)</f>
        <v/>
      </c>
    </row>
    <row r="371">
      <c r="B371" s="56" t="n">
        <v>363</v>
      </c>
      <c r="C371" s="56">
        <f>ROUNDUP(B371/12,0)</f>
        <v/>
      </c>
      <c r="D371" s="52">
        <f>IF(AND(BANCO_OK_1,B371&lt;=MESES),IF(OR(OF_TIPO_1="Fija",C371&lt;=OF_ANIOS_INI_1),OF_TIN_1,MAX(0,EURIBOR+OF_DIF_1)),0)</f>
        <v/>
      </c>
      <c r="E371" s="58">
        <f>IF(AND(BANCO_OK_1,B371&lt;=MESES),IF(OR(B371=1,D371&lt;&gt;D370),PMT(D371/1200,MESES-B371+1,-H370),E370),0)</f>
        <v/>
      </c>
      <c r="F371" s="58">
        <f>H370*D371/1200</f>
        <v/>
      </c>
      <c r="G371" s="58">
        <f>IF(AND(BANCO_OK_1,B371&lt;=MESES),IF(OR(B371=MESES,E371-F371&gt;H370),H370,E371-F371),0)</f>
        <v/>
      </c>
      <c r="H371" s="58">
        <f>H370-G371</f>
        <v/>
      </c>
      <c r="I371" s="58">
        <f>IF(AND(BANCO_OK_1,B371&lt;=MESES),F371+G371+VINC_MES_1,0)</f>
        <v/>
      </c>
      <c r="J371" s="52">
        <f>IF(AND(BANCO_OK_2,B371&lt;=MESES),IF(OR(OF_TIPO_2="Fija",C371&lt;=OF_ANIOS_INI_2),OF_TIN_2,MAX(0,EURIBOR+OF_DIF_2)),0)</f>
        <v/>
      </c>
      <c r="K371" s="58">
        <f>IF(AND(BANCO_OK_2,B371&lt;=MESES),IF(OR(B371=1,J371&lt;&gt;J370),PMT(J371/1200,MESES-B371+1,-N370),K370),0)</f>
        <v/>
      </c>
      <c r="L371" s="58">
        <f>N370*J371/1200</f>
        <v/>
      </c>
      <c r="M371" s="58">
        <f>IF(AND(BANCO_OK_2,B371&lt;=MESES),IF(OR(B371=MESES,K371-L371&gt;N370),N370,K371-L371),0)</f>
        <v/>
      </c>
      <c r="N371" s="58">
        <f>N370-M371</f>
        <v/>
      </c>
      <c r="O371" s="58">
        <f>IF(AND(BANCO_OK_2,B371&lt;=MESES),L371+M371+VINC_MES_2,0)</f>
        <v/>
      </c>
      <c r="P371" s="52">
        <f>IF(AND(BANCO_OK_3,B371&lt;=MESES),IF(OR(OF_TIPO_3="Fija",C371&lt;=OF_ANIOS_INI_3),OF_TIN_3,MAX(0,EURIBOR+OF_DIF_3)),0)</f>
        <v/>
      </c>
      <c r="Q371" s="58">
        <f>IF(AND(BANCO_OK_3,B371&lt;=MESES),IF(OR(B371=1,P371&lt;&gt;P370),PMT(P371/1200,MESES-B371+1,-T370),Q370),0)</f>
        <v/>
      </c>
      <c r="R371" s="58">
        <f>T370*P371/1200</f>
        <v/>
      </c>
      <c r="S371" s="58">
        <f>IF(AND(BANCO_OK_3,B371&lt;=MESES),IF(OR(B371=MESES,Q371-R371&gt;T370),T370,Q371-R371),0)</f>
        <v/>
      </c>
      <c r="T371" s="58">
        <f>T370-S371</f>
        <v/>
      </c>
      <c r="U371" s="58">
        <f>IF(AND(BANCO_OK_3,B371&lt;=MESES),R371+S371+VINC_MES_3,0)</f>
        <v/>
      </c>
      <c r="V371" s="52">
        <f>IF(AND(BANCO_OK_4,B371&lt;=MESES),IF(OR(OF_TIPO_4="Fija",C371&lt;=OF_ANIOS_INI_4),OF_TIN_4,MAX(0,EURIBOR+OF_DIF_4)),0)</f>
        <v/>
      </c>
      <c r="W371" s="58">
        <f>IF(AND(BANCO_OK_4,B371&lt;=MESES),IF(OR(B371=1,V371&lt;&gt;V370),PMT(V371/1200,MESES-B371+1,-Z370),W370),0)</f>
        <v/>
      </c>
      <c r="X371" s="58">
        <f>Z370*V371/1200</f>
        <v/>
      </c>
      <c r="Y371" s="58">
        <f>IF(AND(BANCO_OK_4,B371&lt;=MESES),IF(OR(B371=MESES,W371-X371&gt;Z370),Z370,W371-X371),0)</f>
        <v/>
      </c>
      <c r="Z371" s="58">
        <f>Z370-Y371</f>
        <v/>
      </c>
      <c r="AA371" s="58">
        <f>IF(AND(BANCO_OK_4,B371&lt;=MESES),X371+Y371+VINC_MES_4,0)</f>
        <v/>
      </c>
    </row>
    <row r="372">
      <c r="B372" s="56" t="n">
        <v>364</v>
      </c>
      <c r="C372" s="56">
        <f>ROUNDUP(B372/12,0)</f>
        <v/>
      </c>
      <c r="D372" s="52">
        <f>IF(AND(BANCO_OK_1,B372&lt;=MESES),IF(OR(OF_TIPO_1="Fija",C372&lt;=OF_ANIOS_INI_1),OF_TIN_1,MAX(0,EURIBOR+OF_DIF_1)),0)</f>
        <v/>
      </c>
      <c r="E372" s="58">
        <f>IF(AND(BANCO_OK_1,B372&lt;=MESES),IF(OR(B372=1,D372&lt;&gt;D371),PMT(D372/1200,MESES-B372+1,-H371),E371),0)</f>
        <v/>
      </c>
      <c r="F372" s="58">
        <f>H371*D372/1200</f>
        <v/>
      </c>
      <c r="G372" s="58">
        <f>IF(AND(BANCO_OK_1,B372&lt;=MESES),IF(OR(B372=MESES,E372-F372&gt;H371),H371,E372-F372),0)</f>
        <v/>
      </c>
      <c r="H372" s="58">
        <f>H371-G372</f>
        <v/>
      </c>
      <c r="I372" s="58">
        <f>IF(AND(BANCO_OK_1,B372&lt;=MESES),F372+G372+VINC_MES_1,0)</f>
        <v/>
      </c>
      <c r="J372" s="52">
        <f>IF(AND(BANCO_OK_2,B372&lt;=MESES),IF(OR(OF_TIPO_2="Fija",C372&lt;=OF_ANIOS_INI_2),OF_TIN_2,MAX(0,EURIBOR+OF_DIF_2)),0)</f>
        <v/>
      </c>
      <c r="K372" s="58">
        <f>IF(AND(BANCO_OK_2,B372&lt;=MESES),IF(OR(B372=1,J372&lt;&gt;J371),PMT(J372/1200,MESES-B372+1,-N371),K371),0)</f>
        <v/>
      </c>
      <c r="L372" s="58">
        <f>N371*J372/1200</f>
        <v/>
      </c>
      <c r="M372" s="58">
        <f>IF(AND(BANCO_OK_2,B372&lt;=MESES),IF(OR(B372=MESES,K372-L372&gt;N371),N371,K372-L372),0)</f>
        <v/>
      </c>
      <c r="N372" s="58">
        <f>N371-M372</f>
        <v/>
      </c>
      <c r="O372" s="58">
        <f>IF(AND(BANCO_OK_2,B372&lt;=MESES),L372+M372+VINC_MES_2,0)</f>
        <v/>
      </c>
      <c r="P372" s="52">
        <f>IF(AND(BANCO_OK_3,B372&lt;=MESES),IF(OR(OF_TIPO_3="Fija",C372&lt;=OF_ANIOS_INI_3),OF_TIN_3,MAX(0,EURIBOR+OF_DIF_3)),0)</f>
        <v/>
      </c>
      <c r="Q372" s="58">
        <f>IF(AND(BANCO_OK_3,B372&lt;=MESES),IF(OR(B372=1,P372&lt;&gt;P371),PMT(P372/1200,MESES-B372+1,-T371),Q371),0)</f>
        <v/>
      </c>
      <c r="R372" s="58">
        <f>T371*P372/1200</f>
        <v/>
      </c>
      <c r="S372" s="58">
        <f>IF(AND(BANCO_OK_3,B372&lt;=MESES),IF(OR(B372=MESES,Q372-R372&gt;T371),T371,Q372-R372),0)</f>
        <v/>
      </c>
      <c r="T372" s="58">
        <f>T371-S372</f>
        <v/>
      </c>
      <c r="U372" s="58">
        <f>IF(AND(BANCO_OK_3,B372&lt;=MESES),R372+S372+VINC_MES_3,0)</f>
        <v/>
      </c>
      <c r="V372" s="52">
        <f>IF(AND(BANCO_OK_4,B372&lt;=MESES),IF(OR(OF_TIPO_4="Fija",C372&lt;=OF_ANIOS_INI_4),OF_TIN_4,MAX(0,EURIBOR+OF_DIF_4)),0)</f>
        <v/>
      </c>
      <c r="W372" s="58">
        <f>IF(AND(BANCO_OK_4,B372&lt;=MESES),IF(OR(B372=1,V372&lt;&gt;V371),PMT(V372/1200,MESES-B372+1,-Z371),W371),0)</f>
        <v/>
      </c>
      <c r="X372" s="58">
        <f>Z371*V372/1200</f>
        <v/>
      </c>
      <c r="Y372" s="58">
        <f>IF(AND(BANCO_OK_4,B372&lt;=MESES),IF(OR(B372=MESES,W372-X372&gt;Z371),Z371,W372-X372),0)</f>
        <v/>
      </c>
      <c r="Z372" s="58">
        <f>Z371-Y372</f>
        <v/>
      </c>
      <c r="AA372" s="58">
        <f>IF(AND(BANCO_OK_4,B372&lt;=MESES),X372+Y372+VINC_MES_4,0)</f>
        <v/>
      </c>
    </row>
    <row r="373">
      <c r="B373" s="56" t="n">
        <v>365</v>
      </c>
      <c r="C373" s="56">
        <f>ROUNDUP(B373/12,0)</f>
        <v/>
      </c>
      <c r="D373" s="52">
        <f>IF(AND(BANCO_OK_1,B373&lt;=MESES),IF(OR(OF_TIPO_1="Fija",C373&lt;=OF_ANIOS_INI_1),OF_TIN_1,MAX(0,EURIBOR+OF_DIF_1)),0)</f>
        <v/>
      </c>
      <c r="E373" s="58">
        <f>IF(AND(BANCO_OK_1,B373&lt;=MESES),IF(OR(B373=1,D373&lt;&gt;D372),PMT(D373/1200,MESES-B373+1,-H372),E372),0)</f>
        <v/>
      </c>
      <c r="F373" s="58">
        <f>H372*D373/1200</f>
        <v/>
      </c>
      <c r="G373" s="58">
        <f>IF(AND(BANCO_OK_1,B373&lt;=MESES),IF(OR(B373=MESES,E373-F373&gt;H372),H372,E373-F373),0)</f>
        <v/>
      </c>
      <c r="H373" s="58">
        <f>H372-G373</f>
        <v/>
      </c>
      <c r="I373" s="58">
        <f>IF(AND(BANCO_OK_1,B373&lt;=MESES),F373+G373+VINC_MES_1,0)</f>
        <v/>
      </c>
      <c r="J373" s="52">
        <f>IF(AND(BANCO_OK_2,B373&lt;=MESES),IF(OR(OF_TIPO_2="Fija",C373&lt;=OF_ANIOS_INI_2),OF_TIN_2,MAX(0,EURIBOR+OF_DIF_2)),0)</f>
        <v/>
      </c>
      <c r="K373" s="58">
        <f>IF(AND(BANCO_OK_2,B373&lt;=MESES),IF(OR(B373=1,J373&lt;&gt;J372),PMT(J373/1200,MESES-B373+1,-N372),K372),0)</f>
        <v/>
      </c>
      <c r="L373" s="58">
        <f>N372*J373/1200</f>
        <v/>
      </c>
      <c r="M373" s="58">
        <f>IF(AND(BANCO_OK_2,B373&lt;=MESES),IF(OR(B373=MESES,K373-L373&gt;N372),N372,K373-L373),0)</f>
        <v/>
      </c>
      <c r="N373" s="58">
        <f>N372-M373</f>
        <v/>
      </c>
      <c r="O373" s="58">
        <f>IF(AND(BANCO_OK_2,B373&lt;=MESES),L373+M373+VINC_MES_2,0)</f>
        <v/>
      </c>
      <c r="P373" s="52">
        <f>IF(AND(BANCO_OK_3,B373&lt;=MESES),IF(OR(OF_TIPO_3="Fija",C373&lt;=OF_ANIOS_INI_3),OF_TIN_3,MAX(0,EURIBOR+OF_DIF_3)),0)</f>
        <v/>
      </c>
      <c r="Q373" s="58">
        <f>IF(AND(BANCO_OK_3,B373&lt;=MESES),IF(OR(B373=1,P373&lt;&gt;P372),PMT(P373/1200,MESES-B373+1,-T372),Q372),0)</f>
        <v/>
      </c>
      <c r="R373" s="58">
        <f>T372*P373/1200</f>
        <v/>
      </c>
      <c r="S373" s="58">
        <f>IF(AND(BANCO_OK_3,B373&lt;=MESES),IF(OR(B373=MESES,Q373-R373&gt;T372),T372,Q373-R373),0)</f>
        <v/>
      </c>
      <c r="T373" s="58">
        <f>T372-S373</f>
        <v/>
      </c>
      <c r="U373" s="58">
        <f>IF(AND(BANCO_OK_3,B373&lt;=MESES),R373+S373+VINC_MES_3,0)</f>
        <v/>
      </c>
      <c r="V373" s="52">
        <f>IF(AND(BANCO_OK_4,B373&lt;=MESES),IF(OR(OF_TIPO_4="Fija",C373&lt;=OF_ANIOS_INI_4),OF_TIN_4,MAX(0,EURIBOR+OF_DIF_4)),0)</f>
        <v/>
      </c>
      <c r="W373" s="58">
        <f>IF(AND(BANCO_OK_4,B373&lt;=MESES),IF(OR(B373=1,V373&lt;&gt;V372),PMT(V373/1200,MESES-B373+1,-Z372),W372),0)</f>
        <v/>
      </c>
      <c r="X373" s="58">
        <f>Z372*V373/1200</f>
        <v/>
      </c>
      <c r="Y373" s="58">
        <f>IF(AND(BANCO_OK_4,B373&lt;=MESES),IF(OR(B373=MESES,W373-X373&gt;Z372),Z372,W373-X373),0)</f>
        <v/>
      </c>
      <c r="Z373" s="58">
        <f>Z372-Y373</f>
        <v/>
      </c>
      <c r="AA373" s="58">
        <f>IF(AND(BANCO_OK_4,B373&lt;=MESES),X373+Y373+VINC_MES_4,0)</f>
        <v/>
      </c>
    </row>
    <row r="374">
      <c r="B374" s="56" t="n">
        <v>366</v>
      </c>
      <c r="C374" s="56">
        <f>ROUNDUP(B374/12,0)</f>
        <v/>
      </c>
      <c r="D374" s="52">
        <f>IF(AND(BANCO_OK_1,B374&lt;=MESES),IF(OR(OF_TIPO_1="Fija",C374&lt;=OF_ANIOS_INI_1),OF_TIN_1,MAX(0,EURIBOR+OF_DIF_1)),0)</f>
        <v/>
      </c>
      <c r="E374" s="58">
        <f>IF(AND(BANCO_OK_1,B374&lt;=MESES),IF(OR(B374=1,D374&lt;&gt;D373),PMT(D374/1200,MESES-B374+1,-H373),E373),0)</f>
        <v/>
      </c>
      <c r="F374" s="58">
        <f>H373*D374/1200</f>
        <v/>
      </c>
      <c r="G374" s="58">
        <f>IF(AND(BANCO_OK_1,B374&lt;=MESES),IF(OR(B374=MESES,E374-F374&gt;H373),H373,E374-F374),0)</f>
        <v/>
      </c>
      <c r="H374" s="58">
        <f>H373-G374</f>
        <v/>
      </c>
      <c r="I374" s="58">
        <f>IF(AND(BANCO_OK_1,B374&lt;=MESES),F374+G374+VINC_MES_1,0)</f>
        <v/>
      </c>
      <c r="J374" s="52">
        <f>IF(AND(BANCO_OK_2,B374&lt;=MESES),IF(OR(OF_TIPO_2="Fija",C374&lt;=OF_ANIOS_INI_2),OF_TIN_2,MAX(0,EURIBOR+OF_DIF_2)),0)</f>
        <v/>
      </c>
      <c r="K374" s="58">
        <f>IF(AND(BANCO_OK_2,B374&lt;=MESES),IF(OR(B374=1,J374&lt;&gt;J373),PMT(J374/1200,MESES-B374+1,-N373),K373),0)</f>
        <v/>
      </c>
      <c r="L374" s="58">
        <f>N373*J374/1200</f>
        <v/>
      </c>
      <c r="M374" s="58">
        <f>IF(AND(BANCO_OK_2,B374&lt;=MESES),IF(OR(B374=MESES,K374-L374&gt;N373),N373,K374-L374),0)</f>
        <v/>
      </c>
      <c r="N374" s="58">
        <f>N373-M374</f>
        <v/>
      </c>
      <c r="O374" s="58">
        <f>IF(AND(BANCO_OK_2,B374&lt;=MESES),L374+M374+VINC_MES_2,0)</f>
        <v/>
      </c>
      <c r="P374" s="52">
        <f>IF(AND(BANCO_OK_3,B374&lt;=MESES),IF(OR(OF_TIPO_3="Fija",C374&lt;=OF_ANIOS_INI_3),OF_TIN_3,MAX(0,EURIBOR+OF_DIF_3)),0)</f>
        <v/>
      </c>
      <c r="Q374" s="58">
        <f>IF(AND(BANCO_OK_3,B374&lt;=MESES),IF(OR(B374=1,P374&lt;&gt;P373),PMT(P374/1200,MESES-B374+1,-T373),Q373),0)</f>
        <v/>
      </c>
      <c r="R374" s="58">
        <f>T373*P374/1200</f>
        <v/>
      </c>
      <c r="S374" s="58">
        <f>IF(AND(BANCO_OK_3,B374&lt;=MESES),IF(OR(B374=MESES,Q374-R374&gt;T373),T373,Q374-R374),0)</f>
        <v/>
      </c>
      <c r="T374" s="58">
        <f>T373-S374</f>
        <v/>
      </c>
      <c r="U374" s="58">
        <f>IF(AND(BANCO_OK_3,B374&lt;=MESES),R374+S374+VINC_MES_3,0)</f>
        <v/>
      </c>
      <c r="V374" s="52">
        <f>IF(AND(BANCO_OK_4,B374&lt;=MESES),IF(OR(OF_TIPO_4="Fija",C374&lt;=OF_ANIOS_INI_4),OF_TIN_4,MAX(0,EURIBOR+OF_DIF_4)),0)</f>
        <v/>
      </c>
      <c r="W374" s="58">
        <f>IF(AND(BANCO_OK_4,B374&lt;=MESES),IF(OR(B374=1,V374&lt;&gt;V373),PMT(V374/1200,MESES-B374+1,-Z373),W373),0)</f>
        <v/>
      </c>
      <c r="X374" s="58">
        <f>Z373*V374/1200</f>
        <v/>
      </c>
      <c r="Y374" s="58">
        <f>IF(AND(BANCO_OK_4,B374&lt;=MESES),IF(OR(B374=MESES,W374-X374&gt;Z373),Z373,W374-X374),0)</f>
        <v/>
      </c>
      <c r="Z374" s="58">
        <f>Z373-Y374</f>
        <v/>
      </c>
      <c r="AA374" s="58">
        <f>IF(AND(BANCO_OK_4,B374&lt;=MESES),X374+Y374+VINC_MES_4,0)</f>
        <v/>
      </c>
    </row>
    <row r="375">
      <c r="B375" s="56" t="n">
        <v>367</v>
      </c>
      <c r="C375" s="56">
        <f>ROUNDUP(B375/12,0)</f>
        <v/>
      </c>
      <c r="D375" s="52">
        <f>IF(AND(BANCO_OK_1,B375&lt;=MESES),IF(OR(OF_TIPO_1="Fija",C375&lt;=OF_ANIOS_INI_1),OF_TIN_1,MAX(0,EURIBOR+OF_DIF_1)),0)</f>
        <v/>
      </c>
      <c r="E375" s="58">
        <f>IF(AND(BANCO_OK_1,B375&lt;=MESES),IF(OR(B375=1,D375&lt;&gt;D374),PMT(D375/1200,MESES-B375+1,-H374),E374),0)</f>
        <v/>
      </c>
      <c r="F375" s="58">
        <f>H374*D375/1200</f>
        <v/>
      </c>
      <c r="G375" s="58">
        <f>IF(AND(BANCO_OK_1,B375&lt;=MESES),IF(OR(B375=MESES,E375-F375&gt;H374),H374,E375-F375),0)</f>
        <v/>
      </c>
      <c r="H375" s="58">
        <f>H374-G375</f>
        <v/>
      </c>
      <c r="I375" s="58">
        <f>IF(AND(BANCO_OK_1,B375&lt;=MESES),F375+G375+VINC_MES_1,0)</f>
        <v/>
      </c>
      <c r="J375" s="52">
        <f>IF(AND(BANCO_OK_2,B375&lt;=MESES),IF(OR(OF_TIPO_2="Fija",C375&lt;=OF_ANIOS_INI_2),OF_TIN_2,MAX(0,EURIBOR+OF_DIF_2)),0)</f>
        <v/>
      </c>
      <c r="K375" s="58">
        <f>IF(AND(BANCO_OK_2,B375&lt;=MESES),IF(OR(B375=1,J375&lt;&gt;J374),PMT(J375/1200,MESES-B375+1,-N374),K374),0)</f>
        <v/>
      </c>
      <c r="L375" s="58">
        <f>N374*J375/1200</f>
        <v/>
      </c>
      <c r="M375" s="58">
        <f>IF(AND(BANCO_OK_2,B375&lt;=MESES),IF(OR(B375=MESES,K375-L375&gt;N374),N374,K375-L375),0)</f>
        <v/>
      </c>
      <c r="N375" s="58">
        <f>N374-M375</f>
        <v/>
      </c>
      <c r="O375" s="58">
        <f>IF(AND(BANCO_OK_2,B375&lt;=MESES),L375+M375+VINC_MES_2,0)</f>
        <v/>
      </c>
      <c r="P375" s="52">
        <f>IF(AND(BANCO_OK_3,B375&lt;=MESES),IF(OR(OF_TIPO_3="Fija",C375&lt;=OF_ANIOS_INI_3),OF_TIN_3,MAX(0,EURIBOR+OF_DIF_3)),0)</f>
        <v/>
      </c>
      <c r="Q375" s="58">
        <f>IF(AND(BANCO_OK_3,B375&lt;=MESES),IF(OR(B375=1,P375&lt;&gt;P374),PMT(P375/1200,MESES-B375+1,-T374),Q374),0)</f>
        <v/>
      </c>
      <c r="R375" s="58">
        <f>T374*P375/1200</f>
        <v/>
      </c>
      <c r="S375" s="58">
        <f>IF(AND(BANCO_OK_3,B375&lt;=MESES),IF(OR(B375=MESES,Q375-R375&gt;T374),T374,Q375-R375),0)</f>
        <v/>
      </c>
      <c r="T375" s="58">
        <f>T374-S375</f>
        <v/>
      </c>
      <c r="U375" s="58">
        <f>IF(AND(BANCO_OK_3,B375&lt;=MESES),R375+S375+VINC_MES_3,0)</f>
        <v/>
      </c>
      <c r="V375" s="52">
        <f>IF(AND(BANCO_OK_4,B375&lt;=MESES),IF(OR(OF_TIPO_4="Fija",C375&lt;=OF_ANIOS_INI_4),OF_TIN_4,MAX(0,EURIBOR+OF_DIF_4)),0)</f>
        <v/>
      </c>
      <c r="W375" s="58">
        <f>IF(AND(BANCO_OK_4,B375&lt;=MESES),IF(OR(B375=1,V375&lt;&gt;V374),PMT(V375/1200,MESES-B375+1,-Z374),W374),0)</f>
        <v/>
      </c>
      <c r="X375" s="58">
        <f>Z374*V375/1200</f>
        <v/>
      </c>
      <c r="Y375" s="58">
        <f>IF(AND(BANCO_OK_4,B375&lt;=MESES),IF(OR(B375=MESES,W375-X375&gt;Z374),Z374,W375-X375),0)</f>
        <v/>
      </c>
      <c r="Z375" s="58">
        <f>Z374-Y375</f>
        <v/>
      </c>
      <c r="AA375" s="58">
        <f>IF(AND(BANCO_OK_4,B375&lt;=MESES),X375+Y375+VINC_MES_4,0)</f>
        <v/>
      </c>
    </row>
    <row r="376">
      <c r="B376" s="56" t="n">
        <v>368</v>
      </c>
      <c r="C376" s="56">
        <f>ROUNDUP(B376/12,0)</f>
        <v/>
      </c>
      <c r="D376" s="52">
        <f>IF(AND(BANCO_OK_1,B376&lt;=MESES),IF(OR(OF_TIPO_1="Fija",C376&lt;=OF_ANIOS_INI_1),OF_TIN_1,MAX(0,EURIBOR+OF_DIF_1)),0)</f>
        <v/>
      </c>
      <c r="E376" s="58">
        <f>IF(AND(BANCO_OK_1,B376&lt;=MESES),IF(OR(B376=1,D376&lt;&gt;D375),PMT(D376/1200,MESES-B376+1,-H375),E375),0)</f>
        <v/>
      </c>
      <c r="F376" s="58">
        <f>H375*D376/1200</f>
        <v/>
      </c>
      <c r="G376" s="58">
        <f>IF(AND(BANCO_OK_1,B376&lt;=MESES),IF(OR(B376=MESES,E376-F376&gt;H375),H375,E376-F376),0)</f>
        <v/>
      </c>
      <c r="H376" s="58">
        <f>H375-G376</f>
        <v/>
      </c>
      <c r="I376" s="58">
        <f>IF(AND(BANCO_OK_1,B376&lt;=MESES),F376+G376+VINC_MES_1,0)</f>
        <v/>
      </c>
      <c r="J376" s="52">
        <f>IF(AND(BANCO_OK_2,B376&lt;=MESES),IF(OR(OF_TIPO_2="Fija",C376&lt;=OF_ANIOS_INI_2),OF_TIN_2,MAX(0,EURIBOR+OF_DIF_2)),0)</f>
        <v/>
      </c>
      <c r="K376" s="58">
        <f>IF(AND(BANCO_OK_2,B376&lt;=MESES),IF(OR(B376=1,J376&lt;&gt;J375),PMT(J376/1200,MESES-B376+1,-N375),K375),0)</f>
        <v/>
      </c>
      <c r="L376" s="58">
        <f>N375*J376/1200</f>
        <v/>
      </c>
      <c r="M376" s="58">
        <f>IF(AND(BANCO_OK_2,B376&lt;=MESES),IF(OR(B376=MESES,K376-L376&gt;N375),N375,K376-L376),0)</f>
        <v/>
      </c>
      <c r="N376" s="58">
        <f>N375-M376</f>
        <v/>
      </c>
      <c r="O376" s="58">
        <f>IF(AND(BANCO_OK_2,B376&lt;=MESES),L376+M376+VINC_MES_2,0)</f>
        <v/>
      </c>
      <c r="P376" s="52">
        <f>IF(AND(BANCO_OK_3,B376&lt;=MESES),IF(OR(OF_TIPO_3="Fija",C376&lt;=OF_ANIOS_INI_3),OF_TIN_3,MAX(0,EURIBOR+OF_DIF_3)),0)</f>
        <v/>
      </c>
      <c r="Q376" s="58">
        <f>IF(AND(BANCO_OK_3,B376&lt;=MESES),IF(OR(B376=1,P376&lt;&gt;P375),PMT(P376/1200,MESES-B376+1,-T375),Q375),0)</f>
        <v/>
      </c>
      <c r="R376" s="58">
        <f>T375*P376/1200</f>
        <v/>
      </c>
      <c r="S376" s="58">
        <f>IF(AND(BANCO_OK_3,B376&lt;=MESES),IF(OR(B376=MESES,Q376-R376&gt;T375),T375,Q376-R376),0)</f>
        <v/>
      </c>
      <c r="T376" s="58">
        <f>T375-S376</f>
        <v/>
      </c>
      <c r="U376" s="58">
        <f>IF(AND(BANCO_OK_3,B376&lt;=MESES),R376+S376+VINC_MES_3,0)</f>
        <v/>
      </c>
      <c r="V376" s="52">
        <f>IF(AND(BANCO_OK_4,B376&lt;=MESES),IF(OR(OF_TIPO_4="Fija",C376&lt;=OF_ANIOS_INI_4),OF_TIN_4,MAX(0,EURIBOR+OF_DIF_4)),0)</f>
        <v/>
      </c>
      <c r="W376" s="58">
        <f>IF(AND(BANCO_OK_4,B376&lt;=MESES),IF(OR(B376=1,V376&lt;&gt;V375),PMT(V376/1200,MESES-B376+1,-Z375),W375),0)</f>
        <v/>
      </c>
      <c r="X376" s="58">
        <f>Z375*V376/1200</f>
        <v/>
      </c>
      <c r="Y376" s="58">
        <f>IF(AND(BANCO_OK_4,B376&lt;=MESES),IF(OR(B376=MESES,W376-X376&gt;Z375),Z375,W376-X376),0)</f>
        <v/>
      </c>
      <c r="Z376" s="58">
        <f>Z375-Y376</f>
        <v/>
      </c>
      <c r="AA376" s="58">
        <f>IF(AND(BANCO_OK_4,B376&lt;=MESES),X376+Y376+VINC_MES_4,0)</f>
        <v/>
      </c>
    </row>
    <row r="377">
      <c r="B377" s="56" t="n">
        <v>369</v>
      </c>
      <c r="C377" s="56">
        <f>ROUNDUP(B377/12,0)</f>
        <v/>
      </c>
      <c r="D377" s="52">
        <f>IF(AND(BANCO_OK_1,B377&lt;=MESES),IF(OR(OF_TIPO_1="Fija",C377&lt;=OF_ANIOS_INI_1),OF_TIN_1,MAX(0,EURIBOR+OF_DIF_1)),0)</f>
        <v/>
      </c>
      <c r="E377" s="58">
        <f>IF(AND(BANCO_OK_1,B377&lt;=MESES),IF(OR(B377=1,D377&lt;&gt;D376),PMT(D377/1200,MESES-B377+1,-H376),E376),0)</f>
        <v/>
      </c>
      <c r="F377" s="58">
        <f>H376*D377/1200</f>
        <v/>
      </c>
      <c r="G377" s="58">
        <f>IF(AND(BANCO_OK_1,B377&lt;=MESES),IF(OR(B377=MESES,E377-F377&gt;H376),H376,E377-F377),0)</f>
        <v/>
      </c>
      <c r="H377" s="58">
        <f>H376-G377</f>
        <v/>
      </c>
      <c r="I377" s="58">
        <f>IF(AND(BANCO_OK_1,B377&lt;=MESES),F377+G377+VINC_MES_1,0)</f>
        <v/>
      </c>
      <c r="J377" s="52">
        <f>IF(AND(BANCO_OK_2,B377&lt;=MESES),IF(OR(OF_TIPO_2="Fija",C377&lt;=OF_ANIOS_INI_2),OF_TIN_2,MAX(0,EURIBOR+OF_DIF_2)),0)</f>
        <v/>
      </c>
      <c r="K377" s="58">
        <f>IF(AND(BANCO_OK_2,B377&lt;=MESES),IF(OR(B377=1,J377&lt;&gt;J376),PMT(J377/1200,MESES-B377+1,-N376),K376),0)</f>
        <v/>
      </c>
      <c r="L377" s="58">
        <f>N376*J377/1200</f>
        <v/>
      </c>
      <c r="M377" s="58">
        <f>IF(AND(BANCO_OK_2,B377&lt;=MESES),IF(OR(B377=MESES,K377-L377&gt;N376),N376,K377-L377),0)</f>
        <v/>
      </c>
      <c r="N377" s="58">
        <f>N376-M377</f>
        <v/>
      </c>
      <c r="O377" s="58">
        <f>IF(AND(BANCO_OK_2,B377&lt;=MESES),L377+M377+VINC_MES_2,0)</f>
        <v/>
      </c>
      <c r="P377" s="52">
        <f>IF(AND(BANCO_OK_3,B377&lt;=MESES),IF(OR(OF_TIPO_3="Fija",C377&lt;=OF_ANIOS_INI_3),OF_TIN_3,MAX(0,EURIBOR+OF_DIF_3)),0)</f>
        <v/>
      </c>
      <c r="Q377" s="58">
        <f>IF(AND(BANCO_OK_3,B377&lt;=MESES),IF(OR(B377=1,P377&lt;&gt;P376),PMT(P377/1200,MESES-B377+1,-T376),Q376),0)</f>
        <v/>
      </c>
      <c r="R377" s="58">
        <f>T376*P377/1200</f>
        <v/>
      </c>
      <c r="S377" s="58">
        <f>IF(AND(BANCO_OK_3,B377&lt;=MESES),IF(OR(B377=MESES,Q377-R377&gt;T376),T376,Q377-R377),0)</f>
        <v/>
      </c>
      <c r="T377" s="58">
        <f>T376-S377</f>
        <v/>
      </c>
      <c r="U377" s="58">
        <f>IF(AND(BANCO_OK_3,B377&lt;=MESES),R377+S377+VINC_MES_3,0)</f>
        <v/>
      </c>
      <c r="V377" s="52">
        <f>IF(AND(BANCO_OK_4,B377&lt;=MESES),IF(OR(OF_TIPO_4="Fija",C377&lt;=OF_ANIOS_INI_4),OF_TIN_4,MAX(0,EURIBOR+OF_DIF_4)),0)</f>
        <v/>
      </c>
      <c r="W377" s="58">
        <f>IF(AND(BANCO_OK_4,B377&lt;=MESES),IF(OR(B377=1,V377&lt;&gt;V376),PMT(V377/1200,MESES-B377+1,-Z376),W376),0)</f>
        <v/>
      </c>
      <c r="X377" s="58">
        <f>Z376*V377/1200</f>
        <v/>
      </c>
      <c r="Y377" s="58">
        <f>IF(AND(BANCO_OK_4,B377&lt;=MESES),IF(OR(B377=MESES,W377-X377&gt;Z376),Z376,W377-X377),0)</f>
        <v/>
      </c>
      <c r="Z377" s="58">
        <f>Z376-Y377</f>
        <v/>
      </c>
      <c r="AA377" s="58">
        <f>IF(AND(BANCO_OK_4,B377&lt;=MESES),X377+Y377+VINC_MES_4,0)</f>
        <v/>
      </c>
    </row>
    <row r="378">
      <c r="B378" s="56" t="n">
        <v>370</v>
      </c>
      <c r="C378" s="56">
        <f>ROUNDUP(B378/12,0)</f>
        <v/>
      </c>
      <c r="D378" s="52">
        <f>IF(AND(BANCO_OK_1,B378&lt;=MESES),IF(OR(OF_TIPO_1="Fija",C378&lt;=OF_ANIOS_INI_1),OF_TIN_1,MAX(0,EURIBOR+OF_DIF_1)),0)</f>
        <v/>
      </c>
      <c r="E378" s="58">
        <f>IF(AND(BANCO_OK_1,B378&lt;=MESES),IF(OR(B378=1,D378&lt;&gt;D377),PMT(D378/1200,MESES-B378+1,-H377),E377),0)</f>
        <v/>
      </c>
      <c r="F378" s="58">
        <f>H377*D378/1200</f>
        <v/>
      </c>
      <c r="G378" s="58">
        <f>IF(AND(BANCO_OK_1,B378&lt;=MESES),IF(OR(B378=MESES,E378-F378&gt;H377),H377,E378-F378),0)</f>
        <v/>
      </c>
      <c r="H378" s="58">
        <f>H377-G378</f>
        <v/>
      </c>
      <c r="I378" s="58">
        <f>IF(AND(BANCO_OK_1,B378&lt;=MESES),F378+G378+VINC_MES_1,0)</f>
        <v/>
      </c>
      <c r="J378" s="52">
        <f>IF(AND(BANCO_OK_2,B378&lt;=MESES),IF(OR(OF_TIPO_2="Fija",C378&lt;=OF_ANIOS_INI_2),OF_TIN_2,MAX(0,EURIBOR+OF_DIF_2)),0)</f>
        <v/>
      </c>
      <c r="K378" s="58">
        <f>IF(AND(BANCO_OK_2,B378&lt;=MESES),IF(OR(B378=1,J378&lt;&gt;J377),PMT(J378/1200,MESES-B378+1,-N377),K377),0)</f>
        <v/>
      </c>
      <c r="L378" s="58">
        <f>N377*J378/1200</f>
        <v/>
      </c>
      <c r="M378" s="58">
        <f>IF(AND(BANCO_OK_2,B378&lt;=MESES),IF(OR(B378=MESES,K378-L378&gt;N377),N377,K378-L378),0)</f>
        <v/>
      </c>
      <c r="N378" s="58">
        <f>N377-M378</f>
        <v/>
      </c>
      <c r="O378" s="58">
        <f>IF(AND(BANCO_OK_2,B378&lt;=MESES),L378+M378+VINC_MES_2,0)</f>
        <v/>
      </c>
      <c r="P378" s="52">
        <f>IF(AND(BANCO_OK_3,B378&lt;=MESES),IF(OR(OF_TIPO_3="Fija",C378&lt;=OF_ANIOS_INI_3),OF_TIN_3,MAX(0,EURIBOR+OF_DIF_3)),0)</f>
        <v/>
      </c>
      <c r="Q378" s="58">
        <f>IF(AND(BANCO_OK_3,B378&lt;=MESES),IF(OR(B378=1,P378&lt;&gt;P377),PMT(P378/1200,MESES-B378+1,-T377),Q377),0)</f>
        <v/>
      </c>
      <c r="R378" s="58">
        <f>T377*P378/1200</f>
        <v/>
      </c>
      <c r="S378" s="58">
        <f>IF(AND(BANCO_OK_3,B378&lt;=MESES),IF(OR(B378=MESES,Q378-R378&gt;T377),T377,Q378-R378),0)</f>
        <v/>
      </c>
      <c r="T378" s="58">
        <f>T377-S378</f>
        <v/>
      </c>
      <c r="U378" s="58">
        <f>IF(AND(BANCO_OK_3,B378&lt;=MESES),R378+S378+VINC_MES_3,0)</f>
        <v/>
      </c>
      <c r="V378" s="52">
        <f>IF(AND(BANCO_OK_4,B378&lt;=MESES),IF(OR(OF_TIPO_4="Fija",C378&lt;=OF_ANIOS_INI_4),OF_TIN_4,MAX(0,EURIBOR+OF_DIF_4)),0)</f>
        <v/>
      </c>
      <c r="W378" s="58">
        <f>IF(AND(BANCO_OK_4,B378&lt;=MESES),IF(OR(B378=1,V378&lt;&gt;V377),PMT(V378/1200,MESES-B378+1,-Z377),W377),0)</f>
        <v/>
      </c>
      <c r="X378" s="58">
        <f>Z377*V378/1200</f>
        <v/>
      </c>
      <c r="Y378" s="58">
        <f>IF(AND(BANCO_OK_4,B378&lt;=MESES),IF(OR(B378=MESES,W378-X378&gt;Z377),Z377,W378-X378),0)</f>
        <v/>
      </c>
      <c r="Z378" s="58">
        <f>Z377-Y378</f>
        <v/>
      </c>
      <c r="AA378" s="58">
        <f>IF(AND(BANCO_OK_4,B378&lt;=MESES),X378+Y378+VINC_MES_4,0)</f>
        <v/>
      </c>
    </row>
    <row r="379">
      <c r="B379" s="56" t="n">
        <v>371</v>
      </c>
      <c r="C379" s="56">
        <f>ROUNDUP(B379/12,0)</f>
        <v/>
      </c>
      <c r="D379" s="52">
        <f>IF(AND(BANCO_OK_1,B379&lt;=MESES),IF(OR(OF_TIPO_1="Fija",C379&lt;=OF_ANIOS_INI_1),OF_TIN_1,MAX(0,EURIBOR+OF_DIF_1)),0)</f>
        <v/>
      </c>
      <c r="E379" s="58">
        <f>IF(AND(BANCO_OK_1,B379&lt;=MESES),IF(OR(B379=1,D379&lt;&gt;D378),PMT(D379/1200,MESES-B379+1,-H378),E378),0)</f>
        <v/>
      </c>
      <c r="F379" s="58">
        <f>H378*D379/1200</f>
        <v/>
      </c>
      <c r="G379" s="58">
        <f>IF(AND(BANCO_OK_1,B379&lt;=MESES),IF(OR(B379=MESES,E379-F379&gt;H378),H378,E379-F379),0)</f>
        <v/>
      </c>
      <c r="H379" s="58">
        <f>H378-G379</f>
        <v/>
      </c>
      <c r="I379" s="58">
        <f>IF(AND(BANCO_OK_1,B379&lt;=MESES),F379+G379+VINC_MES_1,0)</f>
        <v/>
      </c>
      <c r="J379" s="52">
        <f>IF(AND(BANCO_OK_2,B379&lt;=MESES),IF(OR(OF_TIPO_2="Fija",C379&lt;=OF_ANIOS_INI_2),OF_TIN_2,MAX(0,EURIBOR+OF_DIF_2)),0)</f>
        <v/>
      </c>
      <c r="K379" s="58">
        <f>IF(AND(BANCO_OK_2,B379&lt;=MESES),IF(OR(B379=1,J379&lt;&gt;J378),PMT(J379/1200,MESES-B379+1,-N378),K378),0)</f>
        <v/>
      </c>
      <c r="L379" s="58">
        <f>N378*J379/1200</f>
        <v/>
      </c>
      <c r="M379" s="58">
        <f>IF(AND(BANCO_OK_2,B379&lt;=MESES),IF(OR(B379=MESES,K379-L379&gt;N378),N378,K379-L379),0)</f>
        <v/>
      </c>
      <c r="N379" s="58">
        <f>N378-M379</f>
        <v/>
      </c>
      <c r="O379" s="58">
        <f>IF(AND(BANCO_OK_2,B379&lt;=MESES),L379+M379+VINC_MES_2,0)</f>
        <v/>
      </c>
      <c r="P379" s="52">
        <f>IF(AND(BANCO_OK_3,B379&lt;=MESES),IF(OR(OF_TIPO_3="Fija",C379&lt;=OF_ANIOS_INI_3),OF_TIN_3,MAX(0,EURIBOR+OF_DIF_3)),0)</f>
        <v/>
      </c>
      <c r="Q379" s="58">
        <f>IF(AND(BANCO_OK_3,B379&lt;=MESES),IF(OR(B379=1,P379&lt;&gt;P378),PMT(P379/1200,MESES-B379+1,-T378),Q378),0)</f>
        <v/>
      </c>
      <c r="R379" s="58">
        <f>T378*P379/1200</f>
        <v/>
      </c>
      <c r="S379" s="58">
        <f>IF(AND(BANCO_OK_3,B379&lt;=MESES),IF(OR(B379=MESES,Q379-R379&gt;T378),T378,Q379-R379),0)</f>
        <v/>
      </c>
      <c r="T379" s="58">
        <f>T378-S379</f>
        <v/>
      </c>
      <c r="U379" s="58">
        <f>IF(AND(BANCO_OK_3,B379&lt;=MESES),R379+S379+VINC_MES_3,0)</f>
        <v/>
      </c>
      <c r="V379" s="52">
        <f>IF(AND(BANCO_OK_4,B379&lt;=MESES),IF(OR(OF_TIPO_4="Fija",C379&lt;=OF_ANIOS_INI_4),OF_TIN_4,MAX(0,EURIBOR+OF_DIF_4)),0)</f>
        <v/>
      </c>
      <c r="W379" s="58">
        <f>IF(AND(BANCO_OK_4,B379&lt;=MESES),IF(OR(B379=1,V379&lt;&gt;V378),PMT(V379/1200,MESES-B379+1,-Z378),W378),0)</f>
        <v/>
      </c>
      <c r="X379" s="58">
        <f>Z378*V379/1200</f>
        <v/>
      </c>
      <c r="Y379" s="58">
        <f>IF(AND(BANCO_OK_4,B379&lt;=MESES),IF(OR(B379=MESES,W379-X379&gt;Z378),Z378,W379-X379),0)</f>
        <v/>
      </c>
      <c r="Z379" s="58">
        <f>Z378-Y379</f>
        <v/>
      </c>
      <c r="AA379" s="58">
        <f>IF(AND(BANCO_OK_4,B379&lt;=MESES),X379+Y379+VINC_MES_4,0)</f>
        <v/>
      </c>
    </row>
    <row r="380">
      <c r="B380" s="56" t="n">
        <v>372</v>
      </c>
      <c r="C380" s="56">
        <f>ROUNDUP(B380/12,0)</f>
        <v/>
      </c>
      <c r="D380" s="52">
        <f>IF(AND(BANCO_OK_1,B380&lt;=MESES),IF(OR(OF_TIPO_1="Fija",C380&lt;=OF_ANIOS_INI_1),OF_TIN_1,MAX(0,EURIBOR+OF_DIF_1)),0)</f>
        <v/>
      </c>
      <c r="E380" s="58">
        <f>IF(AND(BANCO_OK_1,B380&lt;=MESES),IF(OR(B380=1,D380&lt;&gt;D379),PMT(D380/1200,MESES-B380+1,-H379),E379),0)</f>
        <v/>
      </c>
      <c r="F380" s="58">
        <f>H379*D380/1200</f>
        <v/>
      </c>
      <c r="G380" s="58">
        <f>IF(AND(BANCO_OK_1,B380&lt;=MESES),IF(OR(B380=MESES,E380-F380&gt;H379),H379,E380-F380),0)</f>
        <v/>
      </c>
      <c r="H380" s="58">
        <f>H379-G380</f>
        <v/>
      </c>
      <c r="I380" s="58">
        <f>IF(AND(BANCO_OK_1,B380&lt;=MESES),F380+G380+VINC_MES_1,0)</f>
        <v/>
      </c>
      <c r="J380" s="52">
        <f>IF(AND(BANCO_OK_2,B380&lt;=MESES),IF(OR(OF_TIPO_2="Fija",C380&lt;=OF_ANIOS_INI_2),OF_TIN_2,MAX(0,EURIBOR+OF_DIF_2)),0)</f>
        <v/>
      </c>
      <c r="K380" s="58">
        <f>IF(AND(BANCO_OK_2,B380&lt;=MESES),IF(OR(B380=1,J380&lt;&gt;J379),PMT(J380/1200,MESES-B380+1,-N379),K379),0)</f>
        <v/>
      </c>
      <c r="L380" s="58">
        <f>N379*J380/1200</f>
        <v/>
      </c>
      <c r="M380" s="58">
        <f>IF(AND(BANCO_OK_2,B380&lt;=MESES),IF(OR(B380=MESES,K380-L380&gt;N379),N379,K380-L380),0)</f>
        <v/>
      </c>
      <c r="N380" s="58">
        <f>N379-M380</f>
        <v/>
      </c>
      <c r="O380" s="58">
        <f>IF(AND(BANCO_OK_2,B380&lt;=MESES),L380+M380+VINC_MES_2,0)</f>
        <v/>
      </c>
      <c r="P380" s="52">
        <f>IF(AND(BANCO_OK_3,B380&lt;=MESES),IF(OR(OF_TIPO_3="Fija",C380&lt;=OF_ANIOS_INI_3),OF_TIN_3,MAX(0,EURIBOR+OF_DIF_3)),0)</f>
        <v/>
      </c>
      <c r="Q380" s="58">
        <f>IF(AND(BANCO_OK_3,B380&lt;=MESES),IF(OR(B380=1,P380&lt;&gt;P379),PMT(P380/1200,MESES-B380+1,-T379),Q379),0)</f>
        <v/>
      </c>
      <c r="R380" s="58">
        <f>T379*P380/1200</f>
        <v/>
      </c>
      <c r="S380" s="58">
        <f>IF(AND(BANCO_OK_3,B380&lt;=MESES),IF(OR(B380=MESES,Q380-R380&gt;T379),T379,Q380-R380),0)</f>
        <v/>
      </c>
      <c r="T380" s="58">
        <f>T379-S380</f>
        <v/>
      </c>
      <c r="U380" s="58">
        <f>IF(AND(BANCO_OK_3,B380&lt;=MESES),R380+S380+VINC_MES_3,0)</f>
        <v/>
      </c>
      <c r="V380" s="52">
        <f>IF(AND(BANCO_OK_4,B380&lt;=MESES),IF(OR(OF_TIPO_4="Fija",C380&lt;=OF_ANIOS_INI_4),OF_TIN_4,MAX(0,EURIBOR+OF_DIF_4)),0)</f>
        <v/>
      </c>
      <c r="W380" s="58">
        <f>IF(AND(BANCO_OK_4,B380&lt;=MESES),IF(OR(B380=1,V380&lt;&gt;V379),PMT(V380/1200,MESES-B380+1,-Z379),W379),0)</f>
        <v/>
      </c>
      <c r="X380" s="58">
        <f>Z379*V380/1200</f>
        <v/>
      </c>
      <c r="Y380" s="58">
        <f>IF(AND(BANCO_OK_4,B380&lt;=MESES),IF(OR(B380=MESES,W380-X380&gt;Z379),Z379,W380-X380),0)</f>
        <v/>
      </c>
      <c r="Z380" s="58">
        <f>Z379-Y380</f>
        <v/>
      </c>
      <c r="AA380" s="58">
        <f>IF(AND(BANCO_OK_4,B380&lt;=MESES),X380+Y380+VINC_MES_4,0)</f>
        <v/>
      </c>
    </row>
    <row r="381">
      <c r="B381" s="56" t="n">
        <v>373</v>
      </c>
      <c r="C381" s="56">
        <f>ROUNDUP(B381/12,0)</f>
        <v/>
      </c>
      <c r="D381" s="52">
        <f>IF(AND(BANCO_OK_1,B381&lt;=MESES),IF(OR(OF_TIPO_1="Fija",C381&lt;=OF_ANIOS_INI_1),OF_TIN_1,MAX(0,EURIBOR+OF_DIF_1)),0)</f>
        <v/>
      </c>
      <c r="E381" s="58">
        <f>IF(AND(BANCO_OK_1,B381&lt;=MESES),IF(OR(B381=1,D381&lt;&gt;D380),PMT(D381/1200,MESES-B381+1,-H380),E380),0)</f>
        <v/>
      </c>
      <c r="F381" s="58">
        <f>H380*D381/1200</f>
        <v/>
      </c>
      <c r="G381" s="58">
        <f>IF(AND(BANCO_OK_1,B381&lt;=MESES),IF(OR(B381=MESES,E381-F381&gt;H380),H380,E381-F381),0)</f>
        <v/>
      </c>
      <c r="H381" s="58">
        <f>H380-G381</f>
        <v/>
      </c>
      <c r="I381" s="58">
        <f>IF(AND(BANCO_OK_1,B381&lt;=MESES),F381+G381+VINC_MES_1,0)</f>
        <v/>
      </c>
      <c r="J381" s="52">
        <f>IF(AND(BANCO_OK_2,B381&lt;=MESES),IF(OR(OF_TIPO_2="Fija",C381&lt;=OF_ANIOS_INI_2),OF_TIN_2,MAX(0,EURIBOR+OF_DIF_2)),0)</f>
        <v/>
      </c>
      <c r="K381" s="58">
        <f>IF(AND(BANCO_OK_2,B381&lt;=MESES),IF(OR(B381=1,J381&lt;&gt;J380),PMT(J381/1200,MESES-B381+1,-N380),K380),0)</f>
        <v/>
      </c>
      <c r="L381" s="58">
        <f>N380*J381/1200</f>
        <v/>
      </c>
      <c r="M381" s="58">
        <f>IF(AND(BANCO_OK_2,B381&lt;=MESES),IF(OR(B381=MESES,K381-L381&gt;N380),N380,K381-L381),0)</f>
        <v/>
      </c>
      <c r="N381" s="58">
        <f>N380-M381</f>
        <v/>
      </c>
      <c r="O381" s="58">
        <f>IF(AND(BANCO_OK_2,B381&lt;=MESES),L381+M381+VINC_MES_2,0)</f>
        <v/>
      </c>
      <c r="P381" s="52">
        <f>IF(AND(BANCO_OK_3,B381&lt;=MESES),IF(OR(OF_TIPO_3="Fija",C381&lt;=OF_ANIOS_INI_3),OF_TIN_3,MAX(0,EURIBOR+OF_DIF_3)),0)</f>
        <v/>
      </c>
      <c r="Q381" s="58">
        <f>IF(AND(BANCO_OK_3,B381&lt;=MESES),IF(OR(B381=1,P381&lt;&gt;P380),PMT(P381/1200,MESES-B381+1,-T380),Q380),0)</f>
        <v/>
      </c>
      <c r="R381" s="58">
        <f>T380*P381/1200</f>
        <v/>
      </c>
      <c r="S381" s="58">
        <f>IF(AND(BANCO_OK_3,B381&lt;=MESES),IF(OR(B381=MESES,Q381-R381&gt;T380),T380,Q381-R381),0)</f>
        <v/>
      </c>
      <c r="T381" s="58">
        <f>T380-S381</f>
        <v/>
      </c>
      <c r="U381" s="58">
        <f>IF(AND(BANCO_OK_3,B381&lt;=MESES),R381+S381+VINC_MES_3,0)</f>
        <v/>
      </c>
      <c r="V381" s="52">
        <f>IF(AND(BANCO_OK_4,B381&lt;=MESES),IF(OR(OF_TIPO_4="Fija",C381&lt;=OF_ANIOS_INI_4),OF_TIN_4,MAX(0,EURIBOR+OF_DIF_4)),0)</f>
        <v/>
      </c>
      <c r="W381" s="58">
        <f>IF(AND(BANCO_OK_4,B381&lt;=MESES),IF(OR(B381=1,V381&lt;&gt;V380),PMT(V381/1200,MESES-B381+1,-Z380),W380),0)</f>
        <v/>
      </c>
      <c r="X381" s="58">
        <f>Z380*V381/1200</f>
        <v/>
      </c>
      <c r="Y381" s="58">
        <f>IF(AND(BANCO_OK_4,B381&lt;=MESES),IF(OR(B381=MESES,W381-X381&gt;Z380),Z380,W381-X381),0)</f>
        <v/>
      </c>
      <c r="Z381" s="58">
        <f>Z380-Y381</f>
        <v/>
      </c>
      <c r="AA381" s="58">
        <f>IF(AND(BANCO_OK_4,B381&lt;=MESES),X381+Y381+VINC_MES_4,0)</f>
        <v/>
      </c>
    </row>
    <row r="382">
      <c r="B382" s="56" t="n">
        <v>374</v>
      </c>
      <c r="C382" s="56">
        <f>ROUNDUP(B382/12,0)</f>
        <v/>
      </c>
      <c r="D382" s="52">
        <f>IF(AND(BANCO_OK_1,B382&lt;=MESES),IF(OR(OF_TIPO_1="Fija",C382&lt;=OF_ANIOS_INI_1),OF_TIN_1,MAX(0,EURIBOR+OF_DIF_1)),0)</f>
        <v/>
      </c>
      <c r="E382" s="58">
        <f>IF(AND(BANCO_OK_1,B382&lt;=MESES),IF(OR(B382=1,D382&lt;&gt;D381),PMT(D382/1200,MESES-B382+1,-H381),E381),0)</f>
        <v/>
      </c>
      <c r="F382" s="58">
        <f>H381*D382/1200</f>
        <v/>
      </c>
      <c r="G382" s="58">
        <f>IF(AND(BANCO_OK_1,B382&lt;=MESES),IF(OR(B382=MESES,E382-F382&gt;H381),H381,E382-F382),0)</f>
        <v/>
      </c>
      <c r="H382" s="58">
        <f>H381-G382</f>
        <v/>
      </c>
      <c r="I382" s="58">
        <f>IF(AND(BANCO_OK_1,B382&lt;=MESES),F382+G382+VINC_MES_1,0)</f>
        <v/>
      </c>
      <c r="J382" s="52">
        <f>IF(AND(BANCO_OK_2,B382&lt;=MESES),IF(OR(OF_TIPO_2="Fija",C382&lt;=OF_ANIOS_INI_2),OF_TIN_2,MAX(0,EURIBOR+OF_DIF_2)),0)</f>
        <v/>
      </c>
      <c r="K382" s="58">
        <f>IF(AND(BANCO_OK_2,B382&lt;=MESES),IF(OR(B382=1,J382&lt;&gt;J381),PMT(J382/1200,MESES-B382+1,-N381),K381),0)</f>
        <v/>
      </c>
      <c r="L382" s="58">
        <f>N381*J382/1200</f>
        <v/>
      </c>
      <c r="M382" s="58">
        <f>IF(AND(BANCO_OK_2,B382&lt;=MESES),IF(OR(B382=MESES,K382-L382&gt;N381),N381,K382-L382),0)</f>
        <v/>
      </c>
      <c r="N382" s="58">
        <f>N381-M382</f>
        <v/>
      </c>
      <c r="O382" s="58">
        <f>IF(AND(BANCO_OK_2,B382&lt;=MESES),L382+M382+VINC_MES_2,0)</f>
        <v/>
      </c>
      <c r="P382" s="52">
        <f>IF(AND(BANCO_OK_3,B382&lt;=MESES),IF(OR(OF_TIPO_3="Fija",C382&lt;=OF_ANIOS_INI_3),OF_TIN_3,MAX(0,EURIBOR+OF_DIF_3)),0)</f>
        <v/>
      </c>
      <c r="Q382" s="58">
        <f>IF(AND(BANCO_OK_3,B382&lt;=MESES),IF(OR(B382=1,P382&lt;&gt;P381),PMT(P382/1200,MESES-B382+1,-T381),Q381),0)</f>
        <v/>
      </c>
      <c r="R382" s="58">
        <f>T381*P382/1200</f>
        <v/>
      </c>
      <c r="S382" s="58">
        <f>IF(AND(BANCO_OK_3,B382&lt;=MESES),IF(OR(B382=MESES,Q382-R382&gt;T381),T381,Q382-R382),0)</f>
        <v/>
      </c>
      <c r="T382" s="58">
        <f>T381-S382</f>
        <v/>
      </c>
      <c r="U382" s="58">
        <f>IF(AND(BANCO_OK_3,B382&lt;=MESES),R382+S382+VINC_MES_3,0)</f>
        <v/>
      </c>
      <c r="V382" s="52">
        <f>IF(AND(BANCO_OK_4,B382&lt;=MESES),IF(OR(OF_TIPO_4="Fija",C382&lt;=OF_ANIOS_INI_4),OF_TIN_4,MAX(0,EURIBOR+OF_DIF_4)),0)</f>
        <v/>
      </c>
      <c r="W382" s="58">
        <f>IF(AND(BANCO_OK_4,B382&lt;=MESES),IF(OR(B382=1,V382&lt;&gt;V381),PMT(V382/1200,MESES-B382+1,-Z381),W381),0)</f>
        <v/>
      </c>
      <c r="X382" s="58">
        <f>Z381*V382/1200</f>
        <v/>
      </c>
      <c r="Y382" s="58">
        <f>IF(AND(BANCO_OK_4,B382&lt;=MESES),IF(OR(B382=MESES,W382-X382&gt;Z381),Z381,W382-X382),0)</f>
        <v/>
      </c>
      <c r="Z382" s="58">
        <f>Z381-Y382</f>
        <v/>
      </c>
      <c r="AA382" s="58">
        <f>IF(AND(BANCO_OK_4,B382&lt;=MESES),X382+Y382+VINC_MES_4,0)</f>
        <v/>
      </c>
    </row>
    <row r="383">
      <c r="B383" s="56" t="n">
        <v>375</v>
      </c>
      <c r="C383" s="56">
        <f>ROUNDUP(B383/12,0)</f>
        <v/>
      </c>
      <c r="D383" s="52">
        <f>IF(AND(BANCO_OK_1,B383&lt;=MESES),IF(OR(OF_TIPO_1="Fija",C383&lt;=OF_ANIOS_INI_1),OF_TIN_1,MAX(0,EURIBOR+OF_DIF_1)),0)</f>
        <v/>
      </c>
      <c r="E383" s="58">
        <f>IF(AND(BANCO_OK_1,B383&lt;=MESES),IF(OR(B383=1,D383&lt;&gt;D382),PMT(D383/1200,MESES-B383+1,-H382),E382),0)</f>
        <v/>
      </c>
      <c r="F383" s="58">
        <f>H382*D383/1200</f>
        <v/>
      </c>
      <c r="G383" s="58">
        <f>IF(AND(BANCO_OK_1,B383&lt;=MESES),IF(OR(B383=MESES,E383-F383&gt;H382),H382,E383-F383),0)</f>
        <v/>
      </c>
      <c r="H383" s="58">
        <f>H382-G383</f>
        <v/>
      </c>
      <c r="I383" s="58">
        <f>IF(AND(BANCO_OK_1,B383&lt;=MESES),F383+G383+VINC_MES_1,0)</f>
        <v/>
      </c>
      <c r="J383" s="52">
        <f>IF(AND(BANCO_OK_2,B383&lt;=MESES),IF(OR(OF_TIPO_2="Fija",C383&lt;=OF_ANIOS_INI_2),OF_TIN_2,MAX(0,EURIBOR+OF_DIF_2)),0)</f>
        <v/>
      </c>
      <c r="K383" s="58">
        <f>IF(AND(BANCO_OK_2,B383&lt;=MESES),IF(OR(B383=1,J383&lt;&gt;J382),PMT(J383/1200,MESES-B383+1,-N382),K382),0)</f>
        <v/>
      </c>
      <c r="L383" s="58">
        <f>N382*J383/1200</f>
        <v/>
      </c>
      <c r="M383" s="58">
        <f>IF(AND(BANCO_OK_2,B383&lt;=MESES),IF(OR(B383=MESES,K383-L383&gt;N382),N382,K383-L383),0)</f>
        <v/>
      </c>
      <c r="N383" s="58">
        <f>N382-M383</f>
        <v/>
      </c>
      <c r="O383" s="58">
        <f>IF(AND(BANCO_OK_2,B383&lt;=MESES),L383+M383+VINC_MES_2,0)</f>
        <v/>
      </c>
      <c r="P383" s="52">
        <f>IF(AND(BANCO_OK_3,B383&lt;=MESES),IF(OR(OF_TIPO_3="Fija",C383&lt;=OF_ANIOS_INI_3),OF_TIN_3,MAX(0,EURIBOR+OF_DIF_3)),0)</f>
        <v/>
      </c>
      <c r="Q383" s="58">
        <f>IF(AND(BANCO_OK_3,B383&lt;=MESES),IF(OR(B383=1,P383&lt;&gt;P382),PMT(P383/1200,MESES-B383+1,-T382),Q382),0)</f>
        <v/>
      </c>
      <c r="R383" s="58">
        <f>T382*P383/1200</f>
        <v/>
      </c>
      <c r="S383" s="58">
        <f>IF(AND(BANCO_OK_3,B383&lt;=MESES),IF(OR(B383=MESES,Q383-R383&gt;T382),T382,Q383-R383),0)</f>
        <v/>
      </c>
      <c r="T383" s="58">
        <f>T382-S383</f>
        <v/>
      </c>
      <c r="U383" s="58">
        <f>IF(AND(BANCO_OK_3,B383&lt;=MESES),R383+S383+VINC_MES_3,0)</f>
        <v/>
      </c>
      <c r="V383" s="52">
        <f>IF(AND(BANCO_OK_4,B383&lt;=MESES),IF(OR(OF_TIPO_4="Fija",C383&lt;=OF_ANIOS_INI_4),OF_TIN_4,MAX(0,EURIBOR+OF_DIF_4)),0)</f>
        <v/>
      </c>
      <c r="W383" s="58">
        <f>IF(AND(BANCO_OK_4,B383&lt;=MESES),IF(OR(B383=1,V383&lt;&gt;V382),PMT(V383/1200,MESES-B383+1,-Z382),W382),0)</f>
        <v/>
      </c>
      <c r="X383" s="58">
        <f>Z382*V383/1200</f>
        <v/>
      </c>
      <c r="Y383" s="58">
        <f>IF(AND(BANCO_OK_4,B383&lt;=MESES),IF(OR(B383=MESES,W383-X383&gt;Z382),Z382,W383-X383),0)</f>
        <v/>
      </c>
      <c r="Z383" s="58">
        <f>Z382-Y383</f>
        <v/>
      </c>
      <c r="AA383" s="58">
        <f>IF(AND(BANCO_OK_4,B383&lt;=MESES),X383+Y383+VINC_MES_4,0)</f>
        <v/>
      </c>
    </row>
    <row r="384">
      <c r="B384" s="56" t="n">
        <v>376</v>
      </c>
      <c r="C384" s="56">
        <f>ROUNDUP(B384/12,0)</f>
        <v/>
      </c>
      <c r="D384" s="52">
        <f>IF(AND(BANCO_OK_1,B384&lt;=MESES),IF(OR(OF_TIPO_1="Fija",C384&lt;=OF_ANIOS_INI_1),OF_TIN_1,MAX(0,EURIBOR+OF_DIF_1)),0)</f>
        <v/>
      </c>
      <c r="E384" s="58">
        <f>IF(AND(BANCO_OK_1,B384&lt;=MESES),IF(OR(B384=1,D384&lt;&gt;D383),PMT(D384/1200,MESES-B384+1,-H383),E383),0)</f>
        <v/>
      </c>
      <c r="F384" s="58">
        <f>H383*D384/1200</f>
        <v/>
      </c>
      <c r="G384" s="58">
        <f>IF(AND(BANCO_OK_1,B384&lt;=MESES),IF(OR(B384=MESES,E384-F384&gt;H383),H383,E384-F384),0)</f>
        <v/>
      </c>
      <c r="H384" s="58">
        <f>H383-G384</f>
        <v/>
      </c>
      <c r="I384" s="58">
        <f>IF(AND(BANCO_OK_1,B384&lt;=MESES),F384+G384+VINC_MES_1,0)</f>
        <v/>
      </c>
      <c r="J384" s="52">
        <f>IF(AND(BANCO_OK_2,B384&lt;=MESES),IF(OR(OF_TIPO_2="Fija",C384&lt;=OF_ANIOS_INI_2),OF_TIN_2,MAX(0,EURIBOR+OF_DIF_2)),0)</f>
        <v/>
      </c>
      <c r="K384" s="58">
        <f>IF(AND(BANCO_OK_2,B384&lt;=MESES),IF(OR(B384=1,J384&lt;&gt;J383),PMT(J384/1200,MESES-B384+1,-N383),K383),0)</f>
        <v/>
      </c>
      <c r="L384" s="58">
        <f>N383*J384/1200</f>
        <v/>
      </c>
      <c r="M384" s="58">
        <f>IF(AND(BANCO_OK_2,B384&lt;=MESES),IF(OR(B384=MESES,K384-L384&gt;N383),N383,K384-L384),0)</f>
        <v/>
      </c>
      <c r="N384" s="58">
        <f>N383-M384</f>
        <v/>
      </c>
      <c r="O384" s="58">
        <f>IF(AND(BANCO_OK_2,B384&lt;=MESES),L384+M384+VINC_MES_2,0)</f>
        <v/>
      </c>
      <c r="P384" s="52">
        <f>IF(AND(BANCO_OK_3,B384&lt;=MESES),IF(OR(OF_TIPO_3="Fija",C384&lt;=OF_ANIOS_INI_3),OF_TIN_3,MAX(0,EURIBOR+OF_DIF_3)),0)</f>
        <v/>
      </c>
      <c r="Q384" s="58">
        <f>IF(AND(BANCO_OK_3,B384&lt;=MESES),IF(OR(B384=1,P384&lt;&gt;P383),PMT(P384/1200,MESES-B384+1,-T383),Q383),0)</f>
        <v/>
      </c>
      <c r="R384" s="58">
        <f>T383*P384/1200</f>
        <v/>
      </c>
      <c r="S384" s="58">
        <f>IF(AND(BANCO_OK_3,B384&lt;=MESES),IF(OR(B384=MESES,Q384-R384&gt;T383),T383,Q384-R384),0)</f>
        <v/>
      </c>
      <c r="T384" s="58">
        <f>T383-S384</f>
        <v/>
      </c>
      <c r="U384" s="58">
        <f>IF(AND(BANCO_OK_3,B384&lt;=MESES),R384+S384+VINC_MES_3,0)</f>
        <v/>
      </c>
      <c r="V384" s="52">
        <f>IF(AND(BANCO_OK_4,B384&lt;=MESES),IF(OR(OF_TIPO_4="Fija",C384&lt;=OF_ANIOS_INI_4),OF_TIN_4,MAX(0,EURIBOR+OF_DIF_4)),0)</f>
        <v/>
      </c>
      <c r="W384" s="58">
        <f>IF(AND(BANCO_OK_4,B384&lt;=MESES),IF(OR(B384=1,V384&lt;&gt;V383),PMT(V384/1200,MESES-B384+1,-Z383),W383),0)</f>
        <v/>
      </c>
      <c r="X384" s="58">
        <f>Z383*V384/1200</f>
        <v/>
      </c>
      <c r="Y384" s="58">
        <f>IF(AND(BANCO_OK_4,B384&lt;=MESES),IF(OR(B384=MESES,W384-X384&gt;Z383),Z383,W384-X384),0)</f>
        <v/>
      </c>
      <c r="Z384" s="58">
        <f>Z383-Y384</f>
        <v/>
      </c>
      <c r="AA384" s="58">
        <f>IF(AND(BANCO_OK_4,B384&lt;=MESES),X384+Y384+VINC_MES_4,0)</f>
        <v/>
      </c>
    </row>
    <row r="385">
      <c r="B385" s="56" t="n">
        <v>377</v>
      </c>
      <c r="C385" s="56">
        <f>ROUNDUP(B385/12,0)</f>
        <v/>
      </c>
      <c r="D385" s="52">
        <f>IF(AND(BANCO_OK_1,B385&lt;=MESES),IF(OR(OF_TIPO_1="Fija",C385&lt;=OF_ANIOS_INI_1),OF_TIN_1,MAX(0,EURIBOR+OF_DIF_1)),0)</f>
        <v/>
      </c>
      <c r="E385" s="58">
        <f>IF(AND(BANCO_OK_1,B385&lt;=MESES),IF(OR(B385=1,D385&lt;&gt;D384),PMT(D385/1200,MESES-B385+1,-H384),E384),0)</f>
        <v/>
      </c>
      <c r="F385" s="58">
        <f>H384*D385/1200</f>
        <v/>
      </c>
      <c r="G385" s="58">
        <f>IF(AND(BANCO_OK_1,B385&lt;=MESES),IF(OR(B385=MESES,E385-F385&gt;H384),H384,E385-F385),0)</f>
        <v/>
      </c>
      <c r="H385" s="58">
        <f>H384-G385</f>
        <v/>
      </c>
      <c r="I385" s="58">
        <f>IF(AND(BANCO_OK_1,B385&lt;=MESES),F385+G385+VINC_MES_1,0)</f>
        <v/>
      </c>
      <c r="J385" s="52">
        <f>IF(AND(BANCO_OK_2,B385&lt;=MESES),IF(OR(OF_TIPO_2="Fija",C385&lt;=OF_ANIOS_INI_2),OF_TIN_2,MAX(0,EURIBOR+OF_DIF_2)),0)</f>
        <v/>
      </c>
      <c r="K385" s="58">
        <f>IF(AND(BANCO_OK_2,B385&lt;=MESES),IF(OR(B385=1,J385&lt;&gt;J384),PMT(J385/1200,MESES-B385+1,-N384),K384),0)</f>
        <v/>
      </c>
      <c r="L385" s="58">
        <f>N384*J385/1200</f>
        <v/>
      </c>
      <c r="M385" s="58">
        <f>IF(AND(BANCO_OK_2,B385&lt;=MESES),IF(OR(B385=MESES,K385-L385&gt;N384),N384,K385-L385),0)</f>
        <v/>
      </c>
      <c r="N385" s="58">
        <f>N384-M385</f>
        <v/>
      </c>
      <c r="O385" s="58">
        <f>IF(AND(BANCO_OK_2,B385&lt;=MESES),L385+M385+VINC_MES_2,0)</f>
        <v/>
      </c>
      <c r="P385" s="52">
        <f>IF(AND(BANCO_OK_3,B385&lt;=MESES),IF(OR(OF_TIPO_3="Fija",C385&lt;=OF_ANIOS_INI_3),OF_TIN_3,MAX(0,EURIBOR+OF_DIF_3)),0)</f>
        <v/>
      </c>
      <c r="Q385" s="58">
        <f>IF(AND(BANCO_OK_3,B385&lt;=MESES),IF(OR(B385=1,P385&lt;&gt;P384),PMT(P385/1200,MESES-B385+1,-T384),Q384),0)</f>
        <v/>
      </c>
      <c r="R385" s="58">
        <f>T384*P385/1200</f>
        <v/>
      </c>
      <c r="S385" s="58">
        <f>IF(AND(BANCO_OK_3,B385&lt;=MESES),IF(OR(B385=MESES,Q385-R385&gt;T384),T384,Q385-R385),0)</f>
        <v/>
      </c>
      <c r="T385" s="58">
        <f>T384-S385</f>
        <v/>
      </c>
      <c r="U385" s="58">
        <f>IF(AND(BANCO_OK_3,B385&lt;=MESES),R385+S385+VINC_MES_3,0)</f>
        <v/>
      </c>
      <c r="V385" s="52">
        <f>IF(AND(BANCO_OK_4,B385&lt;=MESES),IF(OR(OF_TIPO_4="Fija",C385&lt;=OF_ANIOS_INI_4),OF_TIN_4,MAX(0,EURIBOR+OF_DIF_4)),0)</f>
        <v/>
      </c>
      <c r="W385" s="58">
        <f>IF(AND(BANCO_OK_4,B385&lt;=MESES),IF(OR(B385=1,V385&lt;&gt;V384),PMT(V385/1200,MESES-B385+1,-Z384),W384),0)</f>
        <v/>
      </c>
      <c r="X385" s="58">
        <f>Z384*V385/1200</f>
        <v/>
      </c>
      <c r="Y385" s="58">
        <f>IF(AND(BANCO_OK_4,B385&lt;=MESES),IF(OR(B385=MESES,W385-X385&gt;Z384),Z384,W385-X385),0)</f>
        <v/>
      </c>
      <c r="Z385" s="58">
        <f>Z384-Y385</f>
        <v/>
      </c>
      <c r="AA385" s="58">
        <f>IF(AND(BANCO_OK_4,B385&lt;=MESES),X385+Y385+VINC_MES_4,0)</f>
        <v/>
      </c>
    </row>
    <row r="386">
      <c r="B386" s="56" t="n">
        <v>378</v>
      </c>
      <c r="C386" s="56">
        <f>ROUNDUP(B386/12,0)</f>
        <v/>
      </c>
      <c r="D386" s="52">
        <f>IF(AND(BANCO_OK_1,B386&lt;=MESES),IF(OR(OF_TIPO_1="Fija",C386&lt;=OF_ANIOS_INI_1),OF_TIN_1,MAX(0,EURIBOR+OF_DIF_1)),0)</f>
        <v/>
      </c>
      <c r="E386" s="58">
        <f>IF(AND(BANCO_OK_1,B386&lt;=MESES),IF(OR(B386=1,D386&lt;&gt;D385),PMT(D386/1200,MESES-B386+1,-H385),E385),0)</f>
        <v/>
      </c>
      <c r="F386" s="58">
        <f>H385*D386/1200</f>
        <v/>
      </c>
      <c r="G386" s="58">
        <f>IF(AND(BANCO_OK_1,B386&lt;=MESES),IF(OR(B386=MESES,E386-F386&gt;H385),H385,E386-F386),0)</f>
        <v/>
      </c>
      <c r="H386" s="58">
        <f>H385-G386</f>
        <v/>
      </c>
      <c r="I386" s="58">
        <f>IF(AND(BANCO_OK_1,B386&lt;=MESES),F386+G386+VINC_MES_1,0)</f>
        <v/>
      </c>
      <c r="J386" s="52">
        <f>IF(AND(BANCO_OK_2,B386&lt;=MESES),IF(OR(OF_TIPO_2="Fija",C386&lt;=OF_ANIOS_INI_2),OF_TIN_2,MAX(0,EURIBOR+OF_DIF_2)),0)</f>
        <v/>
      </c>
      <c r="K386" s="58">
        <f>IF(AND(BANCO_OK_2,B386&lt;=MESES),IF(OR(B386=1,J386&lt;&gt;J385),PMT(J386/1200,MESES-B386+1,-N385),K385),0)</f>
        <v/>
      </c>
      <c r="L386" s="58">
        <f>N385*J386/1200</f>
        <v/>
      </c>
      <c r="M386" s="58">
        <f>IF(AND(BANCO_OK_2,B386&lt;=MESES),IF(OR(B386=MESES,K386-L386&gt;N385),N385,K386-L386),0)</f>
        <v/>
      </c>
      <c r="N386" s="58">
        <f>N385-M386</f>
        <v/>
      </c>
      <c r="O386" s="58">
        <f>IF(AND(BANCO_OK_2,B386&lt;=MESES),L386+M386+VINC_MES_2,0)</f>
        <v/>
      </c>
      <c r="P386" s="52">
        <f>IF(AND(BANCO_OK_3,B386&lt;=MESES),IF(OR(OF_TIPO_3="Fija",C386&lt;=OF_ANIOS_INI_3),OF_TIN_3,MAX(0,EURIBOR+OF_DIF_3)),0)</f>
        <v/>
      </c>
      <c r="Q386" s="58">
        <f>IF(AND(BANCO_OK_3,B386&lt;=MESES),IF(OR(B386=1,P386&lt;&gt;P385),PMT(P386/1200,MESES-B386+1,-T385),Q385),0)</f>
        <v/>
      </c>
      <c r="R386" s="58">
        <f>T385*P386/1200</f>
        <v/>
      </c>
      <c r="S386" s="58">
        <f>IF(AND(BANCO_OK_3,B386&lt;=MESES),IF(OR(B386=MESES,Q386-R386&gt;T385),T385,Q386-R386),0)</f>
        <v/>
      </c>
      <c r="T386" s="58">
        <f>T385-S386</f>
        <v/>
      </c>
      <c r="U386" s="58">
        <f>IF(AND(BANCO_OK_3,B386&lt;=MESES),R386+S386+VINC_MES_3,0)</f>
        <v/>
      </c>
      <c r="V386" s="52">
        <f>IF(AND(BANCO_OK_4,B386&lt;=MESES),IF(OR(OF_TIPO_4="Fija",C386&lt;=OF_ANIOS_INI_4),OF_TIN_4,MAX(0,EURIBOR+OF_DIF_4)),0)</f>
        <v/>
      </c>
      <c r="W386" s="58">
        <f>IF(AND(BANCO_OK_4,B386&lt;=MESES),IF(OR(B386=1,V386&lt;&gt;V385),PMT(V386/1200,MESES-B386+1,-Z385),W385),0)</f>
        <v/>
      </c>
      <c r="X386" s="58">
        <f>Z385*V386/1200</f>
        <v/>
      </c>
      <c r="Y386" s="58">
        <f>IF(AND(BANCO_OK_4,B386&lt;=MESES),IF(OR(B386=MESES,W386-X386&gt;Z385),Z385,W386-X386),0)</f>
        <v/>
      </c>
      <c r="Z386" s="58">
        <f>Z385-Y386</f>
        <v/>
      </c>
      <c r="AA386" s="58">
        <f>IF(AND(BANCO_OK_4,B386&lt;=MESES),X386+Y386+VINC_MES_4,0)</f>
        <v/>
      </c>
    </row>
    <row r="387">
      <c r="B387" s="56" t="n">
        <v>379</v>
      </c>
      <c r="C387" s="56">
        <f>ROUNDUP(B387/12,0)</f>
        <v/>
      </c>
      <c r="D387" s="52">
        <f>IF(AND(BANCO_OK_1,B387&lt;=MESES),IF(OR(OF_TIPO_1="Fija",C387&lt;=OF_ANIOS_INI_1),OF_TIN_1,MAX(0,EURIBOR+OF_DIF_1)),0)</f>
        <v/>
      </c>
      <c r="E387" s="58">
        <f>IF(AND(BANCO_OK_1,B387&lt;=MESES),IF(OR(B387=1,D387&lt;&gt;D386),PMT(D387/1200,MESES-B387+1,-H386),E386),0)</f>
        <v/>
      </c>
      <c r="F387" s="58">
        <f>H386*D387/1200</f>
        <v/>
      </c>
      <c r="G387" s="58">
        <f>IF(AND(BANCO_OK_1,B387&lt;=MESES),IF(OR(B387=MESES,E387-F387&gt;H386),H386,E387-F387),0)</f>
        <v/>
      </c>
      <c r="H387" s="58">
        <f>H386-G387</f>
        <v/>
      </c>
      <c r="I387" s="58">
        <f>IF(AND(BANCO_OK_1,B387&lt;=MESES),F387+G387+VINC_MES_1,0)</f>
        <v/>
      </c>
      <c r="J387" s="52">
        <f>IF(AND(BANCO_OK_2,B387&lt;=MESES),IF(OR(OF_TIPO_2="Fija",C387&lt;=OF_ANIOS_INI_2),OF_TIN_2,MAX(0,EURIBOR+OF_DIF_2)),0)</f>
        <v/>
      </c>
      <c r="K387" s="58">
        <f>IF(AND(BANCO_OK_2,B387&lt;=MESES),IF(OR(B387=1,J387&lt;&gt;J386),PMT(J387/1200,MESES-B387+1,-N386),K386),0)</f>
        <v/>
      </c>
      <c r="L387" s="58">
        <f>N386*J387/1200</f>
        <v/>
      </c>
      <c r="M387" s="58">
        <f>IF(AND(BANCO_OK_2,B387&lt;=MESES),IF(OR(B387=MESES,K387-L387&gt;N386),N386,K387-L387),0)</f>
        <v/>
      </c>
      <c r="N387" s="58">
        <f>N386-M387</f>
        <v/>
      </c>
      <c r="O387" s="58">
        <f>IF(AND(BANCO_OK_2,B387&lt;=MESES),L387+M387+VINC_MES_2,0)</f>
        <v/>
      </c>
      <c r="P387" s="52">
        <f>IF(AND(BANCO_OK_3,B387&lt;=MESES),IF(OR(OF_TIPO_3="Fija",C387&lt;=OF_ANIOS_INI_3),OF_TIN_3,MAX(0,EURIBOR+OF_DIF_3)),0)</f>
        <v/>
      </c>
      <c r="Q387" s="58">
        <f>IF(AND(BANCO_OK_3,B387&lt;=MESES),IF(OR(B387=1,P387&lt;&gt;P386),PMT(P387/1200,MESES-B387+1,-T386),Q386),0)</f>
        <v/>
      </c>
      <c r="R387" s="58">
        <f>T386*P387/1200</f>
        <v/>
      </c>
      <c r="S387" s="58">
        <f>IF(AND(BANCO_OK_3,B387&lt;=MESES),IF(OR(B387=MESES,Q387-R387&gt;T386),T386,Q387-R387),0)</f>
        <v/>
      </c>
      <c r="T387" s="58">
        <f>T386-S387</f>
        <v/>
      </c>
      <c r="U387" s="58">
        <f>IF(AND(BANCO_OK_3,B387&lt;=MESES),R387+S387+VINC_MES_3,0)</f>
        <v/>
      </c>
      <c r="V387" s="52">
        <f>IF(AND(BANCO_OK_4,B387&lt;=MESES),IF(OR(OF_TIPO_4="Fija",C387&lt;=OF_ANIOS_INI_4),OF_TIN_4,MAX(0,EURIBOR+OF_DIF_4)),0)</f>
        <v/>
      </c>
      <c r="W387" s="58">
        <f>IF(AND(BANCO_OK_4,B387&lt;=MESES),IF(OR(B387=1,V387&lt;&gt;V386),PMT(V387/1200,MESES-B387+1,-Z386),W386),0)</f>
        <v/>
      </c>
      <c r="X387" s="58">
        <f>Z386*V387/1200</f>
        <v/>
      </c>
      <c r="Y387" s="58">
        <f>IF(AND(BANCO_OK_4,B387&lt;=MESES),IF(OR(B387=MESES,W387-X387&gt;Z386),Z386,W387-X387),0)</f>
        <v/>
      </c>
      <c r="Z387" s="58">
        <f>Z386-Y387</f>
        <v/>
      </c>
      <c r="AA387" s="58">
        <f>IF(AND(BANCO_OK_4,B387&lt;=MESES),X387+Y387+VINC_MES_4,0)</f>
        <v/>
      </c>
    </row>
    <row r="388">
      <c r="B388" s="56" t="n">
        <v>380</v>
      </c>
      <c r="C388" s="56">
        <f>ROUNDUP(B388/12,0)</f>
        <v/>
      </c>
      <c r="D388" s="52">
        <f>IF(AND(BANCO_OK_1,B388&lt;=MESES),IF(OR(OF_TIPO_1="Fija",C388&lt;=OF_ANIOS_INI_1),OF_TIN_1,MAX(0,EURIBOR+OF_DIF_1)),0)</f>
        <v/>
      </c>
      <c r="E388" s="58">
        <f>IF(AND(BANCO_OK_1,B388&lt;=MESES),IF(OR(B388=1,D388&lt;&gt;D387),PMT(D388/1200,MESES-B388+1,-H387),E387),0)</f>
        <v/>
      </c>
      <c r="F388" s="58">
        <f>H387*D388/1200</f>
        <v/>
      </c>
      <c r="G388" s="58">
        <f>IF(AND(BANCO_OK_1,B388&lt;=MESES),IF(OR(B388=MESES,E388-F388&gt;H387),H387,E388-F388),0)</f>
        <v/>
      </c>
      <c r="H388" s="58">
        <f>H387-G388</f>
        <v/>
      </c>
      <c r="I388" s="58">
        <f>IF(AND(BANCO_OK_1,B388&lt;=MESES),F388+G388+VINC_MES_1,0)</f>
        <v/>
      </c>
      <c r="J388" s="52">
        <f>IF(AND(BANCO_OK_2,B388&lt;=MESES),IF(OR(OF_TIPO_2="Fija",C388&lt;=OF_ANIOS_INI_2),OF_TIN_2,MAX(0,EURIBOR+OF_DIF_2)),0)</f>
        <v/>
      </c>
      <c r="K388" s="58">
        <f>IF(AND(BANCO_OK_2,B388&lt;=MESES),IF(OR(B388=1,J388&lt;&gt;J387),PMT(J388/1200,MESES-B388+1,-N387),K387),0)</f>
        <v/>
      </c>
      <c r="L388" s="58">
        <f>N387*J388/1200</f>
        <v/>
      </c>
      <c r="M388" s="58">
        <f>IF(AND(BANCO_OK_2,B388&lt;=MESES),IF(OR(B388=MESES,K388-L388&gt;N387),N387,K388-L388),0)</f>
        <v/>
      </c>
      <c r="N388" s="58">
        <f>N387-M388</f>
        <v/>
      </c>
      <c r="O388" s="58">
        <f>IF(AND(BANCO_OK_2,B388&lt;=MESES),L388+M388+VINC_MES_2,0)</f>
        <v/>
      </c>
      <c r="P388" s="52">
        <f>IF(AND(BANCO_OK_3,B388&lt;=MESES),IF(OR(OF_TIPO_3="Fija",C388&lt;=OF_ANIOS_INI_3),OF_TIN_3,MAX(0,EURIBOR+OF_DIF_3)),0)</f>
        <v/>
      </c>
      <c r="Q388" s="58">
        <f>IF(AND(BANCO_OK_3,B388&lt;=MESES),IF(OR(B388=1,P388&lt;&gt;P387),PMT(P388/1200,MESES-B388+1,-T387),Q387),0)</f>
        <v/>
      </c>
      <c r="R388" s="58">
        <f>T387*P388/1200</f>
        <v/>
      </c>
      <c r="S388" s="58">
        <f>IF(AND(BANCO_OK_3,B388&lt;=MESES),IF(OR(B388=MESES,Q388-R388&gt;T387),T387,Q388-R388),0)</f>
        <v/>
      </c>
      <c r="T388" s="58">
        <f>T387-S388</f>
        <v/>
      </c>
      <c r="U388" s="58">
        <f>IF(AND(BANCO_OK_3,B388&lt;=MESES),R388+S388+VINC_MES_3,0)</f>
        <v/>
      </c>
      <c r="V388" s="52">
        <f>IF(AND(BANCO_OK_4,B388&lt;=MESES),IF(OR(OF_TIPO_4="Fija",C388&lt;=OF_ANIOS_INI_4),OF_TIN_4,MAX(0,EURIBOR+OF_DIF_4)),0)</f>
        <v/>
      </c>
      <c r="W388" s="58">
        <f>IF(AND(BANCO_OK_4,B388&lt;=MESES),IF(OR(B388=1,V388&lt;&gt;V387),PMT(V388/1200,MESES-B388+1,-Z387),W387),0)</f>
        <v/>
      </c>
      <c r="X388" s="58">
        <f>Z387*V388/1200</f>
        <v/>
      </c>
      <c r="Y388" s="58">
        <f>IF(AND(BANCO_OK_4,B388&lt;=MESES),IF(OR(B388=MESES,W388-X388&gt;Z387),Z387,W388-X388),0)</f>
        <v/>
      </c>
      <c r="Z388" s="58">
        <f>Z387-Y388</f>
        <v/>
      </c>
      <c r="AA388" s="58">
        <f>IF(AND(BANCO_OK_4,B388&lt;=MESES),X388+Y388+VINC_MES_4,0)</f>
        <v/>
      </c>
    </row>
    <row r="389">
      <c r="B389" s="56" t="n">
        <v>381</v>
      </c>
      <c r="C389" s="56">
        <f>ROUNDUP(B389/12,0)</f>
        <v/>
      </c>
      <c r="D389" s="52">
        <f>IF(AND(BANCO_OK_1,B389&lt;=MESES),IF(OR(OF_TIPO_1="Fija",C389&lt;=OF_ANIOS_INI_1),OF_TIN_1,MAX(0,EURIBOR+OF_DIF_1)),0)</f>
        <v/>
      </c>
      <c r="E389" s="58">
        <f>IF(AND(BANCO_OK_1,B389&lt;=MESES),IF(OR(B389=1,D389&lt;&gt;D388),PMT(D389/1200,MESES-B389+1,-H388),E388),0)</f>
        <v/>
      </c>
      <c r="F389" s="58">
        <f>H388*D389/1200</f>
        <v/>
      </c>
      <c r="G389" s="58">
        <f>IF(AND(BANCO_OK_1,B389&lt;=MESES),IF(OR(B389=MESES,E389-F389&gt;H388),H388,E389-F389),0)</f>
        <v/>
      </c>
      <c r="H389" s="58">
        <f>H388-G389</f>
        <v/>
      </c>
      <c r="I389" s="58">
        <f>IF(AND(BANCO_OK_1,B389&lt;=MESES),F389+G389+VINC_MES_1,0)</f>
        <v/>
      </c>
      <c r="J389" s="52">
        <f>IF(AND(BANCO_OK_2,B389&lt;=MESES),IF(OR(OF_TIPO_2="Fija",C389&lt;=OF_ANIOS_INI_2),OF_TIN_2,MAX(0,EURIBOR+OF_DIF_2)),0)</f>
        <v/>
      </c>
      <c r="K389" s="58">
        <f>IF(AND(BANCO_OK_2,B389&lt;=MESES),IF(OR(B389=1,J389&lt;&gt;J388),PMT(J389/1200,MESES-B389+1,-N388),K388),0)</f>
        <v/>
      </c>
      <c r="L389" s="58">
        <f>N388*J389/1200</f>
        <v/>
      </c>
      <c r="M389" s="58">
        <f>IF(AND(BANCO_OK_2,B389&lt;=MESES),IF(OR(B389=MESES,K389-L389&gt;N388),N388,K389-L389),0)</f>
        <v/>
      </c>
      <c r="N389" s="58">
        <f>N388-M389</f>
        <v/>
      </c>
      <c r="O389" s="58">
        <f>IF(AND(BANCO_OK_2,B389&lt;=MESES),L389+M389+VINC_MES_2,0)</f>
        <v/>
      </c>
      <c r="P389" s="52">
        <f>IF(AND(BANCO_OK_3,B389&lt;=MESES),IF(OR(OF_TIPO_3="Fija",C389&lt;=OF_ANIOS_INI_3),OF_TIN_3,MAX(0,EURIBOR+OF_DIF_3)),0)</f>
        <v/>
      </c>
      <c r="Q389" s="58">
        <f>IF(AND(BANCO_OK_3,B389&lt;=MESES),IF(OR(B389=1,P389&lt;&gt;P388),PMT(P389/1200,MESES-B389+1,-T388),Q388),0)</f>
        <v/>
      </c>
      <c r="R389" s="58">
        <f>T388*P389/1200</f>
        <v/>
      </c>
      <c r="S389" s="58">
        <f>IF(AND(BANCO_OK_3,B389&lt;=MESES),IF(OR(B389=MESES,Q389-R389&gt;T388),T388,Q389-R389),0)</f>
        <v/>
      </c>
      <c r="T389" s="58">
        <f>T388-S389</f>
        <v/>
      </c>
      <c r="U389" s="58">
        <f>IF(AND(BANCO_OK_3,B389&lt;=MESES),R389+S389+VINC_MES_3,0)</f>
        <v/>
      </c>
      <c r="V389" s="52">
        <f>IF(AND(BANCO_OK_4,B389&lt;=MESES),IF(OR(OF_TIPO_4="Fija",C389&lt;=OF_ANIOS_INI_4),OF_TIN_4,MAX(0,EURIBOR+OF_DIF_4)),0)</f>
        <v/>
      </c>
      <c r="W389" s="58">
        <f>IF(AND(BANCO_OK_4,B389&lt;=MESES),IF(OR(B389=1,V389&lt;&gt;V388),PMT(V389/1200,MESES-B389+1,-Z388),W388),0)</f>
        <v/>
      </c>
      <c r="X389" s="58">
        <f>Z388*V389/1200</f>
        <v/>
      </c>
      <c r="Y389" s="58">
        <f>IF(AND(BANCO_OK_4,B389&lt;=MESES),IF(OR(B389=MESES,W389-X389&gt;Z388),Z388,W389-X389),0)</f>
        <v/>
      </c>
      <c r="Z389" s="58">
        <f>Z388-Y389</f>
        <v/>
      </c>
      <c r="AA389" s="58">
        <f>IF(AND(BANCO_OK_4,B389&lt;=MESES),X389+Y389+VINC_MES_4,0)</f>
        <v/>
      </c>
    </row>
    <row r="390">
      <c r="B390" s="56" t="n">
        <v>382</v>
      </c>
      <c r="C390" s="56">
        <f>ROUNDUP(B390/12,0)</f>
        <v/>
      </c>
      <c r="D390" s="52">
        <f>IF(AND(BANCO_OK_1,B390&lt;=MESES),IF(OR(OF_TIPO_1="Fija",C390&lt;=OF_ANIOS_INI_1),OF_TIN_1,MAX(0,EURIBOR+OF_DIF_1)),0)</f>
        <v/>
      </c>
      <c r="E390" s="58">
        <f>IF(AND(BANCO_OK_1,B390&lt;=MESES),IF(OR(B390=1,D390&lt;&gt;D389),PMT(D390/1200,MESES-B390+1,-H389),E389),0)</f>
        <v/>
      </c>
      <c r="F390" s="58">
        <f>H389*D390/1200</f>
        <v/>
      </c>
      <c r="G390" s="58">
        <f>IF(AND(BANCO_OK_1,B390&lt;=MESES),IF(OR(B390=MESES,E390-F390&gt;H389),H389,E390-F390),0)</f>
        <v/>
      </c>
      <c r="H390" s="58">
        <f>H389-G390</f>
        <v/>
      </c>
      <c r="I390" s="58">
        <f>IF(AND(BANCO_OK_1,B390&lt;=MESES),F390+G390+VINC_MES_1,0)</f>
        <v/>
      </c>
      <c r="J390" s="52">
        <f>IF(AND(BANCO_OK_2,B390&lt;=MESES),IF(OR(OF_TIPO_2="Fija",C390&lt;=OF_ANIOS_INI_2),OF_TIN_2,MAX(0,EURIBOR+OF_DIF_2)),0)</f>
        <v/>
      </c>
      <c r="K390" s="58">
        <f>IF(AND(BANCO_OK_2,B390&lt;=MESES),IF(OR(B390=1,J390&lt;&gt;J389),PMT(J390/1200,MESES-B390+1,-N389),K389),0)</f>
        <v/>
      </c>
      <c r="L390" s="58">
        <f>N389*J390/1200</f>
        <v/>
      </c>
      <c r="M390" s="58">
        <f>IF(AND(BANCO_OK_2,B390&lt;=MESES),IF(OR(B390=MESES,K390-L390&gt;N389),N389,K390-L390),0)</f>
        <v/>
      </c>
      <c r="N390" s="58">
        <f>N389-M390</f>
        <v/>
      </c>
      <c r="O390" s="58">
        <f>IF(AND(BANCO_OK_2,B390&lt;=MESES),L390+M390+VINC_MES_2,0)</f>
        <v/>
      </c>
      <c r="P390" s="52">
        <f>IF(AND(BANCO_OK_3,B390&lt;=MESES),IF(OR(OF_TIPO_3="Fija",C390&lt;=OF_ANIOS_INI_3),OF_TIN_3,MAX(0,EURIBOR+OF_DIF_3)),0)</f>
        <v/>
      </c>
      <c r="Q390" s="58">
        <f>IF(AND(BANCO_OK_3,B390&lt;=MESES),IF(OR(B390=1,P390&lt;&gt;P389),PMT(P390/1200,MESES-B390+1,-T389),Q389),0)</f>
        <v/>
      </c>
      <c r="R390" s="58">
        <f>T389*P390/1200</f>
        <v/>
      </c>
      <c r="S390" s="58">
        <f>IF(AND(BANCO_OK_3,B390&lt;=MESES),IF(OR(B390=MESES,Q390-R390&gt;T389),T389,Q390-R390),0)</f>
        <v/>
      </c>
      <c r="T390" s="58">
        <f>T389-S390</f>
        <v/>
      </c>
      <c r="U390" s="58">
        <f>IF(AND(BANCO_OK_3,B390&lt;=MESES),R390+S390+VINC_MES_3,0)</f>
        <v/>
      </c>
      <c r="V390" s="52">
        <f>IF(AND(BANCO_OK_4,B390&lt;=MESES),IF(OR(OF_TIPO_4="Fija",C390&lt;=OF_ANIOS_INI_4),OF_TIN_4,MAX(0,EURIBOR+OF_DIF_4)),0)</f>
        <v/>
      </c>
      <c r="W390" s="58">
        <f>IF(AND(BANCO_OK_4,B390&lt;=MESES),IF(OR(B390=1,V390&lt;&gt;V389),PMT(V390/1200,MESES-B390+1,-Z389),W389),0)</f>
        <v/>
      </c>
      <c r="X390" s="58">
        <f>Z389*V390/1200</f>
        <v/>
      </c>
      <c r="Y390" s="58">
        <f>IF(AND(BANCO_OK_4,B390&lt;=MESES),IF(OR(B390=MESES,W390-X390&gt;Z389),Z389,W390-X390),0)</f>
        <v/>
      </c>
      <c r="Z390" s="58">
        <f>Z389-Y390</f>
        <v/>
      </c>
      <c r="AA390" s="58">
        <f>IF(AND(BANCO_OK_4,B390&lt;=MESES),X390+Y390+VINC_MES_4,0)</f>
        <v/>
      </c>
    </row>
    <row r="391">
      <c r="B391" s="56" t="n">
        <v>383</v>
      </c>
      <c r="C391" s="56">
        <f>ROUNDUP(B391/12,0)</f>
        <v/>
      </c>
      <c r="D391" s="52">
        <f>IF(AND(BANCO_OK_1,B391&lt;=MESES),IF(OR(OF_TIPO_1="Fija",C391&lt;=OF_ANIOS_INI_1),OF_TIN_1,MAX(0,EURIBOR+OF_DIF_1)),0)</f>
        <v/>
      </c>
      <c r="E391" s="58">
        <f>IF(AND(BANCO_OK_1,B391&lt;=MESES),IF(OR(B391=1,D391&lt;&gt;D390),PMT(D391/1200,MESES-B391+1,-H390),E390),0)</f>
        <v/>
      </c>
      <c r="F391" s="58">
        <f>H390*D391/1200</f>
        <v/>
      </c>
      <c r="G391" s="58">
        <f>IF(AND(BANCO_OK_1,B391&lt;=MESES),IF(OR(B391=MESES,E391-F391&gt;H390),H390,E391-F391),0)</f>
        <v/>
      </c>
      <c r="H391" s="58">
        <f>H390-G391</f>
        <v/>
      </c>
      <c r="I391" s="58">
        <f>IF(AND(BANCO_OK_1,B391&lt;=MESES),F391+G391+VINC_MES_1,0)</f>
        <v/>
      </c>
      <c r="J391" s="52">
        <f>IF(AND(BANCO_OK_2,B391&lt;=MESES),IF(OR(OF_TIPO_2="Fija",C391&lt;=OF_ANIOS_INI_2),OF_TIN_2,MAX(0,EURIBOR+OF_DIF_2)),0)</f>
        <v/>
      </c>
      <c r="K391" s="58">
        <f>IF(AND(BANCO_OK_2,B391&lt;=MESES),IF(OR(B391=1,J391&lt;&gt;J390),PMT(J391/1200,MESES-B391+1,-N390),K390),0)</f>
        <v/>
      </c>
      <c r="L391" s="58">
        <f>N390*J391/1200</f>
        <v/>
      </c>
      <c r="M391" s="58">
        <f>IF(AND(BANCO_OK_2,B391&lt;=MESES),IF(OR(B391=MESES,K391-L391&gt;N390),N390,K391-L391),0)</f>
        <v/>
      </c>
      <c r="N391" s="58">
        <f>N390-M391</f>
        <v/>
      </c>
      <c r="O391" s="58">
        <f>IF(AND(BANCO_OK_2,B391&lt;=MESES),L391+M391+VINC_MES_2,0)</f>
        <v/>
      </c>
      <c r="P391" s="52">
        <f>IF(AND(BANCO_OK_3,B391&lt;=MESES),IF(OR(OF_TIPO_3="Fija",C391&lt;=OF_ANIOS_INI_3),OF_TIN_3,MAX(0,EURIBOR+OF_DIF_3)),0)</f>
        <v/>
      </c>
      <c r="Q391" s="58">
        <f>IF(AND(BANCO_OK_3,B391&lt;=MESES),IF(OR(B391=1,P391&lt;&gt;P390),PMT(P391/1200,MESES-B391+1,-T390),Q390),0)</f>
        <v/>
      </c>
      <c r="R391" s="58">
        <f>T390*P391/1200</f>
        <v/>
      </c>
      <c r="S391" s="58">
        <f>IF(AND(BANCO_OK_3,B391&lt;=MESES),IF(OR(B391=MESES,Q391-R391&gt;T390),T390,Q391-R391),0)</f>
        <v/>
      </c>
      <c r="T391" s="58">
        <f>T390-S391</f>
        <v/>
      </c>
      <c r="U391" s="58">
        <f>IF(AND(BANCO_OK_3,B391&lt;=MESES),R391+S391+VINC_MES_3,0)</f>
        <v/>
      </c>
      <c r="V391" s="52">
        <f>IF(AND(BANCO_OK_4,B391&lt;=MESES),IF(OR(OF_TIPO_4="Fija",C391&lt;=OF_ANIOS_INI_4),OF_TIN_4,MAX(0,EURIBOR+OF_DIF_4)),0)</f>
        <v/>
      </c>
      <c r="W391" s="58">
        <f>IF(AND(BANCO_OK_4,B391&lt;=MESES),IF(OR(B391=1,V391&lt;&gt;V390),PMT(V391/1200,MESES-B391+1,-Z390),W390),0)</f>
        <v/>
      </c>
      <c r="X391" s="58">
        <f>Z390*V391/1200</f>
        <v/>
      </c>
      <c r="Y391" s="58">
        <f>IF(AND(BANCO_OK_4,B391&lt;=MESES),IF(OR(B391=MESES,W391-X391&gt;Z390),Z390,W391-X391),0)</f>
        <v/>
      </c>
      <c r="Z391" s="58">
        <f>Z390-Y391</f>
        <v/>
      </c>
      <c r="AA391" s="58">
        <f>IF(AND(BANCO_OK_4,B391&lt;=MESES),X391+Y391+VINC_MES_4,0)</f>
        <v/>
      </c>
    </row>
    <row r="392">
      <c r="B392" s="56" t="n">
        <v>384</v>
      </c>
      <c r="C392" s="56">
        <f>ROUNDUP(B392/12,0)</f>
        <v/>
      </c>
      <c r="D392" s="52">
        <f>IF(AND(BANCO_OK_1,B392&lt;=MESES),IF(OR(OF_TIPO_1="Fija",C392&lt;=OF_ANIOS_INI_1),OF_TIN_1,MAX(0,EURIBOR+OF_DIF_1)),0)</f>
        <v/>
      </c>
      <c r="E392" s="58">
        <f>IF(AND(BANCO_OK_1,B392&lt;=MESES),IF(OR(B392=1,D392&lt;&gt;D391),PMT(D392/1200,MESES-B392+1,-H391),E391),0)</f>
        <v/>
      </c>
      <c r="F392" s="58">
        <f>H391*D392/1200</f>
        <v/>
      </c>
      <c r="G392" s="58">
        <f>IF(AND(BANCO_OK_1,B392&lt;=MESES),IF(OR(B392=MESES,E392-F392&gt;H391),H391,E392-F392),0)</f>
        <v/>
      </c>
      <c r="H392" s="58">
        <f>H391-G392</f>
        <v/>
      </c>
      <c r="I392" s="58">
        <f>IF(AND(BANCO_OK_1,B392&lt;=MESES),F392+G392+VINC_MES_1,0)</f>
        <v/>
      </c>
      <c r="J392" s="52">
        <f>IF(AND(BANCO_OK_2,B392&lt;=MESES),IF(OR(OF_TIPO_2="Fija",C392&lt;=OF_ANIOS_INI_2),OF_TIN_2,MAX(0,EURIBOR+OF_DIF_2)),0)</f>
        <v/>
      </c>
      <c r="K392" s="58">
        <f>IF(AND(BANCO_OK_2,B392&lt;=MESES),IF(OR(B392=1,J392&lt;&gt;J391),PMT(J392/1200,MESES-B392+1,-N391),K391),0)</f>
        <v/>
      </c>
      <c r="L392" s="58">
        <f>N391*J392/1200</f>
        <v/>
      </c>
      <c r="M392" s="58">
        <f>IF(AND(BANCO_OK_2,B392&lt;=MESES),IF(OR(B392=MESES,K392-L392&gt;N391),N391,K392-L392),0)</f>
        <v/>
      </c>
      <c r="N392" s="58">
        <f>N391-M392</f>
        <v/>
      </c>
      <c r="O392" s="58">
        <f>IF(AND(BANCO_OK_2,B392&lt;=MESES),L392+M392+VINC_MES_2,0)</f>
        <v/>
      </c>
      <c r="P392" s="52">
        <f>IF(AND(BANCO_OK_3,B392&lt;=MESES),IF(OR(OF_TIPO_3="Fija",C392&lt;=OF_ANIOS_INI_3),OF_TIN_3,MAX(0,EURIBOR+OF_DIF_3)),0)</f>
        <v/>
      </c>
      <c r="Q392" s="58">
        <f>IF(AND(BANCO_OK_3,B392&lt;=MESES),IF(OR(B392=1,P392&lt;&gt;P391),PMT(P392/1200,MESES-B392+1,-T391),Q391),0)</f>
        <v/>
      </c>
      <c r="R392" s="58">
        <f>T391*P392/1200</f>
        <v/>
      </c>
      <c r="S392" s="58">
        <f>IF(AND(BANCO_OK_3,B392&lt;=MESES),IF(OR(B392=MESES,Q392-R392&gt;T391),T391,Q392-R392),0)</f>
        <v/>
      </c>
      <c r="T392" s="58">
        <f>T391-S392</f>
        <v/>
      </c>
      <c r="U392" s="58">
        <f>IF(AND(BANCO_OK_3,B392&lt;=MESES),R392+S392+VINC_MES_3,0)</f>
        <v/>
      </c>
      <c r="V392" s="52">
        <f>IF(AND(BANCO_OK_4,B392&lt;=MESES),IF(OR(OF_TIPO_4="Fija",C392&lt;=OF_ANIOS_INI_4),OF_TIN_4,MAX(0,EURIBOR+OF_DIF_4)),0)</f>
        <v/>
      </c>
      <c r="W392" s="58">
        <f>IF(AND(BANCO_OK_4,B392&lt;=MESES),IF(OR(B392=1,V392&lt;&gt;V391),PMT(V392/1200,MESES-B392+1,-Z391),W391),0)</f>
        <v/>
      </c>
      <c r="X392" s="58">
        <f>Z391*V392/1200</f>
        <v/>
      </c>
      <c r="Y392" s="58">
        <f>IF(AND(BANCO_OK_4,B392&lt;=MESES),IF(OR(B392=MESES,W392-X392&gt;Z391),Z391,W392-X392),0)</f>
        <v/>
      </c>
      <c r="Z392" s="58">
        <f>Z391-Y392</f>
        <v/>
      </c>
      <c r="AA392" s="58">
        <f>IF(AND(BANCO_OK_4,B392&lt;=MESES),X392+Y392+VINC_MES_4,0)</f>
        <v/>
      </c>
    </row>
    <row r="393">
      <c r="B393" s="56" t="n">
        <v>385</v>
      </c>
      <c r="C393" s="56">
        <f>ROUNDUP(B393/12,0)</f>
        <v/>
      </c>
      <c r="D393" s="52">
        <f>IF(AND(BANCO_OK_1,B393&lt;=MESES),IF(OR(OF_TIPO_1="Fija",C393&lt;=OF_ANIOS_INI_1),OF_TIN_1,MAX(0,EURIBOR+OF_DIF_1)),0)</f>
        <v/>
      </c>
      <c r="E393" s="58">
        <f>IF(AND(BANCO_OK_1,B393&lt;=MESES),IF(OR(B393=1,D393&lt;&gt;D392),PMT(D393/1200,MESES-B393+1,-H392),E392),0)</f>
        <v/>
      </c>
      <c r="F393" s="58">
        <f>H392*D393/1200</f>
        <v/>
      </c>
      <c r="G393" s="58">
        <f>IF(AND(BANCO_OK_1,B393&lt;=MESES),IF(OR(B393=MESES,E393-F393&gt;H392),H392,E393-F393),0)</f>
        <v/>
      </c>
      <c r="H393" s="58">
        <f>H392-G393</f>
        <v/>
      </c>
      <c r="I393" s="58">
        <f>IF(AND(BANCO_OK_1,B393&lt;=MESES),F393+G393+VINC_MES_1,0)</f>
        <v/>
      </c>
      <c r="J393" s="52">
        <f>IF(AND(BANCO_OK_2,B393&lt;=MESES),IF(OR(OF_TIPO_2="Fija",C393&lt;=OF_ANIOS_INI_2),OF_TIN_2,MAX(0,EURIBOR+OF_DIF_2)),0)</f>
        <v/>
      </c>
      <c r="K393" s="58">
        <f>IF(AND(BANCO_OK_2,B393&lt;=MESES),IF(OR(B393=1,J393&lt;&gt;J392),PMT(J393/1200,MESES-B393+1,-N392),K392),0)</f>
        <v/>
      </c>
      <c r="L393" s="58">
        <f>N392*J393/1200</f>
        <v/>
      </c>
      <c r="M393" s="58">
        <f>IF(AND(BANCO_OK_2,B393&lt;=MESES),IF(OR(B393=MESES,K393-L393&gt;N392),N392,K393-L393),0)</f>
        <v/>
      </c>
      <c r="N393" s="58">
        <f>N392-M393</f>
        <v/>
      </c>
      <c r="O393" s="58">
        <f>IF(AND(BANCO_OK_2,B393&lt;=MESES),L393+M393+VINC_MES_2,0)</f>
        <v/>
      </c>
      <c r="P393" s="52">
        <f>IF(AND(BANCO_OK_3,B393&lt;=MESES),IF(OR(OF_TIPO_3="Fija",C393&lt;=OF_ANIOS_INI_3),OF_TIN_3,MAX(0,EURIBOR+OF_DIF_3)),0)</f>
        <v/>
      </c>
      <c r="Q393" s="58">
        <f>IF(AND(BANCO_OK_3,B393&lt;=MESES),IF(OR(B393=1,P393&lt;&gt;P392),PMT(P393/1200,MESES-B393+1,-T392),Q392),0)</f>
        <v/>
      </c>
      <c r="R393" s="58">
        <f>T392*P393/1200</f>
        <v/>
      </c>
      <c r="S393" s="58">
        <f>IF(AND(BANCO_OK_3,B393&lt;=MESES),IF(OR(B393=MESES,Q393-R393&gt;T392),T392,Q393-R393),0)</f>
        <v/>
      </c>
      <c r="T393" s="58">
        <f>T392-S393</f>
        <v/>
      </c>
      <c r="U393" s="58">
        <f>IF(AND(BANCO_OK_3,B393&lt;=MESES),R393+S393+VINC_MES_3,0)</f>
        <v/>
      </c>
      <c r="V393" s="52">
        <f>IF(AND(BANCO_OK_4,B393&lt;=MESES),IF(OR(OF_TIPO_4="Fija",C393&lt;=OF_ANIOS_INI_4),OF_TIN_4,MAX(0,EURIBOR+OF_DIF_4)),0)</f>
        <v/>
      </c>
      <c r="W393" s="58">
        <f>IF(AND(BANCO_OK_4,B393&lt;=MESES),IF(OR(B393=1,V393&lt;&gt;V392),PMT(V393/1200,MESES-B393+1,-Z392),W392),0)</f>
        <v/>
      </c>
      <c r="X393" s="58">
        <f>Z392*V393/1200</f>
        <v/>
      </c>
      <c r="Y393" s="58">
        <f>IF(AND(BANCO_OK_4,B393&lt;=MESES),IF(OR(B393=MESES,W393-X393&gt;Z392),Z392,W393-X393),0)</f>
        <v/>
      </c>
      <c r="Z393" s="58">
        <f>Z392-Y393</f>
        <v/>
      </c>
      <c r="AA393" s="58">
        <f>IF(AND(BANCO_OK_4,B393&lt;=MESES),X393+Y393+VINC_MES_4,0)</f>
        <v/>
      </c>
    </row>
    <row r="394">
      <c r="B394" s="56" t="n">
        <v>386</v>
      </c>
      <c r="C394" s="56">
        <f>ROUNDUP(B394/12,0)</f>
        <v/>
      </c>
      <c r="D394" s="52">
        <f>IF(AND(BANCO_OK_1,B394&lt;=MESES),IF(OR(OF_TIPO_1="Fija",C394&lt;=OF_ANIOS_INI_1),OF_TIN_1,MAX(0,EURIBOR+OF_DIF_1)),0)</f>
        <v/>
      </c>
      <c r="E394" s="58">
        <f>IF(AND(BANCO_OK_1,B394&lt;=MESES),IF(OR(B394=1,D394&lt;&gt;D393),PMT(D394/1200,MESES-B394+1,-H393),E393),0)</f>
        <v/>
      </c>
      <c r="F394" s="58">
        <f>H393*D394/1200</f>
        <v/>
      </c>
      <c r="G394" s="58">
        <f>IF(AND(BANCO_OK_1,B394&lt;=MESES),IF(OR(B394=MESES,E394-F394&gt;H393),H393,E394-F394),0)</f>
        <v/>
      </c>
      <c r="H394" s="58">
        <f>H393-G394</f>
        <v/>
      </c>
      <c r="I394" s="58">
        <f>IF(AND(BANCO_OK_1,B394&lt;=MESES),F394+G394+VINC_MES_1,0)</f>
        <v/>
      </c>
      <c r="J394" s="52">
        <f>IF(AND(BANCO_OK_2,B394&lt;=MESES),IF(OR(OF_TIPO_2="Fija",C394&lt;=OF_ANIOS_INI_2),OF_TIN_2,MAX(0,EURIBOR+OF_DIF_2)),0)</f>
        <v/>
      </c>
      <c r="K394" s="58">
        <f>IF(AND(BANCO_OK_2,B394&lt;=MESES),IF(OR(B394=1,J394&lt;&gt;J393),PMT(J394/1200,MESES-B394+1,-N393),K393),0)</f>
        <v/>
      </c>
      <c r="L394" s="58">
        <f>N393*J394/1200</f>
        <v/>
      </c>
      <c r="M394" s="58">
        <f>IF(AND(BANCO_OK_2,B394&lt;=MESES),IF(OR(B394=MESES,K394-L394&gt;N393),N393,K394-L394),0)</f>
        <v/>
      </c>
      <c r="N394" s="58">
        <f>N393-M394</f>
        <v/>
      </c>
      <c r="O394" s="58">
        <f>IF(AND(BANCO_OK_2,B394&lt;=MESES),L394+M394+VINC_MES_2,0)</f>
        <v/>
      </c>
      <c r="P394" s="52">
        <f>IF(AND(BANCO_OK_3,B394&lt;=MESES),IF(OR(OF_TIPO_3="Fija",C394&lt;=OF_ANIOS_INI_3),OF_TIN_3,MAX(0,EURIBOR+OF_DIF_3)),0)</f>
        <v/>
      </c>
      <c r="Q394" s="58">
        <f>IF(AND(BANCO_OK_3,B394&lt;=MESES),IF(OR(B394=1,P394&lt;&gt;P393),PMT(P394/1200,MESES-B394+1,-T393),Q393),0)</f>
        <v/>
      </c>
      <c r="R394" s="58">
        <f>T393*P394/1200</f>
        <v/>
      </c>
      <c r="S394" s="58">
        <f>IF(AND(BANCO_OK_3,B394&lt;=MESES),IF(OR(B394=MESES,Q394-R394&gt;T393),T393,Q394-R394),0)</f>
        <v/>
      </c>
      <c r="T394" s="58">
        <f>T393-S394</f>
        <v/>
      </c>
      <c r="U394" s="58">
        <f>IF(AND(BANCO_OK_3,B394&lt;=MESES),R394+S394+VINC_MES_3,0)</f>
        <v/>
      </c>
      <c r="V394" s="52">
        <f>IF(AND(BANCO_OK_4,B394&lt;=MESES),IF(OR(OF_TIPO_4="Fija",C394&lt;=OF_ANIOS_INI_4),OF_TIN_4,MAX(0,EURIBOR+OF_DIF_4)),0)</f>
        <v/>
      </c>
      <c r="W394" s="58">
        <f>IF(AND(BANCO_OK_4,B394&lt;=MESES),IF(OR(B394=1,V394&lt;&gt;V393),PMT(V394/1200,MESES-B394+1,-Z393),W393),0)</f>
        <v/>
      </c>
      <c r="X394" s="58">
        <f>Z393*V394/1200</f>
        <v/>
      </c>
      <c r="Y394" s="58">
        <f>IF(AND(BANCO_OK_4,B394&lt;=MESES),IF(OR(B394=MESES,W394-X394&gt;Z393),Z393,W394-X394),0)</f>
        <v/>
      </c>
      <c r="Z394" s="58">
        <f>Z393-Y394</f>
        <v/>
      </c>
      <c r="AA394" s="58">
        <f>IF(AND(BANCO_OK_4,B394&lt;=MESES),X394+Y394+VINC_MES_4,0)</f>
        <v/>
      </c>
    </row>
    <row r="395">
      <c r="B395" s="56" t="n">
        <v>387</v>
      </c>
      <c r="C395" s="56">
        <f>ROUNDUP(B395/12,0)</f>
        <v/>
      </c>
      <c r="D395" s="52">
        <f>IF(AND(BANCO_OK_1,B395&lt;=MESES),IF(OR(OF_TIPO_1="Fija",C395&lt;=OF_ANIOS_INI_1),OF_TIN_1,MAX(0,EURIBOR+OF_DIF_1)),0)</f>
        <v/>
      </c>
      <c r="E395" s="58">
        <f>IF(AND(BANCO_OK_1,B395&lt;=MESES),IF(OR(B395=1,D395&lt;&gt;D394),PMT(D395/1200,MESES-B395+1,-H394),E394),0)</f>
        <v/>
      </c>
      <c r="F395" s="58">
        <f>H394*D395/1200</f>
        <v/>
      </c>
      <c r="G395" s="58">
        <f>IF(AND(BANCO_OK_1,B395&lt;=MESES),IF(OR(B395=MESES,E395-F395&gt;H394),H394,E395-F395),0)</f>
        <v/>
      </c>
      <c r="H395" s="58">
        <f>H394-G395</f>
        <v/>
      </c>
      <c r="I395" s="58">
        <f>IF(AND(BANCO_OK_1,B395&lt;=MESES),F395+G395+VINC_MES_1,0)</f>
        <v/>
      </c>
      <c r="J395" s="52">
        <f>IF(AND(BANCO_OK_2,B395&lt;=MESES),IF(OR(OF_TIPO_2="Fija",C395&lt;=OF_ANIOS_INI_2),OF_TIN_2,MAX(0,EURIBOR+OF_DIF_2)),0)</f>
        <v/>
      </c>
      <c r="K395" s="58">
        <f>IF(AND(BANCO_OK_2,B395&lt;=MESES),IF(OR(B395=1,J395&lt;&gt;J394),PMT(J395/1200,MESES-B395+1,-N394),K394),0)</f>
        <v/>
      </c>
      <c r="L395" s="58">
        <f>N394*J395/1200</f>
        <v/>
      </c>
      <c r="M395" s="58">
        <f>IF(AND(BANCO_OK_2,B395&lt;=MESES),IF(OR(B395=MESES,K395-L395&gt;N394),N394,K395-L395),0)</f>
        <v/>
      </c>
      <c r="N395" s="58">
        <f>N394-M395</f>
        <v/>
      </c>
      <c r="O395" s="58">
        <f>IF(AND(BANCO_OK_2,B395&lt;=MESES),L395+M395+VINC_MES_2,0)</f>
        <v/>
      </c>
      <c r="P395" s="52">
        <f>IF(AND(BANCO_OK_3,B395&lt;=MESES),IF(OR(OF_TIPO_3="Fija",C395&lt;=OF_ANIOS_INI_3),OF_TIN_3,MAX(0,EURIBOR+OF_DIF_3)),0)</f>
        <v/>
      </c>
      <c r="Q395" s="58">
        <f>IF(AND(BANCO_OK_3,B395&lt;=MESES),IF(OR(B395=1,P395&lt;&gt;P394),PMT(P395/1200,MESES-B395+1,-T394),Q394),0)</f>
        <v/>
      </c>
      <c r="R395" s="58">
        <f>T394*P395/1200</f>
        <v/>
      </c>
      <c r="S395" s="58">
        <f>IF(AND(BANCO_OK_3,B395&lt;=MESES),IF(OR(B395=MESES,Q395-R395&gt;T394),T394,Q395-R395),0)</f>
        <v/>
      </c>
      <c r="T395" s="58">
        <f>T394-S395</f>
        <v/>
      </c>
      <c r="U395" s="58">
        <f>IF(AND(BANCO_OK_3,B395&lt;=MESES),R395+S395+VINC_MES_3,0)</f>
        <v/>
      </c>
      <c r="V395" s="52">
        <f>IF(AND(BANCO_OK_4,B395&lt;=MESES),IF(OR(OF_TIPO_4="Fija",C395&lt;=OF_ANIOS_INI_4),OF_TIN_4,MAX(0,EURIBOR+OF_DIF_4)),0)</f>
        <v/>
      </c>
      <c r="W395" s="58">
        <f>IF(AND(BANCO_OK_4,B395&lt;=MESES),IF(OR(B395=1,V395&lt;&gt;V394),PMT(V395/1200,MESES-B395+1,-Z394),W394),0)</f>
        <v/>
      </c>
      <c r="X395" s="58">
        <f>Z394*V395/1200</f>
        <v/>
      </c>
      <c r="Y395" s="58">
        <f>IF(AND(BANCO_OK_4,B395&lt;=MESES),IF(OR(B395=MESES,W395-X395&gt;Z394),Z394,W395-X395),0)</f>
        <v/>
      </c>
      <c r="Z395" s="58">
        <f>Z394-Y395</f>
        <v/>
      </c>
      <c r="AA395" s="58">
        <f>IF(AND(BANCO_OK_4,B395&lt;=MESES),X395+Y395+VINC_MES_4,0)</f>
        <v/>
      </c>
    </row>
    <row r="396">
      <c r="B396" s="56" t="n">
        <v>388</v>
      </c>
      <c r="C396" s="56">
        <f>ROUNDUP(B396/12,0)</f>
        <v/>
      </c>
      <c r="D396" s="52">
        <f>IF(AND(BANCO_OK_1,B396&lt;=MESES),IF(OR(OF_TIPO_1="Fija",C396&lt;=OF_ANIOS_INI_1),OF_TIN_1,MAX(0,EURIBOR+OF_DIF_1)),0)</f>
        <v/>
      </c>
      <c r="E396" s="58">
        <f>IF(AND(BANCO_OK_1,B396&lt;=MESES),IF(OR(B396=1,D396&lt;&gt;D395),PMT(D396/1200,MESES-B396+1,-H395),E395),0)</f>
        <v/>
      </c>
      <c r="F396" s="58">
        <f>H395*D396/1200</f>
        <v/>
      </c>
      <c r="G396" s="58">
        <f>IF(AND(BANCO_OK_1,B396&lt;=MESES),IF(OR(B396=MESES,E396-F396&gt;H395),H395,E396-F396),0)</f>
        <v/>
      </c>
      <c r="H396" s="58">
        <f>H395-G396</f>
        <v/>
      </c>
      <c r="I396" s="58">
        <f>IF(AND(BANCO_OK_1,B396&lt;=MESES),F396+G396+VINC_MES_1,0)</f>
        <v/>
      </c>
      <c r="J396" s="52">
        <f>IF(AND(BANCO_OK_2,B396&lt;=MESES),IF(OR(OF_TIPO_2="Fija",C396&lt;=OF_ANIOS_INI_2),OF_TIN_2,MAX(0,EURIBOR+OF_DIF_2)),0)</f>
        <v/>
      </c>
      <c r="K396" s="58">
        <f>IF(AND(BANCO_OK_2,B396&lt;=MESES),IF(OR(B396=1,J396&lt;&gt;J395),PMT(J396/1200,MESES-B396+1,-N395),K395),0)</f>
        <v/>
      </c>
      <c r="L396" s="58">
        <f>N395*J396/1200</f>
        <v/>
      </c>
      <c r="M396" s="58">
        <f>IF(AND(BANCO_OK_2,B396&lt;=MESES),IF(OR(B396=MESES,K396-L396&gt;N395),N395,K396-L396),0)</f>
        <v/>
      </c>
      <c r="N396" s="58">
        <f>N395-M396</f>
        <v/>
      </c>
      <c r="O396" s="58">
        <f>IF(AND(BANCO_OK_2,B396&lt;=MESES),L396+M396+VINC_MES_2,0)</f>
        <v/>
      </c>
      <c r="P396" s="52">
        <f>IF(AND(BANCO_OK_3,B396&lt;=MESES),IF(OR(OF_TIPO_3="Fija",C396&lt;=OF_ANIOS_INI_3),OF_TIN_3,MAX(0,EURIBOR+OF_DIF_3)),0)</f>
        <v/>
      </c>
      <c r="Q396" s="58">
        <f>IF(AND(BANCO_OK_3,B396&lt;=MESES),IF(OR(B396=1,P396&lt;&gt;P395),PMT(P396/1200,MESES-B396+1,-T395),Q395),0)</f>
        <v/>
      </c>
      <c r="R396" s="58">
        <f>T395*P396/1200</f>
        <v/>
      </c>
      <c r="S396" s="58">
        <f>IF(AND(BANCO_OK_3,B396&lt;=MESES),IF(OR(B396=MESES,Q396-R396&gt;T395),T395,Q396-R396),0)</f>
        <v/>
      </c>
      <c r="T396" s="58">
        <f>T395-S396</f>
        <v/>
      </c>
      <c r="U396" s="58">
        <f>IF(AND(BANCO_OK_3,B396&lt;=MESES),R396+S396+VINC_MES_3,0)</f>
        <v/>
      </c>
      <c r="V396" s="52">
        <f>IF(AND(BANCO_OK_4,B396&lt;=MESES),IF(OR(OF_TIPO_4="Fija",C396&lt;=OF_ANIOS_INI_4),OF_TIN_4,MAX(0,EURIBOR+OF_DIF_4)),0)</f>
        <v/>
      </c>
      <c r="W396" s="58">
        <f>IF(AND(BANCO_OK_4,B396&lt;=MESES),IF(OR(B396=1,V396&lt;&gt;V395),PMT(V396/1200,MESES-B396+1,-Z395),W395),0)</f>
        <v/>
      </c>
      <c r="X396" s="58">
        <f>Z395*V396/1200</f>
        <v/>
      </c>
      <c r="Y396" s="58">
        <f>IF(AND(BANCO_OK_4,B396&lt;=MESES),IF(OR(B396=MESES,W396-X396&gt;Z395),Z395,W396-X396),0)</f>
        <v/>
      </c>
      <c r="Z396" s="58">
        <f>Z395-Y396</f>
        <v/>
      </c>
      <c r="AA396" s="58">
        <f>IF(AND(BANCO_OK_4,B396&lt;=MESES),X396+Y396+VINC_MES_4,0)</f>
        <v/>
      </c>
    </row>
    <row r="397">
      <c r="B397" s="56" t="n">
        <v>389</v>
      </c>
      <c r="C397" s="56">
        <f>ROUNDUP(B397/12,0)</f>
        <v/>
      </c>
      <c r="D397" s="52">
        <f>IF(AND(BANCO_OK_1,B397&lt;=MESES),IF(OR(OF_TIPO_1="Fija",C397&lt;=OF_ANIOS_INI_1),OF_TIN_1,MAX(0,EURIBOR+OF_DIF_1)),0)</f>
        <v/>
      </c>
      <c r="E397" s="58">
        <f>IF(AND(BANCO_OK_1,B397&lt;=MESES),IF(OR(B397=1,D397&lt;&gt;D396),PMT(D397/1200,MESES-B397+1,-H396),E396),0)</f>
        <v/>
      </c>
      <c r="F397" s="58">
        <f>H396*D397/1200</f>
        <v/>
      </c>
      <c r="G397" s="58">
        <f>IF(AND(BANCO_OK_1,B397&lt;=MESES),IF(OR(B397=MESES,E397-F397&gt;H396),H396,E397-F397),0)</f>
        <v/>
      </c>
      <c r="H397" s="58">
        <f>H396-G397</f>
        <v/>
      </c>
      <c r="I397" s="58">
        <f>IF(AND(BANCO_OK_1,B397&lt;=MESES),F397+G397+VINC_MES_1,0)</f>
        <v/>
      </c>
      <c r="J397" s="52">
        <f>IF(AND(BANCO_OK_2,B397&lt;=MESES),IF(OR(OF_TIPO_2="Fija",C397&lt;=OF_ANIOS_INI_2),OF_TIN_2,MAX(0,EURIBOR+OF_DIF_2)),0)</f>
        <v/>
      </c>
      <c r="K397" s="58">
        <f>IF(AND(BANCO_OK_2,B397&lt;=MESES),IF(OR(B397=1,J397&lt;&gt;J396),PMT(J397/1200,MESES-B397+1,-N396),K396),0)</f>
        <v/>
      </c>
      <c r="L397" s="58">
        <f>N396*J397/1200</f>
        <v/>
      </c>
      <c r="M397" s="58">
        <f>IF(AND(BANCO_OK_2,B397&lt;=MESES),IF(OR(B397=MESES,K397-L397&gt;N396),N396,K397-L397),0)</f>
        <v/>
      </c>
      <c r="N397" s="58">
        <f>N396-M397</f>
        <v/>
      </c>
      <c r="O397" s="58">
        <f>IF(AND(BANCO_OK_2,B397&lt;=MESES),L397+M397+VINC_MES_2,0)</f>
        <v/>
      </c>
      <c r="P397" s="52">
        <f>IF(AND(BANCO_OK_3,B397&lt;=MESES),IF(OR(OF_TIPO_3="Fija",C397&lt;=OF_ANIOS_INI_3),OF_TIN_3,MAX(0,EURIBOR+OF_DIF_3)),0)</f>
        <v/>
      </c>
      <c r="Q397" s="58">
        <f>IF(AND(BANCO_OK_3,B397&lt;=MESES),IF(OR(B397=1,P397&lt;&gt;P396),PMT(P397/1200,MESES-B397+1,-T396),Q396),0)</f>
        <v/>
      </c>
      <c r="R397" s="58">
        <f>T396*P397/1200</f>
        <v/>
      </c>
      <c r="S397" s="58">
        <f>IF(AND(BANCO_OK_3,B397&lt;=MESES),IF(OR(B397=MESES,Q397-R397&gt;T396),T396,Q397-R397),0)</f>
        <v/>
      </c>
      <c r="T397" s="58">
        <f>T396-S397</f>
        <v/>
      </c>
      <c r="U397" s="58">
        <f>IF(AND(BANCO_OK_3,B397&lt;=MESES),R397+S397+VINC_MES_3,0)</f>
        <v/>
      </c>
      <c r="V397" s="52">
        <f>IF(AND(BANCO_OK_4,B397&lt;=MESES),IF(OR(OF_TIPO_4="Fija",C397&lt;=OF_ANIOS_INI_4),OF_TIN_4,MAX(0,EURIBOR+OF_DIF_4)),0)</f>
        <v/>
      </c>
      <c r="W397" s="58">
        <f>IF(AND(BANCO_OK_4,B397&lt;=MESES),IF(OR(B397=1,V397&lt;&gt;V396),PMT(V397/1200,MESES-B397+1,-Z396),W396),0)</f>
        <v/>
      </c>
      <c r="X397" s="58">
        <f>Z396*V397/1200</f>
        <v/>
      </c>
      <c r="Y397" s="58">
        <f>IF(AND(BANCO_OK_4,B397&lt;=MESES),IF(OR(B397=MESES,W397-X397&gt;Z396),Z396,W397-X397),0)</f>
        <v/>
      </c>
      <c r="Z397" s="58">
        <f>Z396-Y397</f>
        <v/>
      </c>
      <c r="AA397" s="58">
        <f>IF(AND(BANCO_OK_4,B397&lt;=MESES),X397+Y397+VINC_MES_4,0)</f>
        <v/>
      </c>
    </row>
    <row r="398">
      <c r="B398" s="56" t="n">
        <v>390</v>
      </c>
      <c r="C398" s="56">
        <f>ROUNDUP(B398/12,0)</f>
        <v/>
      </c>
      <c r="D398" s="52">
        <f>IF(AND(BANCO_OK_1,B398&lt;=MESES),IF(OR(OF_TIPO_1="Fija",C398&lt;=OF_ANIOS_INI_1),OF_TIN_1,MAX(0,EURIBOR+OF_DIF_1)),0)</f>
        <v/>
      </c>
      <c r="E398" s="58">
        <f>IF(AND(BANCO_OK_1,B398&lt;=MESES),IF(OR(B398=1,D398&lt;&gt;D397),PMT(D398/1200,MESES-B398+1,-H397),E397),0)</f>
        <v/>
      </c>
      <c r="F398" s="58">
        <f>H397*D398/1200</f>
        <v/>
      </c>
      <c r="G398" s="58">
        <f>IF(AND(BANCO_OK_1,B398&lt;=MESES),IF(OR(B398=MESES,E398-F398&gt;H397),H397,E398-F398),0)</f>
        <v/>
      </c>
      <c r="H398" s="58">
        <f>H397-G398</f>
        <v/>
      </c>
      <c r="I398" s="58">
        <f>IF(AND(BANCO_OK_1,B398&lt;=MESES),F398+G398+VINC_MES_1,0)</f>
        <v/>
      </c>
      <c r="J398" s="52">
        <f>IF(AND(BANCO_OK_2,B398&lt;=MESES),IF(OR(OF_TIPO_2="Fija",C398&lt;=OF_ANIOS_INI_2),OF_TIN_2,MAX(0,EURIBOR+OF_DIF_2)),0)</f>
        <v/>
      </c>
      <c r="K398" s="58">
        <f>IF(AND(BANCO_OK_2,B398&lt;=MESES),IF(OR(B398=1,J398&lt;&gt;J397),PMT(J398/1200,MESES-B398+1,-N397),K397),0)</f>
        <v/>
      </c>
      <c r="L398" s="58">
        <f>N397*J398/1200</f>
        <v/>
      </c>
      <c r="M398" s="58">
        <f>IF(AND(BANCO_OK_2,B398&lt;=MESES),IF(OR(B398=MESES,K398-L398&gt;N397),N397,K398-L398),0)</f>
        <v/>
      </c>
      <c r="N398" s="58">
        <f>N397-M398</f>
        <v/>
      </c>
      <c r="O398" s="58">
        <f>IF(AND(BANCO_OK_2,B398&lt;=MESES),L398+M398+VINC_MES_2,0)</f>
        <v/>
      </c>
      <c r="P398" s="52">
        <f>IF(AND(BANCO_OK_3,B398&lt;=MESES),IF(OR(OF_TIPO_3="Fija",C398&lt;=OF_ANIOS_INI_3),OF_TIN_3,MAX(0,EURIBOR+OF_DIF_3)),0)</f>
        <v/>
      </c>
      <c r="Q398" s="58">
        <f>IF(AND(BANCO_OK_3,B398&lt;=MESES),IF(OR(B398=1,P398&lt;&gt;P397),PMT(P398/1200,MESES-B398+1,-T397),Q397),0)</f>
        <v/>
      </c>
      <c r="R398" s="58">
        <f>T397*P398/1200</f>
        <v/>
      </c>
      <c r="S398" s="58">
        <f>IF(AND(BANCO_OK_3,B398&lt;=MESES),IF(OR(B398=MESES,Q398-R398&gt;T397),T397,Q398-R398),0)</f>
        <v/>
      </c>
      <c r="T398" s="58">
        <f>T397-S398</f>
        <v/>
      </c>
      <c r="U398" s="58">
        <f>IF(AND(BANCO_OK_3,B398&lt;=MESES),R398+S398+VINC_MES_3,0)</f>
        <v/>
      </c>
      <c r="V398" s="52">
        <f>IF(AND(BANCO_OK_4,B398&lt;=MESES),IF(OR(OF_TIPO_4="Fija",C398&lt;=OF_ANIOS_INI_4),OF_TIN_4,MAX(0,EURIBOR+OF_DIF_4)),0)</f>
        <v/>
      </c>
      <c r="W398" s="58">
        <f>IF(AND(BANCO_OK_4,B398&lt;=MESES),IF(OR(B398=1,V398&lt;&gt;V397),PMT(V398/1200,MESES-B398+1,-Z397),W397),0)</f>
        <v/>
      </c>
      <c r="X398" s="58">
        <f>Z397*V398/1200</f>
        <v/>
      </c>
      <c r="Y398" s="58">
        <f>IF(AND(BANCO_OK_4,B398&lt;=MESES),IF(OR(B398=MESES,W398-X398&gt;Z397),Z397,W398-X398),0)</f>
        <v/>
      </c>
      <c r="Z398" s="58">
        <f>Z397-Y398</f>
        <v/>
      </c>
      <c r="AA398" s="58">
        <f>IF(AND(BANCO_OK_4,B398&lt;=MESES),X398+Y398+VINC_MES_4,0)</f>
        <v/>
      </c>
    </row>
    <row r="399">
      <c r="B399" s="56" t="n">
        <v>391</v>
      </c>
      <c r="C399" s="56">
        <f>ROUNDUP(B399/12,0)</f>
        <v/>
      </c>
      <c r="D399" s="52">
        <f>IF(AND(BANCO_OK_1,B399&lt;=MESES),IF(OR(OF_TIPO_1="Fija",C399&lt;=OF_ANIOS_INI_1),OF_TIN_1,MAX(0,EURIBOR+OF_DIF_1)),0)</f>
        <v/>
      </c>
      <c r="E399" s="58">
        <f>IF(AND(BANCO_OK_1,B399&lt;=MESES),IF(OR(B399=1,D399&lt;&gt;D398),PMT(D399/1200,MESES-B399+1,-H398),E398),0)</f>
        <v/>
      </c>
      <c r="F399" s="58">
        <f>H398*D399/1200</f>
        <v/>
      </c>
      <c r="G399" s="58">
        <f>IF(AND(BANCO_OK_1,B399&lt;=MESES),IF(OR(B399=MESES,E399-F399&gt;H398),H398,E399-F399),0)</f>
        <v/>
      </c>
      <c r="H399" s="58">
        <f>H398-G399</f>
        <v/>
      </c>
      <c r="I399" s="58">
        <f>IF(AND(BANCO_OK_1,B399&lt;=MESES),F399+G399+VINC_MES_1,0)</f>
        <v/>
      </c>
      <c r="J399" s="52">
        <f>IF(AND(BANCO_OK_2,B399&lt;=MESES),IF(OR(OF_TIPO_2="Fija",C399&lt;=OF_ANIOS_INI_2),OF_TIN_2,MAX(0,EURIBOR+OF_DIF_2)),0)</f>
        <v/>
      </c>
      <c r="K399" s="58">
        <f>IF(AND(BANCO_OK_2,B399&lt;=MESES),IF(OR(B399=1,J399&lt;&gt;J398),PMT(J399/1200,MESES-B399+1,-N398),K398),0)</f>
        <v/>
      </c>
      <c r="L399" s="58">
        <f>N398*J399/1200</f>
        <v/>
      </c>
      <c r="M399" s="58">
        <f>IF(AND(BANCO_OK_2,B399&lt;=MESES),IF(OR(B399=MESES,K399-L399&gt;N398),N398,K399-L399),0)</f>
        <v/>
      </c>
      <c r="N399" s="58">
        <f>N398-M399</f>
        <v/>
      </c>
      <c r="O399" s="58">
        <f>IF(AND(BANCO_OK_2,B399&lt;=MESES),L399+M399+VINC_MES_2,0)</f>
        <v/>
      </c>
      <c r="P399" s="52">
        <f>IF(AND(BANCO_OK_3,B399&lt;=MESES),IF(OR(OF_TIPO_3="Fija",C399&lt;=OF_ANIOS_INI_3),OF_TIN_3,MAX(0,EURIBOR+OF_DIF_3)),0)</f>
        <v/>
      </c>
      <c r="Q399" s="58">
        <f>IF(AND(BANCO_OK_3,B399&lt;=MESES),IF(OR(B399=1,P399&lt;&gt;P398),PMT(P399/1200,MESES-B399+1,-T398),Q398),0)</f>
        <v/>
      </c>
      <c r="R399" s="58">
        <f>T398*P399/1200</f>
        <v/>
      </c>
      <c r="S399" s="58">
        <f>IF(AND(BANCO_OK_3,B399&lt;=MESES),IF(OR(B399=MESES,Q399-R399&gt;T398),T398,Q399-R399),0)</f>
        <v/>
      </c>
      <c r="T399" s="58">
        <f>T398-S399</f>
        <v/>
      </c>
      <c r="U399" s="58">
        <f>IF(AND(BANCO_OK_3,B399&lt;=MESES),R399+S399+VINC_MES_3,0)</f>
        <v/>
      </c>
      <c r="V399" s="52">
        <f>IF(AND(BANCO_OK_4,B399&lt;=MESES),IF(OR(OF_TIPO_4="Fija",C399&lt;=OF_ANIOS_INI_4),OF_TIN_4,MAX(0,EURIBOR+OF_DIF_4)),0)</f>
        <v/>
      </c>
      <c r="W399" s="58">
        <f>IF(AND(BANCO_OK_4,B399&lt;=MESES),IF(OR(B399=1,V399&lt;&gt;V398),PMT(V399/1200,MESES-B399+1,-Z398),W398),0)</f>
        <v/>
      </c>
      <c r="X399" s="58">
        <f>Z398*V399/1200</f>
        <v/>
      </c>
      <c r="Y399" s="58">
        <f>IF(AND(BANCO_OK_4,B399&lt;=MESES),IF(OR(B399=MESES,W399-X399&gt;Z398),Z398,W399-X399),0)</f>
        <v/>
      </c>
      <c r="Z399" s="58">
        <f>Z398-Y399</f>
        <v/>
      </c>
      <c r="AA399" s="58">
        <f>IF(AND(BANCO_OK_4,B399&lt;=MESES),X399+Y399+VINC_MES_4,0)</f>
        <v/>
      </c>
    </row>
    <row r="400">
      <c r="B400" s="56" t="n">
        <v>392</v>
      </c>
      <c r="C400" s="56">
        <f>ROUNDUP(B400/12,0)</f>
        <v/>
      </c>
      <c r="D400" s="52">
        <f>IF(AND(BANCO_OK_1,B400&lt;=MESES),IF(OR(OF_TIPO_1="Fija",C400&lt;=OF_ANIOS_INI_1),OF_TIN_1,MAX(0,EURIBOR+OF_DIF_1)),0)</f>
        <v/>
      </c>
      <c r="E400" s="58">
        <f>IF(AND(BANCO_OK_1,B400&lt;=MESES),IF(OR(B400=1,D400&lt;&gt;D399),PMT(D400/1200,MESES-B400+1,-H399),E399),0)</f>
        <v/>
      </c>
      <c r="F400" s="58">
        <f>H399*D400/1200</f>
        <v/>
      </c>
      <c r="G400" s="58">
        <f>IF(AND(BANCO_OK_1,B400&lt;=MESES),IF(OR(B400=MESES,E400-F400&gt;H399),H399,E400-F400),0)</f>
        <v/>
      </c>
      <c r="H400" s="58">
        <f>H399-G400</f>
        <v/>
      </c>
      <c r="I400" s="58">
        <f>IF(AND(BANCO_OK_1,B400&lt;=MESES),F400+G400+VINC_MES_1,0)</f>
        <v/>
      </c>
      <c r="J400" s="52">
        <f>IF(AND(BANCO_OK_2,B400&lt;=MESES),IF(OR(OF_TIPO_2="Fija",C400&lt;=OF_ANIOS_INI_2),OF_TIN_2,MAX(0,EURIBOR+OF_DIF_2)),0)</f>
        <v/>
      </c>
      <c r="K400" s="58">
        <f>IF(AND(BANCO_OK_2,B400&lt;=MESES),IF(OR(B400=1,J400&lt;&gt;J399),PMT(J400/1200,MESES-B400+1,-N399),K399),0)</f>
        <v/>
      </c>
      <c r="L400" s="58">
        <f>N399*J400/1200</f>
        <v/>
      </c>
      <c r="M400" s="58">
        <f>IF(AND(BANCO_OK_2,B400&lt;=MESES),IF(OR(B400=MESES,K400-L400&gt;N399),N399,K400-L400),0)</f>
        <v/>
      </c>
      <c r="N400" s="58">
        <f>N399-M400</f>
        <v/>
      </c>
      <c r="O400" s="58">
        <f>IF(AND(BANCO_OK_2,B400&lt;=MESES),L400+M400+VINC_MES_2,0)</f>
        <v/>
      </c>
      <c r="P400" s="52">
        <f>IF(AND(BANCO_OK_3,B400&lt;=MESES),IF(OR(OF_TIPO_3="Fija",C400&lt;=OF_ANIOS_INI_3),OF_TIN_3,MAX(0,EURIBOR+OF_DIF_3)),0)</f>
        <v/>
      </c>
      <c r="Q400" s="58">
        <f>IF(AND(BANCO_OK_3,B400&lt;=MESES),IF(OR(B400=1,P400&lt;&gt;P399),PMT(P400/1200,MESES-B400+1,-T399),Q399),0)</f>
        <v/>
      </c>
      <c r="R400" s="58">
        <f>T399*P400/1200</f>
        <v/>
      </c>
      <c r="S400" s="58">
        <f>IF(AND(BANCO_OK_3,B400&lt;=MESES),IF(OR(B400=MESES,Q400-R400&gt;T399),T399,Q400-R400),0)</f>
        <v/>
      </c>
      <c r="T400" s="58">
        <f>T399-S400</f>
        <v/>
      </c>
      <c r="U400" s="58">
        <f>IF(AND(BANCO_OK_3,B400&lt;=MESES),R400+S400+VINC_MES_3,0)</f>
        <v/>
      </c>
      <c r="V400" s="52">
        <f>IF(AND(BANCO_OK_4,B400&lt;=MESES),IF(OR(OF_TIPO_4="Fija",C400&lt;=OF_ANIOS_INI_4),OF_TIN_4,MAX(0,EURIBOR+OF_DIF_4)),0)</f>
        <v/>
      </c>
      <c r="W400" s="58">
        <f>IF(AND(BANCO_OK_4,B400&lt;=MESES),IF(OR(B400=1,V400&lt;&gt;V399),PMT(V400/1200,MESES-B400+1,-Z399),W399),0)</f>
        <v/>
      </c>
      <c r="X400" s="58">
        <f>Z399*V400/1200</f>
        <v/>
      </c>
      <c r="Y400" s="58">
        <f>IF(AND(BANCO_OK_4,B400&lt;=MESES),IF(OR(B400=MESES,W400-X400&gt;Z399),Z399,W400-X400),0)</f>
        <v/>
      </c>
      <c r="Z400" s="58">
        <f>Z399-Y400</f>
        <v/>
      </c>
      <c r="AA400" s="58">
        <f>IF(AND(BANCO_OK_4,B400&lt;=MESES),X400+Y400+VINC_MES_4,0)</f>
        <v/>
      </c>
    </row>
    <row r="401">
      <c r="B401" s="56" t="n">
        <v>393</v>
      </c>
      <c r="C401" s="56">
        <f>ROUNDUP(B401/12,0)</f>
        <v/>
      </c>
      <c r="D401" s="52">
        <f>IF(AND(BANCO_OK_1,B401&lt;=MESES),IF(OR(OF_TIPO_1="Fija",C401&lt;=OF_ANIOS_INI_1),OF_TIN_1,MAX(0,EURIBOR+OF_DIF_1)),0)</f>
        <v/>
      </c>
      <c r="E401" s="58">
        <f>IF(AND(BANCO_OK_1,B401&lt;=MESES),IF(OR(B401=1,D401&lt;&gt;D400),PMT(D401/1200,MESES-B401+1,-H400),E400),0)</f>
        <v/>
      </c>
      <c r="F401" s="58">
        <f>H400*D401/1200</f>
        <v/>
      </c>
      <c r="G401" s="58">
        <f>IF(AND(BANCO_OK_1,B401&lt;=MESES),IF(OR(B401=MESES,E401-F401&gt;H400),H400,E401-F401),0)</f>
        <v/>
      </c>
      <c r="H401" s="58">
        <f>H400-G401</f>
        <v/>
      </c>
      <c r="I401" s="58">
        <f>IF(AND(BANCO_OK_1,B401&lt;=MESES),F401+G401+VINC_MES_1,0)</f>
        <v/>
      </c>
      <c r="J401" s="52">
        <f>IF(AND(BANCO_OK_2,B401&lt;=MESES),IF(OR(OF_TIPO_2="Fija",C401&lt;=OF_ANIOS_INI_2),OF_TIN_2,MAX(0,EURIBOR+OF_DIF_2)),0)</f>
        <v/>
      </c>
      <c r="K401" s="58">
        <f>IF(AND(BANCO_OK_2,B401&lt;=MESES),IF(OR(B401=1,J401&lt;&gt;J400),PMT(J401/1200,MESES-B401+1,-N400),K400),0)</f>
        <v/>
      </c>
      <c r="L401" s="58">
        <f>N400*J401/1200</f>
        <v/>
      </c>
      <c r="M401" s="58">
        <f>IF(AND(BANCO_OK_2,B401&lt;=MESES),IF(OR(B401=MESES,K401-L401&gt;N400),N400,K401-L401),0)</f>
        <v/>
      </c>
      <c r="N401" s="58">
        <f>N400-M401</f>
        <v/>
      </c>
      <c r="O401" s="58">
        <f>IF(AND(BANCO_OK_2,B401&lt;=MESES),L401+M401+VINC_MES_2,0)</f>
        <v/>
      </c>
      <c r="P401" s="52">
        <f>IF(AND(BANCO_OK_3,B401&lt;=MESES),IF(OR(OF_TIPO_3="Fija",C401&lt;=OF_ANIOS_INI_3),OF_TIN_3,MAX(0,EURIBOR+OF_DIF_3)),0)</f>
        <v/>
      </c>
      <c r="Q401" s="58">
        <f>IF(AND(BANCO_OK_3,B401&lt;=MESES),IF(OR(B401=1,P401&lt;&gt;P400),PMT(P401/1200,MESES-B401+1,-T400),Q400),0)</f>
        <v/>
      </c>
      <c r="R401" s="58">
        <f>T400*P401/1200</f>
        <v/>
      </c>
      <c r="S401" s="58">
        <f>IF(AND(BANCO_OK_3,B401&lt;=MESES),IF(OR(B401=MESES,Q401-R401&gt;T400),T400,Q401-R401),0)</f>
        <v/>
      </c>
      <c r="T401" s="58">
        <f>T400-S401</f>
        <v/>
      </c>
      <c r="U401" s="58">
        <f>IF(AND(BANCO_OK_3,B401&lt;=MESES),R401+S401+VINC_MES_3,0)</f>
        <v/>
      </c>
      <c r="V401" s="52">
        <f>IF(AND(BANCO_OK_4,B401&lt;=MESES),IF(OR(OF_TIPO_4="Fija",C401&lt;=OF_ANIOS_INI_4),OF_TIN_4,MAX(0,EURIBOR+OF_DIF_4)),0)</f>
        <v/>
      </c>
      <c r="W401" s="58">
        <f>IF(AND(BANCO_OK_4,B401&lt;=MESES),IF(OR(B401=1,V401&lt;&gt;V400),PMT(V401/1200,MESES-B401+1,-Z400),W400),0)</f>
        <v/>
      </c>
      <c r="X401" s="58">
        <f>Z400*V401/1200</f>
        <v/>
      </c>
      <c r="Y401" s="58">
        <f>IF(AND(BANCO_OK_4,B401&lt;=MESES),IF(OR(B401=MESES,W401-X401&gt;Z400),Z400,W401-X401),0)</f>
        <v/>
      </c>
      <c r="Z401" s="58">
        <f>Z400-Y401</f>
        <v/>
      </c>
      <c r="AA401" s="58">
        <f>IF(AND(BANCO_OK_4,B401&lt;=MESES),X401+Y401+VINC_MES_4,0)</f>
        <v/>
      </c>
    </row>
    <row r="402">
      <c r="B402" s="56" t="n">
        <v>394</v>
      </c>
      <c r="C402" s="56">
        <f>ROUNDUP(B402/12,0)</f>
        <v/>
      </c>
      <c r="D402" s="52">
        <f>IF(AND(BANCO_OK_1,B402&lt;=MESES),IF(OR(OF_TIPO_1="Fija",C402&lt;=OF_ANIOS_INI_1),OF_TIN_1,MAX(0,EURIBOR+OF_DIF_1)),0)</f>
        <v/>
      </c>
      <c r="E402" s="58">
        <f>IF(AND(BANCO_OK_1,B402&lt;=MESES),IF(OR(B402=1,D402&lt;&gt;D401),PMT(D402/1200,MESES-B402+1,-H401),E401),0)</f>
        <v/>
      </c>
      <c r="F402" s="58">
        <f>H401*D402/1200</f>
        <v/>
      </c>
      <c r="G402" s="58">
        <f>IF(AND(BANCO_OK_1,B402&lt;=MESES),IF(OR(B402=MESES,E402-F402&gt;H401),H401,E402-F402),0)</f>
        <v/>
      </c>
      <c r="H402" s="58">
        <f>H401-G402</f>
        <v/>
      </c>
      <c r="I402" s="58">
        <f>IF(AND(BANCO_OK_1,B402&lt;=MESES),F402+G402+VINC_MES_1,0)</f>
        <v/>
      </c>
      <c r="J402" s="52">
        <f>IF(AND(BANCO_OK_2,B402&lt;=MESES),IF(OR(OF_TIPO_2="Fija",C402&lt;=OF_ANIOS_INI_2),OF_TIN_2,MAX(0,EURIBOR+OF_DIF_2)),0)</f>
        <v/>
      </c>
      <c r="K402" s="58">
        <f>IF(AND(BANCO_OK_2,B402&lt;=MESES),IF(OR(B402=1,J402&lt;&gt;J401),PMT(J402/1200,MESES-B402+1,-N401),K401),0)</f>
        <v/>
      </c>
      <c r="L402" s="58">
        <f>N401*J402/1200</f>
        <v/>
      </c>
      <c r="M402" s="58">
        <f>IF(AND(BANCO_OK_2,B402&lt;=MESES),IF(OR(B402=MESES,K402-L402&gt;N401),N401,K402-L402),0)</f>
        <v/>
      </c>
      <c r="N402" s="58">
        <f>N401-M402</f>
        <v/>
      </c>
      <c r="O402" s="58">
        <f>IF(AND(BANCO_OK_2,B402&lt;=MESES),L402+M402+VINC_MES_2,0)</f>
        <v/>
      </c>
      <c r="P402" s="52">
        <f>IF(AND(BANCO_OK_3,B402&lt;=MESES),IF(OR(OF_TIPO_3="Fija",C402&lt;=OF_ANIOS_INI_3),OF_TIN_3,MAX(0,EURIBOR+OF_DIF_3)),0)</f>
        <v/>
      </c>
      <c r="Q402" s="58">
        <f>IF(AND(BANCO_OK_3,B402&lt;=MESES),IF(OR(B402=1,P402&lt;&gt;P401),PMT(P402/1200,MESES-B402+1,-T401),Q401),0)</f>
        <v/>
      </c>
      <c r="R402" s="58">
        <f>T401*P402/1200</f>
        <v/>
      </c>
      <c r="S402" s="58">
        <f>IF(AND(BANCO_OK_3,B402&lt;=MESES),IF(OR(B402=MESES,Q402-R402&gt;T401),T401,Q402-R402),0)</f>
        <v/>
      </c>
      <c r="T402" s="58">
        <f>T401-S402</f>
        <v/>
      </c>
      <c r="U402" s="58">
        <f>IF(AND(BANCO_OK_3,B402&lt;=MESES),R402+S402+VINC_MES_3,0)</f>
        <v/>
      </c>
      <c r="V402" s="52">
        <f>IF(AND(BANCO_OK_4,B402&lt;=MESES),IF(OR(OF_TIPO_4="Fija",C402&lt;=OF_ANIOS_INI_4),OF_TIN_4,MAX(0,EURIBOR+OF_DIF_4)),0)</f>
        <v/>
      </c>
      <c r="W402" s="58">
        <f>IF(AND(BANCO_OK_4,B402&lt;=MESES),IF(OR(B402=1,V402&lt;&gt;V401),PMT(V402/1200,MESES-B402+1,-Z401),W401),0)</f>
        <v/>
      </c>
      <c r="X402" s="58">
        <f>Z401*V402/1200</f>
        <v/>
      </c>
      <c r="Y402" s="58">
        <f>IF(AND(BANCO_OK_4,B402&lt;=MESES),IF(OR(B402=MESES,W402-X402&gt;Z401),Z401,W402-X402),0)</f>
        <v/>
      </c>
      <c r="Z402" s="58">
        <f>Z401-Y402</f>
        <v/>
      </c>
      <c r="AA402" s="58">
        <f>IF(AND(BANCO_OK_4,B402&lt;=MESES),X402+Y402+VINC_MES_4,0)</f>
        <v/>
      </c>
    </row>
    <row r="403">
      <c r="B403" s="56" t="n">
        <v>395</v>
      </c>
      <c r="C403" s="56">
        <f>ROUNDUP(B403/12,0)</f>
        <v/>
      </c>
      <c r="D403" s="52">
        <f>IF(AND(BANCO_OK_1,B403&lt;=MESES),IF(OR(OF_TIPO_1="Fija",C403&lt;=OF_ANIOS_INI_1),OF_TIN_1,MAX(0,EURIBOR+OF_DIF_1)),0)</f>
        <v/>
      </c>
      <c r="E403" s="58">
        <f>IF(AND(BANCO_OK_1,B403&lt;=MESES),IF(OR(B403=1,D403&lt;&gt;D402),PMT(D403/1200,MESES-B403+1,-H402),E402),0)</f>
        <v/>
      </c>
      <c r="F403" s="58">
        <f>H402*D403/1200</f>
        <v/>
      </c>
      <c r="G403" s="58">
        <f>IF(AND(BANCO_OK_1,B403&lt;=MESES),IF(OR(B403=MESES,E403-F403&gt;H402),H402,E403-F403),0)</f>
        <v/>
      </c>
      <c r="H403" s="58">
        <f>H402-G403</f>
        <v/>
      </c>
      <c r="I403" s="58">
        <f>IF(AND(BANCO_OK_1,B403&lt;=MESES),F403+G403+VINC_MES_1,0)</f>
        <v/>
      </c>
      <c r="J403" s="52">
        <f>IF(AND(BANCO_OK_2,B403&lt;=MESES),IF(OR(OF_TIPO_2="Fija",C403&lt;=OF_ANIOS_INI_2),OF_TIN_2,MAX(0,EURIBOR+OF_DIF_2)),0)</f>
        <v/>
      </c>
      <c r="K403" s="58">
        <f>IF(AND(BANCO_OK_2,B403&lt;=MESES),IF(OR(B403=1,J403&lt;&gt;J402),PMT(J403/1200,MESES-B403+1,-N402),K402),0)</f>
        <v/>
      </c>
      <c r="L403" s="58">
        <f>N402*J403/1200</f>
        <v/>
      </c>
      <c r="M403" s="58">
        <f>IF(AND(BANCO_OK_2,B403&lt;=MESES),IF(OR(B403=MESES,K403-L403&gt;N402),N402,K403-L403),0)</f>
        <v/>
      </c>
      <c r="N403" s="58">
        <f>N402-M403</f>
        <v/>
      </c>
      <c r="O403" s="58">
        <f>IF(AND(BANCO_OK_2,B403&lt;=MESES),L403+M403+VINC_MES_2,0)</f>
        <v/>
      </c>
      <c r="P403" s="52">
        <f>IF(AND(BANCO_OK_3,B403&lt;=MESES),IF(OR(OF_TIPO_3="Fija",C403&lt;=OF_ANIOS_INI_3),OF_TIN_3,MAX(0,EURIBOR+OF_DIF_3)),0)</f>
        <v/>
      </c>
      <c r="Q403" s="58">
        <f>IF(AND(BANCO_OK_3,B403&lt;=MESES),IF(OR(B403=1,P403&lt;&gt;P402),PMT(P403/1200,MESES-B403+1,-T402),Q402),0)</f>
        <v/>
      </c>
      <c r="R403" s="58">
        <f>T402*P403/1200</f>
        <v/>
      </c>
      <c r="S403" s="58">
        <f>IF(AND(BANCO_OK_3,B403&lt;=MESES),IF(OR(B403=MESES,Q403-R403&gt;T402),T402,Q403-R403),0)</f>
        <v/>
      </c>
      <c r="T403" s="58">
        <f>T402-S403</f>
        <v/>
      </c>
      <c r="U403" s="58">
        <f>IF(AND(BANCO_OK_3,B403&lt;=MESES),R403+S403+VINC_MES_3,0)</f>
        <v/>
      </c>
      <c r="V403" s="52">
        <f>IF(AND(BANCO_OK_4,B403&lt;=MESES),IF(OR(OF_TIPO_4="Fija",C403&lt;=OF_ANIOS_INI_4),OF_TIN_4,MAX(0,EURIBOR+OF_DIF_4)),0)</f>
        <v/>
      </c>
      <c r="W403" s="58">
        <f>IF(AND(BANCO_OK_4,B403&lt;=MESES),IF(OR(B403=1,V403&lt;&gt;V402),PMT(V403/1200,MESES-B403+1,-Z402),W402),0)</f>
        <v/>
      </c>
      <c r="X403" s="58">
        <f>Z402*V403/1200</f>
        <v/>
      </c>
      <c r="Y403" s="58">
        <f>IF(AND(BANCO_OK_4,B403&lt;=MESES),IF(OR(B403=MESES,W403-X403&gt;Z402),Z402,W403-X403),0)</f>
        <v/>
      </c>
      <c r="Z403" s="58">
        <f>Z402-Y403</f>
        <v/>
      </c>
      <c r="AA403" s="58">
        <f>IF(AND(BANCO_OK_4,B403&lt;=MESES),X403+Y403+VINC_MES_4,0)</f>
        <v/>
      </c>
    </row>
    <row r="404">
      <c r="B404" s="56" t="n">
        <v>396</v>
      </c>
      <c r="C404" s="56">
        <f>ROUNDUP(B404/12,0)</f>
        <v/>
      </c>
      <c r="D404" s="52">
        <f>IF(AND(BANCO_OK_1,B404&lt;=MESES),IF(OR(OF_TIPO_1="Fija",C404&lt;=OF_ANIOS_INI_1),OF_TIN_1,MAX(0,EURIBOR+OF_DIF_1)),0)</f>
        <v/>
      </c>
      <c r="E404" s="58">
        <f>IF(AND(BANCO_OK_1,B404&lt;=MESES),IF(OR(B404=1,D404&lt;&gt;D403),PMT(D404/1200,MESES-B404+1,-H403),E403),0)</f>
        <v/>
      </c>
      <c r="F404" s="58">
        <f>H403*D404/1200</f>
        <v/>
      </c>
      <c r="G404" s="58">
        <f>IF(AND(BANCO_OK_1,B404&lt;=MESES),IF(OR(B404=MESES,E404-F404&gt;H403),H403,E404-F404),0)</f>
        <v/>
      </c>
      <c r="H404" s="58">
        <f>H403-G404</f>
        <v/>
      </c>
      <c r="I404" s="58">
        <f>IF(AND(BANCO_OK_1,B404&lt;=MESES),F404+G404+VINC_MES_1,0)</f>
        <v/>
      </c>
      <c r="J404" s="52">
        <f>IF(AND(BANCO_OK_2,B404&lt;=MESES),IF(OR(OF_TIPO_2="Fija",C404&lt;=OF_ANIOS_INI_2),OF_TIN_2,MAX(0,EURIBOR+OF_DIF_2)),0)</f>
        <v/>
      </c>
      <c r="K404" s="58">
        <f>IF(AND(BANCO_OK_2,B404&lt;=MESES),IF(OR(B404=1,J404&lt;&gt;J403),PMT(J404/1200,MESES-B404+1,-N403),K403),0)</f>
        <v/>
      </c>
      <c r="L404" s="58">
        <f>N403*J404/1200</f>
        <v/>
      </c>
      <c r="M404" s="58">
        <f>IF(AND(BANCO_OK_2,B404&lt;=MESES),IF(OR(B404=MESES,K404-L404&gt;N403),N403,K404-L404),0)</f>
        <v/>
      </c>
      <c r="N404" s="58">
        <f>N403-M404</f>
        <v/>
      </c>
      <c r="O404" s="58">
        <f>IF(AND(BANCO_OK_2,B404&lt;=MESES),L404+M404+VINC_MES_2,0)</f>
        <v/>
      </c>
      <c r="P404" s="52">
        <f>IF(AND(BANCO_OK_3,B404&lt;=MESES),IF(OR(OF_TIPO_3="Fija",C404&lt;=OF_ANIOS_INI_3),OF_TIN_3,MAX(0,EURIBOR+OF_DIF_3)),0)</f>
        <v/>
      </c>
      <c r="Q404" s="58">
        <f>IF(AND(BANCO_OK_3,B404&lt;=MESES),IF(OR(B404=1,P404&lt;&gt;P403),PMT(P404/1200,MESES-B404+1,-T403),Q403),0)</f>
        <v/>
      </c>
      <c r="R404" s="58">
        <f>T403*P404/1200</f>
        <v/>
      </c>
      <c r="S404" s="58">
        <f>IF(AND(BANCO_OK_3,B404&lt;=MESES),IF(OR(B404=MESES,Q404-R404&gt;T403),T403,Q404-R404),0)</f>
        <v/>
      </c>
      <c r="T404" s="58">
        <f>T403-S404</f>
        <v/>
      </c>
      <c r="U404" s="58">
        <f>IF(AND(BANCO_OK_3,B404&lt;=MESES),R404+S404+VINC_MES_3,0)</f>
        <v/>
      </c>
      <c r="V404" s="52">
        <f>IF(AND(BANCO_OK_4,B404&lt;=MESES),IF(OR(OF_TIPO_4="Fija",C404&lt;=OF_ANIOS_INI_4),OF_TIN_4,MAX(0,EURIBOR+OF_DIF_4)),0)</f>
        <v/>
      </c>
      <c r="W404" s="58">
        <f>IF(AND(BANCO_OK_4,B404&lt;=MESES),IF(OR(B404=1,V404&lt;&gt;V403),PMT(V404/1200,MESES-B404+1,-Z403),W403),0)</f>
        <v/>
      </c>
      <c r="X404" s="58">
        <f>Z403*V404/1200</f>
        <v/>
      </c>
      <c r="Y404" s="58">
        <f>IF(AND(BANCO_OK_4,B404&lt;=MESES),IF(OR(B404=MESES,W404-X404&gt;Z403),Z403,W404-X404),0)</f>
        <v/>
      </c>
      <c r="Z404" s="58">
        <f>Z403-Y404</f>
        <v/>
      </c>
      <c r="AA404" s="58">
        <f>IF(AND(BANCO_OK_4,B404&lt;=MESES),X404+Y404+VINC_MES_4,0)</f>
        <v/>
      </c>
    </row>
    <row r="405">
      <c r="B405" s="56" t="n">
        <v>397</v>
      </c>
      <c r="C405" s="56">
        <f>ROUNDUP(B405/12,0)</f>
        <v/>
      </c>
      <c r="D405" s="52">
        <f>IF(AND(BANCO_OK_1,B405&lt;=MESES),IF(OR(OF_TIPO_1="Fija",C405&lt;=OF_ANIOS_INI_1),OF_TIN_1,MAX(0,EURIBOR+OF_DIF_1)),0)</f>
        <v/>
      </c>
      <c r="E405" s="58">
        <f>IF(AND(BANCO_OK_1,B405&lt;=MESES),IF(OR(B405=1,D405&lt;&gt;D404),PMT(D405/1200,MESES-B405+1,-H404),E404),0)</f>
        <v/>
      </c>
      <c r="F405" s="58">
        <f>H404*D405/1200</f>
        <v/>
      </c>
      <c r="G405" s="58">
        <f>IF(AND(BANCO_OK_1,B405&lt;=MESES),IF(OR(B405=MESES,E405-F405&gt;H404),H404,E405-F405),0)</f>
        <v/>
      </c>
      <c r="H405" s="58">
        <f>H404-G405</f>
        <v/>
      </c>
      <c r="I405" s="58">
        <f>IF(AND(BANCO_OK_1,B405&lt;=MESES),F405+G405+VINC_MES_1,0)</f>
        <v/>
      </c>
      <c r="J405" s="52">
        <f>IF(AND(BANCO_OK_2,B405&lt;=MESES),IF(OR(OF_TIPO_2="Fija",C405&lt;=OF_ANIOS_INI_2),OF_TIN_2,MAX(0,EURIBOR+OF_DIF_2)),0)</f>
        <v/>
      </c>
      <c r="K405" s="58">
        <f>IF(AND(BANCO_OK_2,B405&lt;=MESES),IF(OR(B405=1,J405&lt;&gt;J404),PMT(J405/1200,MESES-B405+1,-N404),K404),0)</f>
        <v/>
      </c>
      <c r="L405" s="58">
        <f>N404*J405/1200</f>
        <v/>
      </c>
      <c r="M405" s="58">
        <f>IF(AND(BANCO_OK_2,B405&lt;=MESES),IF(OR(B405=MESES,K405-L405&gt;N404),N404,K405-L405),0)</f>
        <v/>
      </c>
      <c r="N405" s="58">
        <f>N404-M405</f>
        <v/>
      </c>
      <c r="O405" s="58">
        <f>IF(AND(BANCO_OK_2,B405&lt;=MESES),L405+M405+VINC_MES_2,0)</f>
        <v/>
      </c>
      <c r="P405" s="52">
        <f>IF(AND(BANCO_OK_3,B405&lt;=MESES),IF(OR(OF_TIPO_3="Fija",C405&lt;=OF_ANIOS_INI_3),OF_TIN_3,MAX(0,EURIBOR+OF_DIF_3)),0)</f>
        <v/>
      </c>
      <c r="Q405" s="58">
        <f>IF(AND(BANCO_OK_3,B405&lt;=MESES),IF(OR(B405=1,P405&lt;&gt;P404),PMT(P405/1200,MESES-B405+1,-T404),Q404),0)</f>
        <v/>
      </c>
      <c r="R405" s="58">
        <f>T404*P405/1200</f>
        <v/>
      </c>
      <c r="S405" s="58">
        <f>IF(AND(BANCO_OK_3,B405&lt;=MESES),IF(OR(B405=MESES,Q405-R405&gt;T404),T404,Q405-R405),0)</f>
        <v/>
      </c>
      <c r="T405" s="58">
        <f>T404-S405</f>
        <v/>
      </c>
      <c r="U405" s="58">
        <f>IF(AND(BANCO_OK_3,B405&lt;=MESES),R405+S405+VINC_MES_3,0)</f>
        <v/>
      </c>
      <c r="V405" s="52">
        <f>IF(AND(BANCO_OK_4,B405&lt;=MESES),IF(OR(OF_TIPO_4="Fija",C405&lt;=OF_ANIOS_INI_4),OF_TIN_4,MAX(0,EURIBOR+OF_DIF_4)),0)</f>
        <v/>
      </c>
      <c r="W405" s="58">
        <f>IF(AND(BANCO_OK_4,B405&lt;=MESES),IF(OR(B405=1,V405&lt;&gt;V404),PMT(V405/1200,MESES-B405+1,-Z404),W404),0)</f>
        <v/>
      </c>
      <c r="X405" s="58">
        <f>Z404*V405/1200</f>
        <v/>
      </c>
      <c r="Y405" s="58">
        <f>IF(AND(BANCO_OK_4,B405&lt;=MESES),IF(OR(B405=MESES,W405-X405&gt;Z404),Z404,W405-X405),0)</f>
        <v/>
      </c>
      <c r="Z405" s="58">
        <f>Z404-Y405</f>
        <v/>
      </c>
      <c r="AA405" s="58">
        <f>IF(AND(BANCO_OK_4,B405&lt;=MESES),X405+Y405+VINC_MES_4,0)</f>
        <v/>
      </c>
    </row>
    <row r="406">
      <c r="B406" s="56" t="n">
        <v>398</v>
      </c>
      <c r="C406" s="56">
        <f>ROUNDUP(B406/12,0)</f>
        <v/>
      </c>
      <c r="D406" s="52">
        <f>IF(AND(BANCO_OK_1,B406&lt;=MESES),IF(OR(OF_TIPO_1="Fija",C406&lt;=OF_ANIOS_INI_1),OF_TIN_1,MAX(0,EURIBOR+OF_DIF_1)),0)</f>
        <v/>
      </c>
      <c r="E406" s="58">
        <f>IF(AND(BANCO_OK_1,B406&lt;=MESES),IF(OR(B406=1,D406&lt;&gt;D405),PMT(D406/1200,MESES-B406+1,-H405),E405),0)</f>
        <v/>
      </c>
      <c r="F406" s="58">
        <f>H405*D406/1200</f>
        <v/>
      </c>
      <c r="G406" s="58">
        <f>IF(AND(BANCO_OK_1,B406&lt;=MESES),IF(OR(B406=MESES,E406-F406&gt;H405),H405,E406-F406),0)</f>
        <v/>
      </c>
      <c r="H406" s="58">
        <f>H405-G406</f>
        <v/>
      </c>
      <c r="I406" s="58">
        <f>IF(AND(BANCO_OK_1,B406&lt;=MESES),F406+G406+VINC_MES_1,0)</f>
        <v/>
      </c>
      <c r="J406" s="52">
        <f>IF(AND(BANCO_OK_2,B406&lt;=MESES),IF(OR(OF_TIPO_2="Fija",C406&lt;=OF_ANIOS_INI_2),OF_TIN_2,MAX(0,EURIBOR+OF_DIF_2)),0)</f>
        <v/>
      </c>
      <c r="K406" s="58">
        <f>IF(AND(BANCO_OK_2,B406&lt;=MESES),IF(OR(B406=1,J406&lt;&gt;J405),PMT(J406/1200,MESES-B406+1,-N405),K405),0)</f>
        <v/>
      </c>
      <c r="L406" s="58">
        <f>N405*J406/1200</f>
        <v/>
      </c>
      <c r="M406" s="58">
        <f>IF(AND(BANCO_OK_2,B406&lt;=MESES),IF(OR(B406=MESES,K406-L406&gt;N405),N405,K406-L406),0)</f>
        <v/>
      </c>
      <c r="N406" s="58">
        <f>N405-M406</f>
        <v/>
      </c>
      <c r="O406" s="58">
        <f>IF(AND(BANCO_OK_2,B406&lt;=MESES),L406+M406+VINC_MES_2,0)</f>
        <v/>
      </c>
      <c r="P406" s="52">
        <f>IF(AND(BANCO_OK_3,B406&lt;=MESES),IF(OR(OF_TIPO_3="Fija",C406&lt;=OF_ANIOS_INI_3),OF_TIN_3,MAX(0,EURIBOR+OF_DIF_3)),0)</f>
        <v/>
      </c>
      <c r="Q406" s="58">
        <f>IF(AND(BANCO_OK_3,B406&lt;=MESES),IF(OR(B406=1,P406&lt;&gt;P405),PMT(P406/1200,MESES-B406+1,-T405),Q405),0)</f>
        <v/>
      </c>
      <c r="R406" s="58">
        <f>T405*P406/1200</f>
        <v/>
      </c>
      <c r="S406" s="58">
        <f>IF(AND(BANCO_OK_3,B406&lt;=MESES),IF(OR(B406=MESES,Q406-R406&gt;T405),T405,Q406-R406),0)</f>
        <v/>
      </c>
      <c r="T406" s="58">
        <f>T405-S406</f>
        <v/>
      </c>
      <c r="U406" s="58">
        <f>IF(AND(BANCO_OK_3,B406&lt;=MESES),R406+S406+VINC_MES_3,0)</f>
        <v/>
      </c>
      <c r="V406" s="52">
        <f>IF(AND(BANCO_OK_4,B406&lt;=MESES),IF(OR(OF_TIPO_4="Fija",C406&lt;=OF_ANIOS_INI_4),OF_TIN_4,MAX(0,EURIBOR+OF_DIF_4)),0)</f>
        <v/>
      </c>
      <c r="W406" s="58">
        <f>IF(AND(BANCO_OK_4,B406&lt;=MESES),IF(OR(B406=1,V406&lt;&gt;V405),PMT(V406/1200,MESES-B406+1,-Z405),W405),0)</f>
        <v/>
      </c>
      <c r="X406" s="58">
        <f>Z405*V406/1200</f>
        <v/>
      </c>
      <c r="Y406" s="58">
        <f>IF(AND(BANCO_OK_4,B406&lt;=MESES),IF(OR(B406=MESES,W406-X406&gt;Z405),Z405,W406-X406),0)</f>
        <v/>
      </c>
      <c r="Z406" s="58">
        <f>Z405-Y406</f>
        <v/>
      </c>
      <c r="AA406" s="58">
        <f>IF(AND(BANCO_OK_4,B406&lt;=MESES),X406+Y406+VINC_MES_4,0)</f>
        <v/>
      </c>
    </row>
    <row r="407">
      <c r="B407" s="56" t="n">
        <v>399</v>
      </c>
      <c r="C407" s="56">
        <f>ROUNDUP(B407/12,0)</f>
        <v/>
      </c>
      <c r="D407" s="52">
        <f>IF(AND(BANCO_OK_1,B407&lt;=MESES),IF(OR(OF_TIPO_1="Fija",C407&lt;=OF_ANIOS_INI_1),OF_TIN_1,MAX(0,EURIBOR+OF_DIF_1)),0)</f>
        <v/>
      </c>
      <c r="E407" s="58">
        <f>IF(AND(BANCO_OK_1,B407&lt;=MESES),IF(OR(B407=1,D407&lt;&gt;D406),PMT(D407/1200,MESES-B407+1,-H406),E406),0)</f>
        <v/>
      </c>
      <c r="F407" s="58">
        <f>H406*D407/1200</f>
        <v/>
      </c>
      <c r="G407" s="58">
        <f>IF(AND(BANCO_OK_1,B407&lt;=MESES),IF(OR(B407=MESES,E407-F407&gt;H406),H406,E407-F407),0)</f>
        <v/>
      </c>
      <c r="H407" s="58">
        <f>H406-G407</f>
        <v/>
      </c>
      <c r="I407" s="58">
        <f>IF(AND(BANCO_OK_1,B407&lt;=MESES),F407+G407+VINC_MES_1,0)</f>
        <v/>
      </c>
      <c r="J407" s="52">
        <f>IF(AND(BANCO_OK_2,B407&lt;=MESES),IF(OR(OF_TIPO_2="Fija",C407&lt;=OF_ANIOS_INI_2),OF_TIN_2,MAX(0,EURIBOR+OF_DIF_2)),0)</f>
        <v/>
      </c>
      <c r="K407" s="58">
        <f>IF(AND(BANCO_OK_2,B407&lt;=MESES),IF(OR(B407=1,J407&lt;&gt;J406),PMT(J407/1200,MESES-B407+1,-N406),K406),0)</f>
        <v/>
      </c>
      <c r="L407" s="58">
        <f>N406*J407/1200</f>
        <v/>
      </c>
      <c r="M407" s="58">
        <f>IF(AND(BANCO_OK_2,B407&lt;=MESES),IF(OR(B407=MESES,K407-L407&gt;N406),N406,K407-L407),0)</f>
        <v/>
      </c>
      <c r="N407" s="58">
        <f>N406-M407</f>
        <v/>
      </c>
      <c r="O407" s="58">
        <f>IF(AND(BANCO_OK_2,B407&lt;=MESES),L407+M407+VINC_MES_2,0)</f>
        <v/>
      </c>
      <c r="P407" s="52">
        <f>IF(AND(BANCO_OK_3,B407&lt;=MESES),IF(OR(OF_TIPO_3="Fija",C407&lt;=OF_ANIOS_INI_3),OF_TIN_3,MAX(0,EURIBOR+OF_DIF_3)),0)</f>
        <v/>
      </c>
      <c r="Q407" s="58">
        <f>IF(AND(BANCO_OK_3,B407&lt;=MESES),IF(OR(B407=1,P407&lt;&gt;P406),PMT(P407/1200,MESES-B407+1,-T406),Q406),0)</f>
        <v/>
      </c>
      <c r="R407" s="58">
        <f>T406*P407/1200</f>
        <v/>
      </c>
      <c r="S407" s="58">
        <f>IF(AND(BANCO_OK_3,B407&lt;=MESES),IF(OR(B407=MESES,Q407-R407&gt;T406),T406,Q407-R407),0)</f>
        <v/>
      </c>
      <c r="T407" s="58">
        <f>T406-S407</f>
        <v/>
      </c>
      <c r="U407" s="58">
        <f>IF(AND(BANCO_OK_3,B407&lt;=MESES),R407+S407+VINC_MES_3,0)</f>
        <v/>
      </c>
      <c r="V407" s="52">
        <f>IF(AND(BANCO_OK_4,B407&lt;=MESES),IF(OR(OF_TIPO_4="Fija",C407&lt;=OF_ANIOS_INI_4),OF_TIN_4,MAX(0,EURIBOR+OF_DIF_4)),0)</f>
        <v/>
      </c>
      <c r="W407" s="58">
        <f>IF(AND(BANCO_OK_4,B407&lt;=MESES),IF(OR(B407=1,V407&lt;&gt;V406),PMT(V407/1200,MESES-B407+1,-Z406),W406),0)</f>
        <v/>
      </c>
      <c r="X407" s="58">
        <f>Z406*V407/1200</f>
        <v/>
      </c>
      <c r="Y407" s="58">
        <f>IF(AND(BANCO_OK_4,B407&lt;=MESES),IF(OR(B407=MESES,W407-X407&gt;Z406),Z406,W407-X407),0)</f>
        <v/>
      </c>
      <c r="Z407" s="58">
        <f>Z406-Y407</f>
        <v/>
      </c>
      <c r="AA407" s="58">
        <f>IF(AND(BANCO_OK_4,B407&lt;=MESES),X407+Y407+VINC_MES_4,0)</f>
        <v/>
      </c>
    </row>
    <row r="408">
      <c r="B408" s="56" t="n">
        <v>400</v>
      </c>
      <c r="C408" s="56">
        <f>ROUNDUP(B408/12,0)</f>
        <v/>
      </c>
      <c r="D408" s="52">
        <f>IF(AND(BANCO_OK_1,B408&lt;=MESES),IF(OR(OF_TIPO_1="Fija",C408&lt;=OF_ANIOS_INI_1),OF_TIN_1,MAX(0,EURIBOR+OF_DIF_1)),0)</f>
        <v/>
      </c>
      <c r="E408" s="58">
        <f>IF(AND(BANCO_OK_1,B408&lt;=MESES),IF(OR(B408=1,D408&lt;&gt;D407),PMT(D408/1200,MESES-B408+1,-H407),E407),0)</f>
        <v/>
      </c>
      <c r="F408" s="58">
        <f>H407*D408/1200</f>
        <v/>
      </c>
      <c r="G408" s="58">
        <f>IF(AND(BANCO_OK_1,B408&lt;=MESES),IF(OR(B408=MESES,E408-F408&gt;H407),H407,E408-F408),0)</f>
        <v/>
      </c>
      <c r="H408" s="58">
        <f>H407-G408</f>
        <v/>
      </c>
      <c r="I408" s="58">
        <f>IF(AND(BANCO_OK_1,B408&lt;=MESES),F408+G408+VINC_MES_1,0)</f>
        <v/>
      </c>
      <c r="J408" s="52">
        <f>IF(AND(BANCO_OK_2,B408&lt;=MESES),IF(OR(OF_TIPO_2="Fija",C408&lt;=OF_ANIOS_INI_2),OF_TIN_2,MAX(0,EURIBOR+OF_DIF_2)),0)</f>
        <v/>
      </c>
      <c r="K408" s="58">
        <f>IF(AND(BANCO_OK_2,B408&lt;=MESES),IF(OR(B408=1,J408&lt;&gt;J407),PMT(J408/1200,MESES-B408+1,-N407),K407),0)</f>
        <v/>
      </c>
      <c r="L408" s="58">
        <f>N407*J408/1200</f>
        <v/>
      </c>
      <c r="M408" s="58">
        <f>IF(AND(BANCO_OK_2,B408&lt;=MESES),IF(OR(B408=MESES,K408-L408&gt;N407),N407,K408-L408),0)</f>
        <v/>
      </c>
      <c r="N408" s="58">
        <f>N407-M408</f>
        <v/>
      </c>
      <c r="O408" s="58">
        <f>IF(AND(BANCO_OK_2,B408&lt;=MESES),L408+M408+VINC_MES_2,0)</f>
        <v/>
      </c>
      <c r="P408" s="52">
        <f>IF(AND(BANCO_OK_3,B408&lt;=MESES),IF(OR(OF_TIPO_3="Fija",C408&lt;=OF_ANIOS_INI_3),OF_TIN_3,MAX(0,EURIBOR+OF_DIF_3)),0)</f>
        <v/>
      </c>
      <c r="Q408" s="58">
        <f>IF(AND(BANCO_OK_3,B408&lt;=MESES),IF(OR(B408=1,P408&lt;&gt;P407),PMT(P408/1200,MESES-B408+1,-T407),Q407),0)</f>
        <v/>
      </c>
      <c r="R408" s="58">
        <f>T407*P408/1200</f>
        <v/>
      </c>
      <c r="S408" s="58">
        <f>IF(AND(BANCO_OK_3,B408&lt;=MESES),IF(OR(B408=MESES,Q408-R408&gt;T407),T407,Q408-R408),0)</f>
        <v/>
      </c>
      <c r="T408" s="58">
        <f>T407-S408</f>
        <v/>
      </c>
      <c r="U408" s="58">
        <f>IF(AND(BANCO_OK_3,B408&lt;=MESES),R408+S408+VINC_MES_3,0)</f>
        <v/>
      </c>
      <c r="V408" s="52">
        <f>IF(AND(BANCO_OK_4,B408&lt;=MESES),IF(OR(OF_TIPO_4="Fija",C408&lt;=OF_ANIOS_INI_4),OF_TIN_4,MAX(0,EURIBOR+OF_DIF_4)),0)</f>
        <v/>
      </c>
      <c r="W408" s="58">
        <f>IF(AND(BANCO_OK_4,B408&lt;=MESES),IF(OR(B408=1,V408&lt;&gt;V407),PMT(V408/1200,MESES-B408+1,-Z407),W407),0)</f>
        <v/>
      </c>
      <c r="X408" s="58">
        <f>Z407*V408/1200</f>
        <v/>
      </c>
      <c r="Y408" s="58">
        <f>IF(AND(BANCO_OK_4,B408&lt;=MESES),IF(OR(B408=MESES,W408-X408&gt;Z407),Z407,W408-X408),0)</f>
        <v/>
      </c>
      <c r="Z408" s="58">
        <f>Z407-Y408</f>
        <v/>
      </c>
      <c r="AA408" s="58">
        <f>IF(AND(BANCO_OK_4,B408&lt;=MESES),X408+Y408+VINC_MES_4,0)</f>
        <v/>
      </c>
    </row>
    <row r="409">
      <c r="B409" s="56" t="n">
        <v>401</v>
      </c>
      <c r="C409" s="56">
        <f>ROUNDUP(B409/12,0)</f>
        <v/>
      </c>
      <c r="D409" s="52">
        <f>IF(AND(BANCO_OK_1,B409&lt;=MESES),IF(OR(OF_TIPO_1="Fija",C409&lt;=OF_ANIOS_INI_1),OF_TIN_1,MAX(0,EURIBOR+OF_DIF_1)),0)</f>
        <v/>
      </c>
      <c r="E409" s="58">
        <f>IF(AND(BANCO_OK_1,B409&lt;=MESES),IF(OR(B409=1,D409&lt;&gt;D408),PMT(D409/1200,MESES-B409+1,-H408),E408),0)</f>
        <v/>
      </c>
      <c r="F409" s="58">
        <f>H408*D409/1200</f>
        <v/>
      </c>
      <c r="G409" s="58">
        <f>IF(AND(BANCO_OK_1,B409&lt;=MESES),IF(OR(B409=MESES,E409-F409&gt;H408),H408,E409-F409),0)</f>
        <v/>
      </c>
      <c r="H409" s="58">
        <f>H408-G409</f>
        <v/>
      </c>
      <c r="I409" s="58">
        <f>IF(AND(BANCO_OK_1,B409&lt;=MESES),F409+G409+VINC_MES_1,0)</f>
        <v/>
      </c>
      <c r="J409" s="52">
        <f>IF(AND(BANCO_OK_2,B409&lt;=MESES),IF(OR(OF_TIPO_2="Fija",C409&lt;=OF_ANIOS_INI_2),OF_TIN_2,MAX(0,EURIBOR+OF_DIF_2)),0)</f>
        <v/>
      </c>
      <c r="K409" s="58">
        <f>IF(AND(BANCO_OK_2,B409&lt;=MESES),IF(OR(B409=1,J409&lt;&gt;J408),PMT(J409/1200,MESES-B409+1,-N408),K408),0)</f>
        <v/>
      </c>
      <c r="L409" s="58">
        <f>N408*J409/1200</f>
        <v/>
      </c>
      <c r="M409" s="58">
        <f>IF(AND(BANCO_OK_2,B409&lt;=MESES),IF(OR(B409=MESES,K409-L409&gt;N408),N408,K409-L409),0)</f>
        <v/>
      </c>
      <c r="N409" s="58">
        <f>N408-M409</f>
        <v/>
      </c>
      <c r="O409" s="58">
        <f>IF(AND(BANCO_OK_2,B409&lt;=MESES),L409+M409+VINC_MES_2,0)</f>
        <v/>
      </c>
      <c r="P409" s="52">
        <f>IF(AND(BANCO_OK_3,B409&lt;=MESES),IF(OR(OF_TIPO_3="Fija",C409&lt;=OF_ANIOS_INI_3),OF_TIN_3,MAX(0,EURIBOR+OF_DIF_3)),0)</f>
        <v/>
      </c>
      <c r="Q409" s="58">
        <f>IF(AND(BANCO_OK_3,B409&lt;=MESES),IF(OR(B409=1,P409&lt;&gt;P408),PMT(P409/1200,MESES-B409+1,-T408),Q408),0)</f>
        <v/>
      </c>
      <c r="R409" s="58">
        <f>T408*P409/1200</f>
        <v/>
      </c>
      <c r="S409" s="58">
        <f>IF(AND(BANCO_OK_3,B409&lt;=MESES),IF(OR(B409=MESES,Q409-R409&gt;T408),T408,Q409-R409),0)</f>
        <v/>
      </c>
      <c r="T409" s="58">
        <f>T408-S409</f>
        <v/>
      </c>
      <c r="U409" s="58">
        <f>IF(AND(BANCO_OK_3,B409&lt;=MESES),R409+S409+VINC_MES_3,0)</f>
        <v/>
      </c>
      <c r="V409" s="52">
        <f>IF(AND(BANCO_OK_4,B409&lt;=MESES),IF(OR(OF_TIPO_4="Fija",C409&lt;=OF_ANIOS_INI_4),OF_TIN_4,MAX(0,EURIBOR+OF_DIF_4)),0)</f>
        <v/>
      </c>
      <c r="W409" s="58">
        <f>IF(AND(BANCO_OK_4,B409&lt;=MESES),IF(OR(B409=1,V409&lt;&gt;V408),PMT(V409/1200,MESES-B409+1,-Z408),W408),0)</f>
        <v/>
      </c>
      <c r="X409" s="58">
        <f>Z408*V409/1200</f>
        <v/>
      </c>
      <c r="Y409" s="58">
        <f>IF(AND(BANCO_OK_4,B409&lt;=MESES),IF(OR(B409=MESES,W409-X409&gt;Z408),Z408,W409-X409),0)</f>
        <v/>
      </c>
      <c r="Z409" s="58">
        <f>Z408-Y409</f>
        <v/>
      </c>
      <c r="AA409" s="58">
        <f>IF(AND(BANCO_OK_4,B409&lt;=MESES),X409+Y409+VINC_MES_4,0)</f>
        <v/>
      </c>
    </row>
    <row r="410">
      <c r="B410" s="56" t="n">
        <v>402</v>
      </c>
      <c r="C410" s="56">
        <f>ROUNDUP(B410/12,0)</f>
        <v/>
      </c>
      <c r="D410" s="52">
        <f>IF(AND(BANCO_OK_1,B410&lt;=MESES),IF(OR(OF_TIPO_1="Fija",C410&lt;=OF_ANIOS_INI_1),OF_TIN_1,MAX(0,EURIBOR+OF_DIF_1)),0)</f>
        <v/>
      </c>
      <c r="E410" s="58">
        <f>IF(AND(BANCO_OK_1,B410&lt;=MESES),IF(OR(B410=1,D410&lt;&gt;D409),PMT(D410/1200,MESES-B410+1,-H409),E409),0)</f>
        <v/>
      </c>
      <c r="F410" s="58">
        <f>H409*D410/1200</f>
        <v/>
      </c>
      <c r="G410" s="58">
        <f>IF(AND(BANCO_OK_1,B410&lt;=MESES),IF(OR(B410=MESES,E410-F410&gt;H409),H409,E410-F410),0)</f>
        <v/>
      </c>
      <c r="H410" s="58">
        <f>H409-G410</f>
        <v/>
      </c>
      <c r="I410" s="58">
        <f>IF(AND(BANCO_OK_1,B410&lt;=MESES),F410+G410+VINC_MES_1,0)</f>
        <v/>
      </c>
      <c r="J410" s="52">
        <f>IF(AND(BANCO_OK_2,B410&lt;=MESES),IF(OR(OF_TIPO_2="Fija",C410&lt;=OF_ANIOS_INI_2),OF_TIN_2,MAX(0,EURIBOR+OF_DIF_2)),0)</f>
        <v/>
      </c>
      <c r="K410" s="58">
        <f>IF(AND(BANCO_OK_2,B410&lt;=MESES),IF(OR(B410=1,J410&lt;&gt;J409),PMT(J410/1200,MESES-B410+1,-N409),K409),0)</f>
        <v/>
      </c>
      <c r="L410" s="58">
        <f>N409*J410/1200</f>
        <v/>
      </c>
      <c r="M410" s="58">
        <f>IF(AND(BANCO_OK_2,B410&lt;=MESES),IF(OR(B410=MESES,K410-L410&gt;N409),N409,K410-L410),0)</f>
        <v/>
      </c>
      <c r="N410" s="58">
        <f>N409-M410</f>
        <v/>
      </c>
      <c r="O410" s="58">
        <f>IF(AND(BANCO_OK_2,B410&lt;=MESES),L410+M410+VINC_MES_2,0)</f>
        <v/>
      </c>
      <c r="P410" s="52">
        <f>IF(AND(BANCO_OK_3,B410&lt;=MESES),IF(OR(OF_TIPO_3="Fija",C410&lt;=OF_ANIOS_INI_3),OF_TIN_3,MAX(0,EURIBOR+OF_DIF_3)),0)</f>
        <v/>
      </c>
      <c r="Q410" s="58">
        <f>IF(AND(BANCO_OK_3,B410&lt;=MESES),IF(OR(B410=1,P410&lt;&gt;P409),PMT(P410/1200,MESES-B410+1,-T409),Q409),0)</f>
        <v/>
      </c>
      <c r="R410" s="58">
        <f>T409*P410/1200</f>
        <v/>
      </c>
      <c r="S410" s="58">
        <f>IF(AND(BANCO_OK_3,B410&lt;=MESES),IF(OR(B410=MESES,Q410-R410&gt;T409),T409,Q410-R410),0)</f>
        <v/>
      </c>
      <c r="T410" s="58">
        <f>T409-S410</f>
        <v/>
      </c>
      <c r="U410" s="58">
        <f>IF(AND(BANCO_OK_3,B410&lt;=MESES),R410+S410+VINC_MES_3,0)</f>
        <v/>
      </c>
      <c r="V410" s="52">
        <f>IF(AND(BANCO_OK_4,B410&lt;=MESES),IF(OR(OF_TIPO_4="Fija",C410&lt;=OF_ANIOS_INI_4),OF_TIN_4,MAX(0,EURIBOR+OF_DIF_4)),0)</f>
        <v/>
      </c>
      <c r="W410" s="58">
        <f>IF(AND(BANCO_OK_4,B410&lt;=MESES),IF(OR(B410=1,V410&lt;&gt;V409),PMT(V410/1200,MESES-B410+1,-Z409),W409),0)</f>
        <v/>
      </c>
      <c r="X410" s="58">
        <f>Z409*V410/1200</f>
        <v/>
      </c>
      <c r="Y410" s="58">
        <f>IF(AND(BANCO_OK_4,B410&lt;=MESES),IF(OR(B410=MESES,W410-X410&gt;Z409),Z409,W410-X410),0)</f>
        <v/>
      </c>
      <c r="Z410" s="58">
        <f>Z409-Y410</f>
        <v/>
      </c>
      <c r="AA410" s="58">
        <f>IF(AND(BANCO_OK_4,B410&lt;=MESES),X410+Y410+VINC_MES_4,0)</f>
        <v/>
      </c>
    </row>
    <row r="411">
      <c r="B411" s="56" t="n">
        <v>403</v>
      </c>
      <c r="C411" s="56">
        <f>ROUNDUP(B411/12,0)</f>
        <v/>
      </c>
      <c r="D411" s="52">
        <f>IF(AND(BANCO_OK_1,B411&lt;=MESES),IF(OR(OF_TIPO_1="Fija",C411&lt;=OF_ANIOS_INI_1),OF_TIN_1,MAX(0,EURIBOR+OF_DIF_1)),0)</f>
        <v/>
      </c>
      <c r="E411" s="58">
        <f>IF(AND(BANCO_OK_1,B411&lt;=MESES),IF(OR(B411=1,D411&lt;&gt;D410),PMT(D411/1200,MESES-B411+1,-H410),E410),0)</f>
        <v/>
      </c>
      <c r="F411" s="58">
        <f>H410*D411/1200</f>
        <v/>
      </c>
      <c r="G411" s="58">
        <f>IF(AND(BANCO_OK_1,B411&lt;=MESES),IF(OR(B411=MESES,E411-F411&gt;H410),H410,E411-F411),0)</f>
        <v/>
      </c>
      <c r="H411" s="58">
        <f>H410-G411</f>
        <v/>
      </c>
      <c r="I411" s="58">
        <f>IF(AND(BANCO_OK_1,B411&lt;=MESES),F411+G411+VINC_MES_1,0)</f>
        <v/>
      </c>
      <c r="J411" s="52">
        <f>IF(AND(BANCO_OK_2,B411&lt;=MESES),IF(OR(OF_TIPO_2="Fija",C411&lt;=OF_ANIOS_INI_2),OF_TIN_2,MAX(0,EURIBOR+OF_DIF_2)),0)</f>
        <v/>
      </c>
      <c r="K411" s="58">
        <f>IF(AND(BANCO_OK_2,B411&lt;=MESES),IF(OR(B411=1,J411&lt;&gt;J410),PMT(J411/1200,MESES-B411+1,-N410),K410),0)</f>
        <v/>
      </c>
      <c r="L411" s="58">
        <f>N410*J411/1200</f>
        <v/>
      </c>
      <c r="M411" s="58">
        <f>IF(AND(BANCO_OK_2,B411&lt;=MESES),IF(OR(B411=MESES,K411-L411&gt;N410),N410,K411-L411),0)</f>
        <v/>
      </c>
      <c r="N411" s="58">
        <f>N410-M411</f>
        <v/>
      </c>
      <c r="O411" s="58">
        <f>IF(AND(BANCO_OK_2,B411&lt;=MESES),L411+M411+VINC_MES_2,0)</f>
        <v/>
      </c>
      <c r="P411" s="52">
        <f>IF(AND(BANCO_OK_3,B411&lt;=MESES),IF(OR(OF_TIPO_3="Fija",C411&lt;=OF_ANIOS_INI_3),OF_TIN_3,MAX(0,EURIBOR+OF_DIF_3)),0)</f>
        <v/>
      </c>
      <c r="Q411" s="58">
        <f>IF(AND(BANCO_OK_3,B411&lt;=MESES),IF(OR(B411=1,P411&lt;&gt;P410),PMT(P411/1200,MESES-B411+1,-T410),Q410),0)</f>
        <v/>
      </c>
      <c r="R411" s="58">
        <f>T410*P411/1200</f>
        <v/>
      </c>
      <c r="S411" s="58">
        <f>IF(AND(BANCO_OK_3,B411&lt;=MESES),IF(OR(B411=MESES,Q411-R411&gt;T410),T410,Q411-R411),0)</f>
        <v/>
      </c>
      <c r="T411" s="58">
        <f>T410-S411</f>
        <v/>
      </c>
      <c r="U411" s="58">
        <f>IF(AND(BANCO_OK_3,B411&lt;=MESES),R411+S411+VINC_MES_3,0)</f>
        <v/>
      </c>
      <c r="V411" s="52">
        <f>IF(AND(BANCO_OK_4,B411&lt;=MESES),IF(OR(OF_TIPO_4="Fija",C411&lt;=OF_ANIOS_INI_4),OF_TIN_4,MAX(0,EURIBOR+OF_DIF_4)),0)</f>
        <v/>
      </c>
      <c r="W411" s="58">
        <f>IF(AND(BANCO_OK_4,B411&lt;=MESES),IF(OR(B411=1,V411&lt;&gt;V410),PMT(V411/1200,MESES-B411+1,-Z410),W410),0)</f>
        <v/>
      </c>
      <c r="X411" s="58">
        <f>Z410*V411/1200</f>
        <v/>
      </c>
      <c r="Y411" s="58">
        <f>IF(AND(BANCO_OK_4,B411&lt;=MESES),IF(OR(B411=MESES,W411-X411&gt;Z410),Z410,W411-X411),0)</f>
        <v/>
      </c>
      <c r="Z411" s="58">
        <f>Z410-Y411</f>
        <v/>
      </c>
      <c r="AA411" s="58">
        <f>IF(AND(BANCO_OK_4,B411&lt;=MESES),X411+Y411+VINC_MES_4,0)</f>
        <v/>
      </c>
    </row>
    <row r="412">
      <c r="B412" s="56" t="n">
        <v>404</v>
      </c>
      <c r="C412" s="56">
        <f>ROUNDUP(B412/12,0)</f>
        <v/>
      </c>
      <c r="D412" s="52">
        <f>IF(AND(BANCO_OK_1,B412&lt;=MESES),IF(OR(OF_TIPO_1="Fija",C412&lt;=OF_ANIOS_INI_1),OF_TIN_1,MAX(0,EURIBOR+OF_DIF_1)),0)</f>
        <v/>
      </c>
      <c r="E412" s="58">
        <f>IF(AND(BANCO_OK_1,B412&lt;=MESES),IF(OR(B412=1,D412&lt;&gt;D411),PMT(D412/1200,MESES-B412+1,-H411),E411),0)</f>
        <v/>
      </c>
      <c r="F412" s="58">
        <f>H411*D412/1200</f>
        <v/>
      </c>
      <c r="G412" s="58">
        <f>IF(AND(BANCO_OK_1,B412&lt;=MESES),IF(OR(B412=MESES,E412-F412&gt;H411),H411,E412-F412),0)</f>
        <v/>
      </c>
      <c r="H412" s="58">
        <f>H411-G412</f>
        <v/>
      </c>
      <c r="I412" s="58">
        <f>IF(AND(BANCO_OK_1,B412&lt;=MESES),F412+G412+VINC_MES_1,0)</f>
        <v/>
      </c>
      <c r="J412" s="52">
        <f>IF(AND(BANCO_OK_2,B412&lt;=MESES),IF(OR(OF_TIPO_2="Fija",C412&lt;=OF_ANIOS_INI_2),OF_TIN_2,MAX(0,EURIBOR+OF_DIF_2)),0)</f>
        <v/>
      </c>
      <c r="K412" s="58">
        <f>IF(AND(BANCO_OK_2,B412&lt;=MESES),IF(OR(B412=1,J412&lt;&gt;J411),PMT(J412/1200,MESES-B412+1,-N411),K411),0)</f>
        <v/>
      </c>
      <c r="L412" s="58">
        <f>N411*J412/1200</f>
        <v/>
      </c>
      <c r="M412" s="58">
        <f>IF(AND(BANCO_OK_2,B412&lt;=MESES),IF(OR(B412=MESES,K412-L412&gt;N411),N411,K412-L412),0)</f>
        <v/>
      </c>
      <c r="N412" s="58">
        <f>N411-M412</f>
        <v/>
      </c>
      <c r="O412" s="58">
        <f>IF(AND(BANCO_OK_2,B412&lt;=MESES),L412+M412+VINC_MES_2,0)</f>
        <v/>
      </c>
      <c r="P412" s="52">
        <f>IF(AND(BANCO_OK_3,B412&lt;=MESES),IF(OR(OF_TIPO_3="Fija",C412&lt;=OF_ANIOS_INI_3),OF_TIN_3,MAX(0,EURIBOR+OF_DIF_3)),0)</f>
        <v/>
      </c>
      <c r="Q412" s="58">
        <f>IF(AND(BANCO_OK_3,B412&lt;=MESES),IF(OR(B412=1,P412&lt;&gt;P411),PMT(P412/1200,MESES-B412+1,-T411),Q411),0)</f>
        <v/>
      </c>
      <c r="R412" s="58">
        <f>T411*P412/1200</f>
        <v/>
      </c>
      <c r="S412" s="58">
        <f>IF(AND(BANCO_OK_3,B412&lt;=MESES),IF(OR(B412=MESES,Q412-R412&gt;T411),T411,Q412-R412),0)</f>
        <v/>
      </c>
      <c r="T412" s="58">
        <f>T411-S412</f>
        <v/>
      </c>
      <c r="U412" s="58">
        <f>IF(AND(BANCO_OK_3,B412&lt;=MESES),R412+S412+VINC_MES_3,0)</f>
        <v/>
      </c>
      <c r="V412" s="52">
        <f>IF(AND(BANCO_OK_4,B412&lt;=MESES),IF(OR(OF_TIPO_4="Fija",C412&lt;=OF_ANIOS_INI_4),OF_TIN_4,MAX(0,EURIBOR+OF_DIF_4)),0)</f>
        <v/>
      </c>
      <c r="W412" s="58">
        <f>IF(AND(BANCO_OK_4,B412&lt;=MESES),IF(OR(B412=1,V412&lt;&gt;V411),PMT(V412/1200,MESES-B412+1,-Z411),W411),0)</f>
        <v/>
      </c>
      <c r="X412" s="58">
        <f>Z411*V412/1200</f>
        <v/>
      </c>
      <c r="Y412" s="58">
        <f>IF(AND(BANCO_OK_4,B412&lt;=MESES),IF(OR(B412=MESES,W412-X412&gt;Z411),Z411,W412-X412),0)</f>
        <v/>
      </c>
      <c r="Z412" s="58">
        <f>Z411-Y412</f>
        <v/>
      </c>
      <c r="AA412" s="58">
        <f>IF(AND(BANCO_OK_4,B412&lt;=MESES),X412+Y412+VINC_MES_4,0)</f>
        <v/>
      </c>
    </row>
    <row r="413">
      <c r="B413" s="56" t="n">
        <v>405</v>
      </c>
      <c r="C413" s="56">
        <f>ROUNDUP(B413/12,0)</f>
        <v/>
      </c>
      <c r="D413" s="52">
        <f>IF(AND(BANCO_OK_1,B413&lt;=MESES),IF(OR(OF_TIPO_1="Fija",C413&lt;=OF_ANIOS_INI_1),OF_TIN_1,MAX(0,EURIBOR+OF_DIF_1)),0)</f>
        <v/>
      </c>
      <c r="E413" s="58">
        <f>IF(AND(BANCO_OK_1,B413&lt;=MESES),IF(OR(B413=1,D413&lt;&gt;D412),PMT(D413/1200,MESES-B413+1,-H412),E412),0)</f>
        <v/>
      </c>
      <c r="F413" s="58">
        <f>H412*D413/1200</f>
        <v/>
      </c>
      <c r="G413" s="58">
        <f>IF(AND(BANCO_OK_1,B413&lt;=MESES),IF(OR(B413=MESES,E413-F413&gt;H412),H412,E413-F413),0)</f>
        <v/>
      </c>
      <c r="H413" s="58">
        <f>H412-G413</f>
        <v/>
      </c>
      <c r="I413" s="58">
        <f>IF(AND(BANCO_OK_1,B413&lt;=MESES),F413+G413+VINC_MES_1,0)</f>
        <v/>
      </c>
      <c r="J413" s="52">
        <f>IF(AND(BANCO_OK_2,B413&lt;=MESES),IF(OR(OF_TIPO_2="Fija",C413&lt;=OF_ANIOS_INI_2),OF_TIN_2,MAX(0,EURIBOR+OF_DIF_2)),0)</f>
        <v/>
      </c>
      <c r="K413" s="58">
        <f>IF(AND(BANCO_OK_2,B413&lt;=MESES),IF(OR(B413=1,J413&lt;&gt;J412),PMT(J413/1200,MESES-B413+1,-N412),K412),0)</f>
        <v/>
      </c>
      <c r="L413" s="58">
        <f>N412*J413/1200</f>
        <v/>
      </c>
      <c r="M413" s="58">
        <f>IF(AND(BANCO_OK_2,B413&lt;=MESES),IF(OR(B413=MESES,K413-L413&gt;N412),N412,K413-L413),0)</f>
        <v/>
      </c>
      <c r="N413" s="58">
        <f>N412-M413</f>
        <v/>
      </c>
      <c r="O413" s="58">
        <f>IF(AND(BANCO_OK_2,B413&lt;=MESES),L413+M413+VINC_MES_2,0)</f>
        <v/>
      </c>
      <c r="P413" s="52">
        <f>IF(AND(BANCO_OK_3,B413&lt;=MESES),IF(OR(OF_TIPO_3="Fija",C413&lt;=OF_ANIOS_INI_3),OF_TIN_3,MAX(0,EURIBOR+OF_DIF_3)),0)</f>
        <v/>
      </c>
      <c r="Q413" s="58">
        <f>IF(AND(BANCO_OK_3,B413&lt;=MESES),IF(OR(B413=1,P413&lt;&gt;P412),PMT(P413/1200,MESES-B413+1,-T412),Q412),0)</f>
        <v/>
      </c>
      <c r="R413" s="58">
        <f>T412*P413/1200</f>
        <v/>
      </c>
      <c r="S413" s="58">
        <f>IF(AND(BANCO_OK_3,B413&lt;=MESES),IF(OR(B413=MESES,Q413-R413&gt;T412),T412,Q413-R413),0)</f>
        <v/>
      </c>
      <c r="T413" s="58">
        <f>T412-S413</f>
        <v/>
      </c>
      <c r="U413" s="58">
        <f>IF(AND(BANCO_OK_3,B413&lt;=MESES),R413+S413+VINC_MES_3,0)</f>
        <v/>
      </c>
      <c r="V413" s="52">
        <f>IF(AND(BANCO_OK_4,B413&lt;=MESES),IF(OR(OF_TIPO_4="Fija",C413&lt;=OF_ANIOS_INI_4),OF_TIN_4,MAX(0,EURIBOR+OF_DIF_4)),0)</f>
        <v/>
      </c>
      <c r="W413" s="58">
        <f>IF(AND(BANCO_OK_4,B413&lt;=MESES),IF(OR(B413=1,V413&lt;&gt;V412),PMT(V413/1200,MESES-B413+1,-Z412),W412),0)</f>
        <v/>
      </c>
      <c r="X413" s="58">
        <f>Z412*V413/1200</f>
        <v/>
      </c>
      <c r="Y413" s="58">
        <f>IF(AND(BANCO_OK_4,B413&lt;=MESES),IF(OR(B413=MESES,W413-X413&gt;Z412),Z412,W413-X413),0)</f>
        <v/>
      </c>
      <c r="Z413" s="58">
        <f>Z412-Y413</f>
        <v/>
      </c>
      <c r="AA413" s="58">
        <f>IF(AND(BANCO_OK_4,B413&lt;=MESES),X413+Y413+VINC_MES_4,0)</f>
        <v/>
      </c>
    </row>
    <row r="414">
      <c r="B414" s="56" t="n">
        <v>406</v>
      </c>
      <c r="C414" s="56">
        <f>ROUNDUP(B414/12,0)</f>
        <v/>
      </c>
      <c r="D414" s="52">
        <f>IF(AND(BANCO_OK_1,B414&lt;=MESES),IF(OR(OF_TIPO_1="Fija",C414&lt;=OF_ANIOS_INI_1),OF_TIN_1,MAX(0,EURIBOR+OF_DIF_1)),0)</f>
        <v/>
      </c>
      <c r="E414" s="58">
        <f>IF(AND(BANCO_OK_1,B414&lt;=MESES),IF(OR(B414=1,D414&lt;&gt;D413),PMT(D414/1200,MESES-B414+1,-H413),E413),0)</f>
        <v/>
      </c>
      <c r="F414" s="58">
        <f>H413*D414/1200</f>
        <v/>
      </c>
      <c r="G414" s="58">
        <f>IF(AND(BANCO_OK_1,B414&lt;=MESES),IF(OR(B414=MESES,E414-F414&gt;H413),H413,E414-F414),0)</f>
        <v/>
      </c>
      <c r="H414" s="58">
        <f>H413-G414</f>
        <v/>
      </c>
      <c r="I414" s="58">
        <f>IF(AND(BANCO_OK_1,B414&lt;=MESES),F414+G414+VINC_MES_1,0)</f>
        <v/>
      </c>
      <c r="J414" s="52">
        <f>IF(AND(BANCO_OK_2,B414&lt;=MESES),IF(OR(OF_TIPO_2="Fija",C414&lt;=OF_ANIOS_INI_2),OF_TIN_2,MAX(0,EURIBOR+OF_DIF_2)),0)</f>
        <v/>
      </c>
      <c r="K414" s="58">
        <f>IF(AND(BANCO_OK_2,B414&lt;=MESES),IF(OR(B414=1,J414&lt;&gt;J413),PMT(J414/1200,MESES-B414+1,-N413),K413),0)</f>
        <v/>
      </c>
      <c r="L414" s="58">
        <f>N413*J414/1200</f>
        <v/>
      </c>
      <c r="M414" s="58">
        <f>IF(AND(BANCO_OK_2,B414&lt;=MESES),IF(OR(B414=MESES,K414-L414&gt;N413),N413,K414-L414),0)</f>
        <v/>
      </c>
      <c r="N414" s="58">
        <f>N413-M414</f>
        <v/>
      </c>
      <c r="O414" s="58">
        <f>IF(AND(BANCO_OK_2,B414&lt;=MESES),L414+M414+VINC_MES_2,0)</f>
        <v/>
      </c>
      <c r="P414" s="52">
        <f>IF(AND(BANCO_OK_3,B414&lt;=MESES),IF(OR(OF_TIPO_3="Fija",C414&lt;=OF_ANIOS_INI_3),OF_TIN_3,MAX(0,EURIBOR+OF_DIF_3)),0)</f>
        <v/>
      </c>
      <c r="Q414" s="58">
        <f>IF(AND(BANCO_OK_3,B414&lt;=MESES),IF(OR(B414=1,P414&lt;&gt;P413),PMT(P414/1200,MESES-B414+1,-T413),Q413),0)</f>
        <v/>
      </c>
      <c r="R414" s="58">
        <f>T413*P414/1200</f>
        <v/>
      </c>
      <c r="S414" s="58">
        <f>IF(AND(BANCO_OK_3,B414&lt;=MESES),IF(OR(B414=MESES,Q414-R414&gt;T413),T413,Q414-R414),0)</f>
        <v/>
      </c>
      <c r="T414" s="58">
        <f>T413-S414</f>
        <v/>
      </c>
      <c r="U414" s="58">
        <f>IF(AND(BANCO_OK_3,B414&lt;=MESES),R414+S414+VINC_MES_3,0)</f>
        <v/>
      </c>
      <c r="V414" s="52">
        <f>IF(AND(BANCO_OK_4,B414&lt;=MESES),IF(OR(OF_TIPO_4="Fija",C414&lt;=OF_ANIOS_INI_4),OF_TIN_4,MAX(0,EURIBOR+OF_DIF_4)),0)</f>
        <v/>
      </c>
      <c r="W414" s="58">
        <f>IF(AND(BANCO_OK_4,B414&lt;=MESES),IF(OR(B414=1,V414&lt;&gt;V413),PMT(V414/1200,MESES-B414+1,-Z413),W413),0)</f>
        <v/>
      </c>
      <c r="X414" s="58">
        <f>Z413*V414/1200</f>
        <v/>
      </c>
      <c r="Y414" s="58">
        <f>IF(AND(BANCO_OK_4,B414&lt;=MESES),IF(OR(B414=MESES,W414-X414&gt;Z413),Z413,W414-X414),0)</f>
        <v/>
      </c>
      <c r="Z414" s="58">
        <f>Z413-Y414</f>
        <v/>
      </c>
      <c r="AA414" s="58">
        <f>IF(AND(BANCO_OK_4,B414&lt;=MESES),X414+Y414+VINC_MES_4,0)</f>
        <v/>
      </c>
    </row>
    <row r="415">
      <c r="B415" s="56" t="n">
        <v>407</v>
      </c>
      <c r="C415" s="56">
        <f>ROUNDUP(B415/12,0)</f>
        <v/>
      </c>
      <c r="D415" s="52">
        <f>IF(AND(BANCO_OK_1,B415&lt;=MESES),IF(OR(OF_TIPO_1="Fija",C415&lt;=OF_ANIOS_INI_1),OF_TIN_1,MAX(0,EURIBOR+OF_DIF_1)),0)</f>
        <v/>
      </c>
      <c r="E415" s="58">
        <f>IF(AND(BANCO_OK_1,B415&lt;=MESES),IF(OR(B415=1,D415&lt;&gt;D414),PMT(D415/1200,MESES-B415+1,-H414),E414),0)</f>
        <v/>
      </c>
      <c r="F415" s="58">
        <f>H414*D415/1200</f>
        <v/>
      </c>
      <c r="G415" s="58">
        <f>IF(AND(BANCO_OK_1,B415&lt;=MESES),IF(OR(B415=MESES,E415-F415&gt;H414),H414,E415-F415),0)</f>
        <v/>
      </c>
      <c r="H415" s="58">
        <f>H414-G415</f>
        <v/>
      </c>
      <c r="I415" s="58">
        <f>IF(AND(BANCO_OK_1,B415&lt;=MESES),F415+G415+VINC_MES_1,0)</f>
        <v/>
      </c>
      <c r="J415" s="52">
        <f>IF(AND(BANCO_OK_2,B415&lt;=MESES),IF(OR(OF_TIPO_2="Fija",C415&lt;=OF_ANIOS_INI_2),OF_TIN_2,MAX(0,EURIBOR+OF_DIF_2)),0)</f>
        <v/>
      </c>
      <c r="K415" s="58">
        <f>IF(AND(BANCO_OK_2,B415&lt;=MESES),IF(OR(B415=1,J415&lt;&gt;J414),PMT(J415/1200,MESES-B415+1,-N414),K414),0)</f>
        <v/>
      </c>
      <c r="L415" s="58">
        <f>N414*J415/1200</f>
        <v/>
      </c>
      <c r="M415" s="58">
        <f>IF(AND(BANCO_OK_2,B415&lt;=MESES),IF(OR(B415=MESES,K415-L415&gt;N414),N414,K415-L415),0)</f>
        <v/>
      </c>
      <c r="N415" s="58">
        <f>N414-M415</f>
        <v/>
      </c>
      <c r="O415" s="58">
        <f>IF(AND(BANCO_OK_2,B415&lt;=MESES),L415+M415+VINC_MES_2,0)</f>
        <v/>
      </c>
      <c r="P415" s="52">
        <f>IF(AND(BANCO_OK_3,B415&lt;=MESES),IF(OR(OF_TIPO_3="Fija",C415&lt;=OF_ANIOS_INI_3),OF_TIN_3,MAX(0,EURIBOR+OF_DIF_3)),0)</f>
        <v/>
      </c>
      <c r="Q415" s="58">
        <f>IF(AND(BANCO_OK_3,B415&lt;=MESES),IF(OR(B415=1,P415&lt;&gt;P414),PMT(P415/1200,MESES-B415+1,-T414),Q414),0)</f>
        <v/>
      </c>
      <c r="R415" s="58">
        <f>T414*P415/1200</f>
        <v/>
      </c>
      <c r="S415" s="58">
        <f>IF(AND(BANCO_OK_3,B415&lt;=MESES),IF(OR(B415=MESES,Q415-R415&gt;T414),T414,Q415-R415),0)</f>
        <v/>
      </c>
      <c r="T415" s="58">
        <f>T414-S415</f>
        <v/>
      </c>
      <c r="U415" s="58">
        <f>IF(AND(BANCO_OK_3,B415&lt;=MESES),R415+S415+VINC_MES_3,0)</f>
        <v/>
      </c>
      <c r="V415" s="52">
        <f>IF(AND(BANCO_OK_4,B415&lt;=MESES),IF(OR(OF_TIPO_4="Fija",C415&lt;=OF_ANIOS_INI_4),OF_TIN_4,MAX(0,EURIBOR+OF_DIF_4)),0)</f>
        <v/>
      </c>
      <c r="W415" s="58">
        <f>IF(AND(BANCO_OK_4,B415&lt;=MESES),IF(OR(B415=1,V415&lt;&gt;V414),PMT(V415/1200,MESES-B415+1,-Z414),W414),0)</f>
        <v/>
      </c>
      <c r="X415" s="58">
        <f>Z414*V415/1200</f>
        <v/>
      </c>
      <c r="Y415" s="58">
        <f>IF(AND(BANCO_OK_4,B415&lt;=MESES),IF(OR(B415=MESES,W415-X415&gt;Z414),Z414,W415-X415),0)</f>
        <v/>
      </c>
      <c r="Z415" s="58">
        <f>Z414-Y415</f>
        <v/>
      </c>
      <c r="AA415" s="58">
        <f>IF(AND(BANCO_OK_4,B415&lt;=MESES),X415+Y415+VINC_MES_4,0)</f>
        <v/>
      </c>
    </row>
    <row r="416">
      <c r="B416" s="56" t="n">
        <v>408</v>
      </c>
      <c r="C416" s="56">
        <f>ROUNDUP(B416/12,0)</f>
        <v/>
      </c>
      <c r="D416" s="52">
        <f>IF(AND(BANCO_OK_1,B416&lt;=MESES),IF(OR(OF_TIPO_1="Fija",C416&lt;=OF_ANIOS_INI_1),OF_TIN_1,MAX(0,EURIBOR+OF_DIF_1)),0)</f>
        <v/>
      </c>
      <c r="E416" s="58">
        <f>IF(AND(BANCO_OK_1,B416&lt;=MESES),IF(OR(B416=1,D416&lt;&gt;D415),PMT(D416/1200,MESES-B416+1,-H415),E415),0)</f>
        <v/>
      </c>
      <c r="F416" s="58">
        <f>H415*D416/1200</f>
        <v/>
      </c>
      <c r="G416" s="58">
        <f>IF(AND(BANCO_OK_1,B416&lt;=MESES),IF(OR(B416=MESES,E416-F416&gt;H415),H415,E416-F416),0)</f>
        <v/>
      </c>
      <c r="H416" s="58">
        <f>H415-G416</f>
        <v/>
      </c>
      <c r="I416" s="58">
        <f>IF(AND(BANCO_OK_1,B416&lt;=MESES),F416+G416+VINC_MES_1,0)</f>
        <v/>
      </c>
      <c r="J416" s="52">
        <f>IF(AND(BANCO_OK_2,B416&lt;=MESES),IF(OR(OF_TIPO_2="Fija",C416&lt;=OF_ANIOS_INI_2),OF_TIN_2,MAX(0,EURIBOR+OF_DIF_2)),0)</f>
        <v/>
      </c>
      <c r="K416" s="58">
        <f>IF(AND(BANCO_OK_2,B416&lt;=MESES),IF(OR(B416=1,J416&lt;&gt;J415),PMT(J416/1200,MESES-B416+1,-N415),K415),0)</f>
        <v/>
      </c>
      <c r="L416" s="58">
        <f>N415*J416/1200</f>
        <v/>
      </c>
      <c r="M416" s="58">
        <f>IF(AND(BANCO_OK_2,B416&lt;=MESES),IF(OR(B416=MESES,K416-L416&gt;N415),N415,K416-L416),0)</f>
        <v/>
      </c>
      <c r="N416" s="58">
        <f>N415-M416</f>
        <v/>
      </c>
      <c r="O416" s="58">
        <f>IF(AND(BANCO_OK_2,B416&lt;=MESES),L416+M416+VINC_MES_2,0)</f>
        <v/>
      </c>
      <c r="P416" s="52">
        <f>IF(AND(BANCO_OK_3,B416&lt;=MESES),IF(OR(OF_TIPO_3="Fija",C416&lt;=OF_ANIOS_INI_3),OF_TIN_3,MAX(0,EURIBOR+OF_DIF_3)),0)</f>
        <v/>
      </c>
      <c r="Q416" s="58">
        <f>IF(AND(BANCO_OK_3,B416&lt;=MESES),IF(OR(B416=1,P416&lt;&gt;P415),PMT(P416/1200,MESES-B416+1,-T415),Q415),0)</f>
        <v/>
      </c>
      <c r="R416" s="58">
        <f>T415*P416/1200</f>
        <v/>
      </c>
      <c r="S416" s="58">
        <f>IF(AND(BANCO_OK_3,B416&lt;=MESES),IF(OR(B416=MESES,Q416-R416&gt;T415),T415,Q416-R416),0)</f>
        <v/>
      </c>
      <c r="T416" s="58">
        <f>T415-S416</f>
        <v/>
      </c>
      <c r="U416" s="58">
        <f>IF(AND(BANCO_OK_3,B416&lt;=MESES),R416+S416+VINC_MES_3,0)</f>
        <v/>
      </c>
      <c r="V416" s="52">
        <f>IF(AND(BANCO_OK_4,B416&lt;=MESES),IF(OR(OF_TIPO_4="Fija",C416&lt;=OF_ANIOS_INI_4),OF_TIN_4,MAX(0,EURIBOR+OF_DIF_4)),0)</f>
        <v/>
      </c>
      <c r="W416" s="58">
        <f>IF(AND(BANCO_OK_4,B416&lt;=MESES),IF(OR(B416=1,V416&lt;&gt;V415),PMT(V416/1200,MESES-B416+1,-Z415),W415),0)</f>
        <v/>
      </c>
      <c r="X416" s="58">
        <f>Z415*V416/1200</f>
        <v/>
      </c>
      <c r="Y416" s="58">
        <f>IF(AND(BANCO_OK_4,B416&lt;=MESES),IF(OR(B416=MESES,W416-X416&gt;Z415),Z415,W416-X416),0)</f>
        <v/>
      </c>
      <c r="Z416" s="58">
        <f>Z415-Y416</f>
        <v/>
      </c>
      <c r="AA416" s="58">
        <f>IF(AND(BANCO_OK_4,B416&lt;=MESES),X416+Y416+VINC_MES_4,0)</f>
        <v/>
      </c>
    </row>
    <row r="417">
      <c r="B417" s="56" t="n">
        <v>409</v>
      </c>
      <c r="C417" s="56">
        <f>ROUNDUP(B417/12,0)</f>
        <v/>
      </c>
      <c r="D417" s="52">
        <f>IF(AND(BANCO_OK_1,B417&lt;=MESES),IF(OR(OF_TIPO_1="Fija",C417&lt;=OF_ANIOS_INI_1),OF_TIN_1,MAX(0,EURIBOR+OF_DIF_1)),0)</f>
        <v/>
      </c>
      <c r="E417" s="58">
        <f>IF(AND(BANCO_OK_1,B417&lt;=MESES),IF(OR(B417=1,D417&lt;&gt;D416),PMT(D417/1200,MESES-B417+1,-H416),E416),0)</f>
        <v/>
      </c>
      <c r="F417" s="58">
        <f>H416*D417/1200</f>
        <v/>
      </c>
      <c r="G417" s="58">
        <f>IF(AND(BANCO_OK_1,B417&lt;=MESES),IF(OR(B417=MESES,E417-F417&gt;H416),H416,E417-F417),0)</f>
        <v/>
      </c>
      <c r="H417" s="58">
        <f>H416-G417</f>
        <v/>
      </c>
      <c r="I417" s="58">
        <f>IF(AND(BANCO_OK_1,B417&lt;=MESES),F417+G417+VINC_MES_1,0)</f>
        <v/>
      </c>
      <c r="J417" s="52">
        <f>IF(AND(BANCO_OK_2,B417&lt;=MESES),IF(OR(OF_TIPO_2="Fija",C417&lt;=OF_ANIOS_INI_2),OF_TIN_2,MAX(0,EURIBOR+OF_DIF_2)),0)</f>
        <v/>
      </c>
      <c r="K417" s="58">
        <f>IF(AND(BANCO_OK_2,B417&lt;=MESES),IF(OR(B417=1,J417&lt;&gt;J416),PMT(J417/1200,MESES-B417+1,-N416),K416),0)</f>
        <v/>
      </c>
      <c r="L417" s="58">
        <f>N416*J417/1200</f>
        <v/>
      </c>
      <c r="M417" s="58">
        <f>IF(AND(BANCO_OK_2,B417&lt;=MESES),IF(OR(B417=MESES,K417-L417&gt;N416),N416,K417-L417),0)</f>
        <v/>
      </c>
      <c r="N417" s="58">
        <f>N416-M417</f>
        <v/>
      </c>
      <c r="O417" s="58">
        <f>IF(AND(BANCO_OK_2,B417&lt;=MESES),L417+M417+VINC_MES_2,0)</f>
        <v/>
      </c>
      <c r="P417" s="52">
        <f>IF(AND(BANCO_OK_3,B417&lt;=MESES),IF(OR(OF_TIPO_3="Fija",C417&lt;=OF_ANIOS_INI_3),OF_TIN_3,MAX(0,EURIBOR+OF_DIF_3)),0)</f>
        <v/>
      </c>
      <c r="Q417" s="58">
        <f>IF(AND(BANCO_OK_3,B417&lt;=MESES),IF(OR(B417=1,P417&lt;&gt;P416),PMT(P417/1200,MESES-B417+1,-T416),Q416),0)</f>
        <v/>
      </c>
      <c r="R417" s="58">
        <f>T416*P417/1200</f>
        <v/>
      </c>
      <c r="S417" s="58">
        <f>IF(AND(BANCO_OK_3,B417&lt;=MESES),IF(OR(B417=MESES,Q417-R417&gt;T416),T416,Q417-R417),0)</f>
        <v/>
      </c>
      <c r="T417" s="58">
        <f>T416-S417</f>
        <v/>
      </c>
      <c r="U417" s="58">
        <f>IF(AND(BANCO_OK_3,B417&lt;=MESES),R417+S417+VINC_MES_3,0)</f>
        <v/>
      </c>
      <c r="V417" s="52">
        <f>IF(AND(BANCO_OK_4,B417&lt;=MESES),IF(OR(OF_TIPO_4="Fija",C417&lt;=OF_ANIOS_INI_4),OF_TIN_4,MAX(0,EURIBOR+OF_DIF_4)),0)</f>
        <v/>
      </c>
      <c r="W417" s="58">
        <f>IF(AND(BANCO_OK_4,B417&lt;=MESES),IF(OR(B417=1,V417&lt;&gt;V416),PMT(V417/1200,MESES-B417+1,-Z416),W416),0)</f>
        <v/>
      </c>
      <c r="X417" s="58">
        <f>Z416*V417/1200</f>
        <v/>
      </c>
      <c r="Y417" s="58">
        <f>IF(AND(BANCO_OK_4,B417&lt;=MESES),IF(OR(B417=MESES,W417-X417&gt;Z416),Z416,W417-X417),0)</f>
        <v/>
      </c>
      <c r="Z417" s="58">
        <f>Z416-Y417</f>
        <v/>
      </c>
      <c r="AA417" s="58">
        <f>IF(AND(BANCO_OK_4,B417&lt;=MESES),X417+Y417+VINC_MES_4,0)</f>
        <v/>
      </c>
    </row>
    <row r="418">
      <c r="B418" s="56" t="n">
        <v>410</v>
      </c>
      <c r="C418" s="56">
        <f>ROUNDUP(B418/12,0)</f>
        <v/>
      </c>
      <c r="D418" s="52">
        <f>IF(AND(BANCO_OK_1,B418&lt;=MESES),IF(OR(OF_TIPO_1="Fija",C418&lt;=OF_ANIOS_INI_1),OF_TIN_1,MAX(0,EURIBOR+OF_DIF_1)),0)</f>
        <v/>
      </c>
      <c r="E418" s="58">
        <f>IF(AND(BANCO_OK_1,B418&lt;=MESES),IF(OR(B418=1,D418&lt;&gt;D417),PMT(D418/1200,MESES-B418+1,-H417),E417),0)</f>
        <v/>
      </c>
      <c r="F418" s="58">
        <f>H417*D418/1200</f>
        <v/>
      </c>
      <c r="G418" s="58">
        <f>IF(AND(BANCO_OK_1,B418&lt;=MESES),IF(OR(B418=MESES,E418-F418&gt;H417),H417,E418-F418),0)</f>
        <v/>
      </c>
      <c r="H418" s="58">
        <f>H417-G418</f>
        <v/>
      </c>
      <c r="I418" s="58">
        <f>IF(AND(BANCO_OK_1,B418&lt;=MESES),F418+G418+VINC_MES_1,0)</f>
        <v/>
      </c>
      <c r="J418" s="52">
        <f>IF(AND(BANCO_OK_2,B418&lt;=MESES),IF(OR(OF_TIPO_2="Fija",C418&lt;=OF_ANIOS_INI_2),OF_TIN_2,MAX(0,EURIBOR+OF_DIF_2)),0)</f>
        <v/>
      </c>
      <c r="K418" s="58">
        <f>IF(AND(BANCO_OK_2,B418&lt;=MESES),IF(OR(B418=1,J418&lt;&gt;J417),PMT(J418/1200,MESES-B418+1,-N417),K417),0)</f>
        <v/>
      </c>
      <c r="L418" s="58">
        <f>N417*J418/1200</f>
        <v/>
      </c>
      <c r="M418" s="58">
        <f>IF(AND(BANCO_OK_2,B418&lt;=MESES),IF(OR(B418=MESES,K418-L418&gt;N417),N417,K418-L418),0)</f>
        <v/>
      </c>
      <c r="N418" s="58">
        <f>N417-M418</f>
        <v/>
      </c>
      <c r="O418" s="58">
        <f>IF(AND(BANCO_OK_2,B418&lt;=MESES),L418+M418+VINC_MES_2,0)</f>
        <v/>
      </c>
      <c r="P418" s="52">
        <f>IF(AND(BANCO_OK_3,B418&lt;=MESES),IF(OR(OF_TIPO_3="Fija",C418&lt;=OF_ANIOS_INI_3),OF_TIN_3,MAX(0,EURIBOR+OF_DIF_3)),0)</f>
        <v/>
      </c>
      <c r="Q418" s="58">
        <f>IF(AND(BANCO_OK_3,B418&lt;=MESES),IF(OR(B418=1,P418&lt;&gt;P417),PMT(P418/1200,MESES-B418+1,-T417),Q417),0)</f>
        <v/>
      </c>
      <c r="R418" s="58">
        <f>T417*P418/1200</f>
        <v/>
      </c>
      <c r="S418" s="58">
        <f>IF(AND(BANCO_OK_3,B418&lt;=MESES),IF(OR(B418=MESES,Q418-R418&gt;T417),T417,Q418-R418),0)</f>
        <v/>
      </c>
      <c r="T418" s="58">
        <f>T417-S418</f>
        <v/>
      </c>
      <c r="U418" s="58">
        <f>IF(AND(BANCO_OK_3,B418&lt;=MESES),R418+S418+VINC_MES_3,0)</f>
        <v/>
      </c>
      <c r="V418" s="52">
        <f>IF(AND(BANCO_OK_4,B418&lt;=MESES),IF(OR(OF_TIPO_4="Fija",C418&lt;=OF_ANIOS_INI_4),OF_TIN_4,MAX(0,EURIBOR+OF_DIF_4)),0)</f>
        <v/>
      </c>
      <c r="W418" s="58">
        <f>IF(AND(BANCO_OK_4,B418&lt;=MESES),IF(OR(B418=1,V418&lt;&gt;V417),PMT(V418/1200,MESES-B418+1,-Z417),W417),0)</f>
        <v/>
      </c>
      <c r="X418" s="58">
        <f>Z417*V418/1200</f>
        <v/>
      </c>
      <c r="Y418" s="58">
        <f>IF(AND(BANCO_OK_4,B418&lt;=MESES),IF(OR(B418=MESES,W418-X418&gt;Z417),Z417,W418-X418),0)</f>
        <v/>
      </c>
      <c r="Z418" s="58">
        <f>Z417-Y418</f>
        <v/>
      </c>
      <c r="AA418" s="58">
        <f>IF(AND(BANCO_OK_4,B418&lt;=MESES),X418+Y418+VINC_MES_4,0)</f>
        <v/>
      </c>
    </row>
    <row r="419">
      <c r="B419" s="56" t="n">
        <v>411</v>
      </c>
      <c r="C419" s="56">
        <f>ROUNDUP(B419/12,0)</f>
        <v/>
      </c>
      <c r="D419" s="52">
        <f>IF(AND(BANCO_OK_1,B419&lt;=MESES),IF(OR(OF_TIPO_1="Fija",C419&lt;=OF_ANIOS_INI_1),OF_TIN_1,MAX(0,EURIBOR+OF_DIF_1)),0)</f>
        <v/>
      </c>
      <c r="E419" s="58">
        <f>IF(AND(BANCO_OK_1,B419&lt;=MESES),IF(OR(B419=1,D419&lt;&gt;D418),PMT(D419/1200,MESES-B419+1,-H418),E418),0)</f>
        <v/>
      </c>
      <c r="F419" s="58">
        <f>H418*D419/1200</f>
        <v/>
      </c>
      <c r="G419" s="58">
        <f>IF(AND(BANCO_OK_1,B419&lt;=MESES),IF(OR(B419=MESES,E419-F419&gt;H418),H418,E419-F419),0)</f>
        <v/>
      </c>
      <c r="H419" s="58">
        <f>H418-G419</f>
        <v/>
      </c>
      <c r="I419" s="58">
        <f>IF(AND(BANCO_OK_1,B419&lt;=MESES),F419+G419+VINC_MES_1,0)</f>
        <v/>
      </c>
      <c r="J419" s="52">
        <f>IF(AND(BANCO_OK_2,B419&lt;=MESES),IF(OR(OF_TIPO_2="Fija",C419&lt;=OF_ANIOS_INI_2),OF_TIN_2,MAX(0,EURIBOR+OF_DIF_2)),0)</f>
        <v/>
      </c>
      <c r="K419" s="58">
        <f>IF(AND(BANCO_OK_2,B419&lt;=MESES),IF(OR(B419=1,J419&lt;&gt;J418),PMT(J419/1200,MESES-B419+1,-N418),K418),0)</f>
        <v/>
      </c>
      <c r="L419" s="58">
        <f>N418*J419/1200</f>
        <v/>
      </c>
      <c r="M419" s="58">
        <f>IF(AND(BANCO_OK_2,B419&lt;=MESES),IF(OR(B419=MESES,K419-L419&gt;N418),N418,K419-L419),0)</f>
        <v/>
      </c>
      <c r="N419" s="58">
        <f>N418-M419</f>
        <v/>
      </c>
      <c r="O419" s="58">
        <f>IF(AND(BANCO_OK_2,B419&lt;=MESES),L419+M419+VINC_MES_2,0)</f>
        <v/>
      </c>
      <c r="P419" s="52">
        <f>IF(AND(BANCO_OK_3,B419&lt;=MESES),IF(OR(OF_TIPO_3="Fija",C419&lt;=OF_ANIOS_INI_3),OF_TIN_3,MAX(0,EURIBOR+OF_DIF_3)),0)</f>
        <v/>
      </c>
      <c r="Q419" s="58">
        <f>IF(AND(BANCO_OK_3,B419&lt;=MESES),IF(OR(B419=1,P419&lt;&gt;P418),PMT(P419/1200,MESES-B419+1,-T418),Q418),0)</f>
        <v/>
      </c>
      <c r="R419" s="58">
        <f>T418*P419/1200</f>
        <v/>
      </c>
      <c r="S419" s="58">
        <f>IF(AND(BANCO_OK_3,B419&lt;=MESES),IF(OR(B419=MESES,Q419-R419&gt;T418),T418,Q419-R419),0)</f>
        <v/>
      </c>
      <c r="T419" s="58">
        <f>T418-S419</f>
        <v/>
      </c>
      <c r="U419" s="58">
        <f>IF(AND(BANCO_OK_3,B419&lt;=MESES),R419+S419+VINC_MES_3,0)</f>
        <v/>
      </c>
      <c r="V419" s="52">
        <f>IF(AND(BANCO_OK_4,B419&lt;=MESES),IF(OR(OF_TIPO_4="Fija",C419&lt;=OF_ANIOS_INI_4),OF_TIN_4,MAX(0,EURIBOR+OF_DIF_4)),0)</f>
        <v/>
      </c>
      <c r="W419" s="58">
        <f>IF(AND(BANCO_OK_4,B419&lt;=MESES),IF(OR(B419=1,V419&lt;&gt;V418),PMT(V419/1200,MESES-B419+1,-Z418),W418),0)</f>
        <v/>
      </c>
      <c r="X419" s="58">
        <f>Z418*V419/1200</f>
        <v/>
      </c>
      <c r="Y419" s="58">
        <f>IF(AND(BANCO_OK_4,B419&lt;=MESES),IF(OR(B419=MESES,W419-X419&gt;Z418),Z418,W419-X419),0)</f>
        <v/>
      </c>
      <c r="Z419" s="58">
        <f>Z418-Y419</f>
        <v/>
      </c>
      <c r="AA419" s="58">
        <f>IF(AND(BANCO_OK_4,B419&lt;=MESES),X419+Y419+VINC_MES_4,0)</f>
        <v/>
      </c>
    </row>
    <row r="420">
      <c r="B420" s="56" t="n">
        <v>412</v>
      </c>
      <c r="C420" s="56">
        <f>ROUNDUP(B420/12,0)</f>
        <v/>
      </c>
      <c r="D420" s="52">
        <f>IF(AND(BANCO_OK_1,B420&lt;=MESES),IF(OR(OF_TIPO_1="Fija",C420&lt;=OF_ANIOS_INI_1),OF_TIN_1,MAX(0,EURIBOR+OF_DIF_1)),0)</f>
        <v/>
      </c>
      <c r="E420" s="58">
        <f>IF(AND(BANCO_OK_1,B420&lt;=MESES),IF(OR(B420=1,D420&lt;&gt;D419),PMT(D420/1200,MESES-B420+1,-H419),E419),0)</f>
        <v/>
      </c>
      <c r="F420" s="58">
        <f>H419*D420/1200</f>
        <v/>
      </c>
      <c r="G420" s="58">
        <f>IF(AND(BANCO_OK_1,B420&lt;=MESES),IF(OR(B420=MESES,E420-F420&gt;H419),H419,E420-F420),0)</f>
        <v/>
      </c>
      <c r="H420" s="58">
        <f>H419-G420</f>
        <v/>
      </c>
      <c r="I420" s="58">
        <f>IF(AND(BANCO_OK_1,B420&lt;=MESES),F420+G420+VINC_MES_1,0)</f>
        <v/>
      </c>
      <c r="J420" s="52">
        <f>IF(AND(BANCO_OK_2,B420&lt;=MESES),IF(OR(OF_TIPO_2="Fija",C420&lt;=OF_ANIOS_INI_2),OF_TIN_2,MAX(0,EURIBOR+OF_DIF_2)),0)</f>
        <v/>
      </c>
      <c r="K420" s="58">
        <f>IF(AND(BANCO_OK_2,B420&lt;=MESES),IF(OR(B420=1,J420&lt;&gt;J419),PMT(J420/1200,MESES-B420+1,-N419),K419),0)</f>
        <v/>
      </c>
      <c r="L420" s="58">
        <f>N419*J420/1200</f>
        <v/>
      </c>
      <c r="M420" s="58">
        <f>IF(AND(BANCO_OK_2,B420&lt;=MESES),IF(OR(B420=MESES,K420-L420&gt;N419),N419,K420-L420),0)</f>
        <v/>
      </c>
      <c r="N420" s="58">
        <f>N419-M420</f>
        <v/>
      </c>
      <c r="O420" s="58">
        <f>IF(AND(BANCO_OK_2,B420&lt;=MESES),L420+M420+VINC_MES_2,0)</f>
        <v/>
      </c>
      <c r="P420" s="52">
        <f>IF(AND(BANCO_OK_3,B420&lt;=MESES),IF(OR(OF_TIPO_3="Fija",C420&lt;=OF_ANIOS_INI_3),OF_TIN_3,MAX(0,EURIBOR+OF_DIF_3)),0)</f>
        <v/>
      </c>
      <c r="Q420" s="58">
        <f>IF(AND(BANCO_OK_3,B420&lt;=MESES),IF(OR(B420=1,P420&lt;&gt;P419),PMT(P420/1200,MESES-B420+1,-T419),Q419),0)</f>
        <v/>
      </c>
      <c r="R420" s="58">
        <f>T419*P420/1200</f>
        <v/>
      </c>
      <c r="S420" s="58">
        <f>IF(AND(BANCO_OK_3,B420&lt;=MESES),IF(OR(B420=MESES,Q420-R420&gt;T419),T419,Q420-R420),0)</f>
        <v/>
      </c>
      <c r="T420" s="58">
        <f>T419-S420</f>
        <v/>
      </c>
      <c r="U420" s="58">
        <f>IF(AND(BANCO_OK_3,B420&lt;=MESES),R420+S420+VINC_MES_3,0)</f>
        <v/>
      </c>
      <c r="V420" s="52">
        <f>IF(AND(BANCO_OK_4,B420&lt;=MESES),IF(OR(OF_TIPO_4="Fija",C420&lt;=OF_ANIOS_INI_4),OF_TIN_4,MAX(0,EURIBOR+OF_DIF_4)),0)</f>
        <v/>
      </c>
      <c r="W420" s="58">
        <f>IF(AND(BANCO_OK_4,B420&lt;=MESES),IF(OR(B420=1,V420&lt;&gt;V419),PMT(V420/1200,MESES-B420+1,-Z419),W419),0)</f>
        <v/>
      </c>
      <c r="X420" s="58">
        <f>Z419*V420/1200</f>
        <v/>
      </c>
      <c r="Y420" s="58">
        <f>IF(AND(BANCO_OK_4,B420&lt;=MESES),IF(OR(B420=MESES,W420-X420&gt;Z419),Z419,W420-X420),0)</f>
        <v/>
      </c>
      <c r="Z420" s="58">
        <f>Z419-Y420</f>
        <v/>
      </c>
      <c r="AA420" s="58">
        <f>IF(AND(BANCO_OK_4,B420&lt;=MESES),X420+Y420+VINC_MES_4,0)</f>
        <v/>
      </c>
    </row>
    <row r="421">
      <c r="B421" s="56" t="n">
        <v>413</v>
      </c>
      <c r="C421" s="56">
        <f>ROUNDUP(B421/12,0)</f>
        <v/>
      </c>
      <c r="D421" s="52">
        <f>IF(AND(BANCO_OK_1,B421&lt;=MESES),IF(OR(OF_TIPO_1="Fija",C421&lt;=OF_ANIOS_INI_1),OF_TIN_1,MAX(0,EURIBOR+OF_DIF_1)),0)</f>
        <v/>
      </c>
      <c r="E421" s="58">
        <f>IF(AND(BANCO_OK_1,B421&lt;=MESES),IF(OR(B421=1,D421&lt;&gt;D420),PMT(D421/1200,MESES-B421+1,-H420),E420),0)</f>
        <v/>
      </c>
      <c r="F421" s="58">
        <f>H420*D421/1200</f>
        <v/>
      </c>
      <c r="G421" s="58">
        <f>IF(AND(BANCO_OK_1,B421&lt;=MESES),IF(OR(B421=MESES,E421-F421&gt;H420),H420,E421-F421),0)</f>
        <v/>
      </c>
      <c r="H421" s="58">
        <f>H420-G421</f>
        <v/>
      </c>
      <c r="I421" s="58">
        <f>IF(AND(BANCO_OK_1,B421&lt;=MESES),F421+G421+VINC_MES_1,0)</f>
        <v/>
      </c>
      <c r="J421" s="52">
        <f>IF(AND(BANCO_OK_2,B421&lt;=MESES),IF(OR(OF_TIPO_2="Fija",C421&lt;=OF_ANIOS_INI_2),OF_TIN_2,MAX(0,EURIBOR+OF_DIF_2)),0)</f>
        <v/>
      </c>
      <c r="K421" s="58">
        <f>IF(AND(BANCO_OK_2,B421&lt;=MESES),IF(OR(B421=1,J421&lt;&gt;J420),PMT(J421/1200,MESES-B421+1,-N420),K420),0)</f>
        <v/>
      </c>
      <c r="L421" s="58">
        <f>N420*J421/1200</f>
        <v/>
      </c>
      <c r="M421" s="58">
        <f>IF(AND(BANCO_OK_2,B421&lt;=MESES),IF(OR(B421=MESES,K421-L421&gt;N420),N420,K421-L421),0)</f>
        <v/>
      </c>
      <c r="N421" s="58">
        <f>N420-M421</f>
        <v/>
      </c>
      <c r="O421" s="58">
        <f>IF(AND(BANCO_OK_2,B421&lt;=MESES),L421+M421+VINC_MES_2,0)</f>
        <v/>
      </c>
      <c r="P421" s="52">
        <f>IF(AND(BANCO_OK_3,B421&lt;=MESES),IF(OR(OF_TIPO_3="Fija",C421&lt;=OF_ANIOS_INI_3),OF_TIN_3,MAX(0,EURIBOR+OF_DIF_3)),0)</f>
        <v/>
      </c>
      <c r="Q421" s="58">
        <f>IF(AND(BANCO_OK_3,B421&lt;=MESES),IF(OR(B421=1,P421&lt;&gt;P420),PMT(P421/1200,MESES-B421+1,-T420),Q420),0)</f>
        <v/>
      </c>
      <c r="R421" s="58">
        <f>T420*P421/1200</f>
        <v/>
      </c>
      <c r="S421" s="58">
        <f>IF(AND(BANCO_OK_3,B421&lt;=MESES),IF(OR(B421=MESES,Q421-R421&gt;T420),T420,Q421-R421),0)</f>
        <v/>
      </c>
      <c r="T421" s="58">
        <f>T420-S421</f>
        <v/>
      </c>
      <c r="U421" s="58">
        <f>IF(AND(BANCO_OK_3,B421&lt;=MESES),R421+S421+VINC_MES_3,0)</f>
        <v/>
      </c>
      <c r="V421" s="52">
        <f>IF(AND(BANCO_OK_4,B421&lt;=MESES),IF(OR(OF_TIPO_4="Fija",C421&lt;=OF_ANIOS_INI_4),OF_TIN_4,MAX(0,EURIBOR+OF_DIF_4)),0)</f>
        <v/>
      </c>
      <c r="W421" s="58">
        <f>IF(AND(BANCO_OK_4,B421&lt;=MESES),IF(OR(B421=1,V421&lt;&gt;V420),PMT(V421/1200,MESES-B421+1,-Z420),W420),0)</f>
        <v/>
      </c>
      <c r="X421" s="58">
        <f>Z420*V421/1200</f>
        <v/>
      </c>
      <c r="Y421" s="58">
        <f>IF(AND(BANCO_OK_4,B421&lt;=MESES),IF(OR(B421=MESES,W421-X421&gt;Z420),Z420,W421-X421),0)</f>
        <v/>
      </c>
      <c r="Z421" s="58">
        <f>Z420-Y421</f>
        <v/>
      </c>
      <c r="AA421" s="58">
        <f>IF(AND(BANCO_OK_4,B421&lt;=MESES),X421+Y421+VINC_MES_4,0)</f>
        <v/>
      </c>
    </row>
    <row r="422">
      <c r="B422" s="56" t="n">
        <v>414</v>
      </c>
      <c r="C422" s="56">
        <f>ROUNDUP(B422/12,0)</f>
        <v/>
      </c>
      <c r="D422" s="52">
        <f>IF(AND(BANCO_OK_1,B422&lt;=MESES),IF(OR(OF_TIPO_1="Fija",C422&lt;=OF_ANIOS_INI_1),OF_TIN_1,MAX(0,EURIBOR+OF_DIF_1)),0)</f>
        <v/>
      </c>
      <c r="E422" s="58">
        <f>IF(AND(BANCO_OK_1,B422&lt;=MESES),IF(OR(B422=1,D422&lt;&gt;D421),PMT(D422/1200,MESES-B422+1,-H421),E421),0)</f>
        <v/>
      </c>
      <c r="F422" s="58">
        <f>H421*D422/1200</f>
        <v/>
      </c>
      <c r="G422" s="58">
        <f>IF(AND(BANCO_OK_1,B422&lt;=MESES),IF(OR(B422=MESES,E422-F422&gt;H421),H421,E422-F422),0)</f>
        <v/>
      </c>
      <c r="H422" s="58">
        <f>H421-G422</f>
        <v/>
      </c>
      <c r="I422" s="58">
        <f>IF(AND(BANCO_OK_1,B422&lt;=MESES),F422+G422+VINC_MES_1,0)</f>
        <v/>
      </c>
      <c r="J422" s="52">
        <f>IF(AND(BANCO_OK_2,B422&lt;=MESES),IF(OR(OF_TIPO_2="Fija",C422&lt;=OF_ANIOS_INI_2),OF_TIN_2,MAX(0,EURIBOR+OF_DIF_2)),0)</f>
        <v/>
      </c>
      <c r="K422" s="58">
        <f>IF(AND(BANCO_OK_2,B422&lt;=MESES),IF(OR(B422=1,J422&lt;&gt;J421),PMT(J422/1200,MESES-B422+1,-N421),K421),0)</f>
        <v/>
      </c>
      <c r="L422" s="58">
        <f>N421*J422/1200</f>
        <v/>
      </c>
      <c r="M422" s="58">
        <f>IF(AND(BANCO_OK_2,B422&lt;=MESES),IF(OR(B422=MESES,K422-L422&gt;N421),N421,K422-L422),0)</f>
        <v/>
      </c>
      <c r="N422" s="58">
        <f>N421-M422</f>
        <v/>
      </c>
      <c r="O422" s="58">
        <f>IF(AND(BANCO_OK_2,B422&lt;=MESES),L422+M422+VINC_MES_2,0)</f>
        <v/>
      </c>
      <c r="P422" s="52">
        <f>IF(AND(BANCO_OK_3,B422&lt;=MESES),IF(OR(OF_TIPO_3="Fija",C422&lt;=OF_ANIOS_INI_3),OF_TIN_3,MAX(0,EURIBOR+OF_DIF_3)),0)</f>
        <v/>
      </c>
      <c r="Q422" s="58">
        <f>IF(AND(BANCO_OK_3,B422&lt;=MESES),IF(OR(B422=1,P422&lt;&gt;P421),PMT(P422/1200,MESES-B422+1,-T421),Q421),0)</f>
        <v/>
      </c>
      <c r="R422" s="58">
        <f>T421*P422/1200</f>
        <v/>
      </c>
      <c r="S422" s="58">
        <f>IF(AND(BANCO_OK_3,B422&lt;=MESES),IF(OR(B422=MESES,Q422-R422&gt;T421),T421,Q422-R422),0)</f>
        <v/>
      </c>
      <c r="T422" s="58">
        <f>T421-S422</f>
        <v/>
      </c>
      <c r="U422" s="58">
        <f>IF(AND(BANCO_OK_3,B422&lt;=MESES),R422+S422+VINC_MES_3,0)</f>
        <v/>
      </c>
      <c r="V422" s="52">
        <f>IF(AND(BANCO_OK_4,B422&lt;=MESES),IF(OR(OF_TIPO_4="Fija",C422&lt;=OF_ANIOS_INI_4),OF_TIN_4,MAX(0,EURIBOR+OF_DIF_4)),0)</f>
        <v/>
      </c>
      <c r="W422" s="58">
        <f>IF(AND(BANCO_OK_4,B422&lt;=MESES),IF(OR(B422=1,V422&lt;&gt;V421),PMT(V422/1200,MESES-B422+1,-Z421),W421),0)</f>
        <v/>
      </c>
      <c r="X422" s="58">
        <f>Z421*V422/1200</f>
        <v/>
      </c>
      <c r="Y422" s="58">
        <f>IF(AND(BANCO_OK_4,B422&lt;=MESES),IF(OR(B422=MESES,W422-X422&gt;Z421),Z421,W422-X422),0)</f>
        <v/>
      </c>
      <c r="Z422" s="58">
        <f>Z421-Y422</f>
        <v/>
      </c>
      <c r="AA422" s="58">
        <f>IF(AND(BANCO_OK_4,B422&lt;=MESES),X422+Y422+VINC_MES_4,0)</f>
        <v/>
      </c>
    </row>
    <row r="423">
      <c r="B423" s="56" t="n">
        <v>415</v>
      </c>
      <c r="C423" s="56">
        <f>ROUNDUP(B423/12,0)</f>
        <v/>
      </c>
      <c r="D423" s="52">
        <f>IF(AND(BANCO_OK_1,B423&lt;=MESES),IF(OR(OF_TIPO_1="Fija",C423&lt;=OF_ANIOS_INI_1),OF_TIN_1,MAX(0,EURIBOR+OF_DIF_1)),0)</f>
        <v/>
      </c>
      <c r="E423" s="58">
        <f>IF(AND(BANCO_OK_1,B423&lt;=MESES),IF(OR(B423=1,D423&lt;&gt;D422),PMT(D423/1200,MESES-B423+1,-H422),E422),0)</f>
        <v/>
      </c>
      <c r="F423" s="58">
        <f>H422*D423/1200</f>
        <v/>
      </c>
      <c r="G423" s="58">
        <f>IF(AND(BANCO_OK_1,B423&lt;=MESES),IF(OR(B423=MESES,E423-F423&gt;H422),H422,E423-F423),0)</f>
        <v/>
      </c>
      <c r="H423" s="58">
        <f>H422-G423</f>
        <v/>
      </c>
      <c r="I423" s="58">
        <f>IF(AND(BANCO_OK_1,B423&lt;=MESES),F423+G423+VINC_MES_1,0)</f>
        <v/>
      </c>
      <c r="J423" s="52">
        <f>IF(AND(BANCO_OK_2,B423&lt;=MESES),IF(OR(OF_TIPO_2="Fija",C423&lt;=OF_ANIOS_INI_2),OF_TIN_2,MAX(0,EURIBOR+OF_DIF_2)),0)</f>
        <v/>
      </c>
      <c r="K423" s="58">
        <f>IF(AND(BANCO_OK_2,B423&lt;=MESES),IF(OR(B423=1,J423&lt;&gt;J422),PMT(J423/1200,MESES-B423+1,-N422),K422),0)</f>
        <v/>
      </c>
      <c r="L423" s="58">
        <f>N422*J423/1200</f>
        <v/>
      </c>
      <c r="M423" s="58">
        <f>IF(AND(BANCO_OK_2,B423&lt;=MESES),IF(OR(B423=MESES,K423-L423&gt;N422),N422,K423-L423),0)</f>
        <v/>
      </c>
      <c r="N423" s="58">
        <f>N422-M423</f>
        <v/>
      </c>
      <c r="O423" s="58">
        <f>IF(AND(BANCO_OK_2,B423&lt;=MESES),L423+M423+VINC_MES_2,0)</f>
        <v/>
      </c>
      <c r="P423" s="52">
        <f>IF(AND(BANCO_OK_3,B423&lt;=MESES),IF(OR(OF_TIPO_3="Fija",C423&lt;=OF_ANIOS_INI_3),OF_TIN_3,MAX(0,EURIBOR+OF_DIF_3)),0)</f>
        <v/>
      </c>
      <c r="Q423" s="58">
        <f>IF(AND(BANCO_OK_3,B423&lt;=MESES),IF(OR(B423=1,P423&lt;&gt;P422),PMT(P423/1200,MESES-B423+1,-T422),Q422),0)</f>
        <v/>
      </c>
      <c r="R423" s="58">
        <f>T422*P423/1200</f>
        <v/>
      </c>
      <c r="S423" s="58">
        <f>IF(AND(BANCO_OK_3,B423&lt;=MESES),IF(OR(B423=MESES,Q423-R423&gt;T422),T422,Q423-R423),0)</f>
        <v/>
      </c>
      <c r="T423" s="58">
        <f>T422-S423</f>
        <v/>
      </c>
      <c r="U423" s="58">
        <f>IF(AND(BANCO_OK_3,B423&lt;=MESES),R423+S423+VINC_MES_3,0)</f>
        <v/>
      </c>
      <c r="V423" s="52">
        <f>IF(AND(BANCO_OK_4,B423&lt;=MESES),IF(OR(OF_TIPO_4="Fija",C423&lt;=OF_ANIOS_INI_4),OF_TIN_4,MAX(0,EURIBOR+OF_DIF_4)),0)</f>
        <v/>
      </c>
      <c r="W423" s="58">
        <f>IF(AND(BANCO_OK_4,B423&lt;=MESES),IF(OR(B423=1,V423&lt;&gt;V422),PMT(V423/1200,MESES-B423+1,-Z422),W422),0)</f>
        <v/>
      </c>
      <c r="X423" s="58">
        <f>Z422*V423/1200</f>
        <v/>
      </c>
      <c r="Y423" s="58">
        <f>IF(AND(BANCO_OK_4,B423&lt;=MESES),IF(OR(B423=MESES,W423-X423&gt;Z422),Z422,W423-X423),0)</f>
        <v/>
      </c>
      <c r="Z423" s="58">
        <f>Z422-Y423</f>
        <v/>
      </c>
      <c r="AA423" s="58">
        <f>IF(AND(BANCO_OK_4,B423&lt;=MESES),X423+Y423+VINC_MES_4,0)</f>
        <v/>
      </c>
    </row>
    <row r="424">
      <c r="B424" s="56" t="n">
        <v>416</v>
      </c>
      <c r="C424" s="56">
        <f>ROUNDUP(B424/12,0)</f>
        <v/>
      </c>
      <c r="D424" s="52">
        <f>IF(AND(BANCO_OK_1,B424&lt;=MESES),IF(OR(OF_TIPO_1="Fija",C424&lt;=OF_ANIOS_INI_1),OF_TIN_1,MAX(0,EURIBOR+OF_DIF_1)),0)</f>
        <v/>
      </c>
      <c r="E424" s="58">
        <f>IF(AND(BANCO_OK_1,B424&lt;=MESES),IF(OR(B424=1,D424&lt;&gt;D423),PMT(D424/1200,MESES-B424+1,-H423),E423),0)</f>
        <v/>
      </c>
      <c r="F424" s="58">
        <f>H423*D424/1200</f>
        <v/>
      </c>
      <c r="G424" s="58">
        <f>IF(AND(BANCO_OK_1,B424&lt;=MESES),IF(OR(B424=MESES,E424-F424&gt;H423),H423,E424-F424),0)</f>
        <v/>
      </c>
      <c r="H424" s="58">
        <f>H423-G424</f>
        <v/>
      </c>
      <c r="I424" s="58">
        <f>IF(AND(BANCO_OK_1,B424&lt;=MESES),F424+G424+VINC_MES_1,0)</f>
        <v/>
      </c>
      <c r="J424" s="52">
        <f>IF(AND(BANCO_OK_2,B424&lt;=MESES),IF(OR(OF_TIPO_2="Fija",C424&lt;=OF_ANIOS_INI_2),OF_TIN_2,MAX(0,EURIBOR+OF_DIF_2)),0)</f>
        <v/>
      </c>
      <c r="K424" s="58">
        <f>IF(AND(BANCO_OK_2,B424&lt;=MESES),IF(OR(B424=1,J424&lt;&gt;J423),PMT(J424/1200,MESES-B424+1,-N423),K423),0)</f>
        <v/>
      </c>
      <c r="L424" s="58">
        <f>N423*J424/1200</f>
        <v/>
      </c>
      <c r="M424" s="58">
        <f>IF(AND(BANCO_OK_2,B424&lt;=MESES),IF(OR(B424=MESES,K424-L424&gt;N423),N423,K424-L424),0)</f>
        <v/>
      </c>
      <c r="N424" s="58">
        <f>N423-M424</f>
        <v/>
      </c>
      <c r="O424" s="58">
        <f>IF(AND(BANCO_OK_2,B424&lt;=MESES),L424+M424+VINC_MES_2,0)</f>
        <v/>
      </c>
      <c r="P424" s="52">
        <f>IF(AND(BANCO_OK_3,B424&lt;=MESES),IF(OR(OF_TIPO_3="Fija",C424&lt;=OF_ANIOS_INI_3),OF_TIN_3,MAX(0,EURIBOR+OF_DIF_3)),0)</f>
        <v/>
      </c>
      <c r="Q424" s="58">
        <f>IF(AND(BANCO_OK_3,B424&lt;=MESES),IF(OR(B424=1,P424&lt;&gt;P423),PMT(P424/1200,MESES-B424+1,-T423),Q423),0)</f>
        <v/>
      </c>
      <c r="R424" s="58">
        <f>T423*P424/1200</f>
        <v/>
      </c>
      <c r="S424" s="58">
        <f>IF(AND(BANCO_OK_3,B424&lt;=MESES),IF(OR(B424=MESES,Q424-R424&gt;T423),T423,Q424-R424),0)</f>
        <v/>
      </c>
      <c r="T424" s="58">
        <f>T423-S424</f>
        <v/>
      </c>
      <c r="U424" s="58">
        <f>IF(AND(BANCO_OK_3,B424&lt;=MESES),R424+S424+VINC_MES_3,0)</f>
        <v/>
      </c>
      <c r="V424" s="52">
        <f>IF(AND(BANCO_OK_4,B424&lt;=MESES),IF(OR(OF_TIPO_4="Fija",C424&lt;=OF_ANIOS_INI_4),OF_TIN_4,MAX(0,EURIBOR+OF_DIF_4)),0)</f>
        <v/>
      </c>
      <c r="W424" s="58">
        <f>IF(AND(BANCO_OK_4,B424&lt;=MESES),IF(OR(B424=1,V424&lt;&gt;V423),PMT(V424/1200,MESES-B424+1,-Z423),W423),0)</f>
        <v/>
      </c>
      <c r="X424" s="58">
        <f>Z423*V424/1200</f>
        <v/>
      </c>
      <c r="Y424" s="58">
        <f>IF(AND(BANCO_OK_4,B424&lt;=MESES),IF(OR(B424=MESES,W424-X424&gt;Z423),Z423,W424-X424),0)</f>
        <v/>
      </c>
      <c r="Z424" s="58">
        <f>Z423-Y424</f>
        <v/>
      </c>
      <c r="AA424" s="58">
        <f>IF(AND(BANCO_OK_4,B424&lt;=MESES),X424+Y424+VINC_MES_4,0)</f>
        <v/>
      </c>
    </row>
    <row r="425">
      <c r="B425" s="56" t="n">
        <v>417</v>
      </c>
      <c r="C425" s="56">
        <f>ROUNDUP(B425/12,0)</f>
        <v/>
      </c>
      <c r="D425" s="52">
        <f>IF(AND(BANCO_OK_1,B425&lt;=MESES),IF(OR(OF_TIPO_1="Fija",C425&lt;=OF_ANIOS_INI_1),OF_TIN_1,MAX(0,EURIBOR+OF_DIF_1)),0)</f>
        <v/>
      </c>
      <c r="E425" s="58">
        <f>IF(AND(BANCO_OK_1,B425&lt;=MESES),IF(OR(B425=1,D425&lt;&gt;D424),PMT(D425/1200,MESES-B425+1,-H424),E424),0)</f>
        <v/>
      </c>
      <c r="F425" s="58">
        <f>H424*D425/1200</f>
        <v/>
      </c>
      <c r="G425" s="58">
        <f>IF(AND(BANCO_OK_1,B425&lt;=MESES),IF(OR(B425=MESES,E425-F425&gt;H424),H424,E425-F425),0)</f>
        <v/>
      </c>
      <c r="H425" s="58">
        <f>H424-G425</f>
        <v/>
      </c>
      <c r="I425" s="58">
        <f>IF(AND(BANCO_OK_1,B425&lt;=MESES),F425+G425+VINC_MES_1,0)</f>
        <v/>
      </c>
      <c r="J425" s="52">
        <f>IF(AND(BANCO_OK_2,B425&lt;=MESES),IF(OR(OF_TIPO_2="Fija",C425&lt;=OF_ANIOS_INI_2),OF_TIN_2,MAX(0,EURIBOR+OF_DIF_2)),0)</f>
        <v/>
      </c>
      <c r="K425" s="58">
        <f>IF(AND(BANCO_OK_2,B425&lt;=MESES),IF(OR(B425=1,J425&lt;&gt;J424),PMT(J425/1200,MESES-B425+1,-N424),K424),0)</f>
        <v/>
      </c>
      <c r="L425" s="58">
        <f>N424*J425/1200</f>
        <v/>
      </c>
      <c r="M425" s="58">
        <f>IF(AND(BANCO_OK_2,B425&lt;=MESES),IF(OR(B425=MESES,K425-L425&gt;N424),N424,K425-L425),0)</f>
        <v/>
      </c>
      <c r="N425" s="58">
        <f>N424-M425</f>
        <v/>
      </c>
      <c r="O425" s="58">
        <f>IF(AND(BANCO_OK_2,B425&lt;=MESES),L425+M425+VINC_MES_2,0)</f>
        <v/>
      </c>
      <c r="P425" s="52">
        <f>IF(AND(BANCO_OK_3,B425&lt;=MESES),IF(OR(OF_TIPO_3="Fija",C425&lt;=OF_ANIOS_INI_3),OF_TIN_3,MAX(0,EURIBOR+OF_DIF_3)),0)</f>
        <v/>
      </c>
      <c r="Q425" s="58">
        <f>IF(AND(BANCO_OK_3,B425&lt;=MESES),IF(OR(B425=1,P425&lt;&gt;P424),PMT(P425/1200,MESES-B425+1,-T424),Q424),0)</f>
        <v/>
      </c>
      <c r="R425" s="58">
        <f>T424*P425/1200</f>
        <v/>
      </c>
      <c r="S425" s="58">
        <f>IF(AND(BANCO_OK_3,B425&lt;=MESES),IF(OR(B425=MESES,Q425-R425&gt;T424),T424,Q425-R425),0)</f>
        <v/>
      </c>
      <c r="T425" s="58">
        <f>T424-S425</f>
        <v/>
      </c>
      <c r="U425" s="58">
        <f>IF(AND(BANCO_OK_3,B425&lt;=MESES),R425+S425+VINC_MES_3,0)</f>
        <v/>
      </c>
      <c r="V425" s="52">
        <f>IF(AND(BANCO_OK_4,B425&lt;=MESES),IF(OR(OF_TIPO_4="Fija",C425&lt;=OF_ANIOS_INI_4),OF_TIN_4,MAX(0,EURIBOR+OF_DIF_4)),0)</f>
        <v/>
      </c>
      <c r="W425" s="58">
        <f>IF(AND(BANCO_OK_4,B425&lt;=MESES),IF(OR(B425=1,V425&lt;&gt;V424),PMT(V425/1200,MESES-B425+1,-Z424),W424),0)</f>
        <v/>
      </c>
      <c r="X425" s="58">
        <f>Z424*V425/1200</f>
        <v/>
      </c>
      <c r="Y425" s="58">
        <f>IF(AND(BANCO_OK_4,B425&lt;=MESES),IF(OR(B425=MESES,W425-X425&gt;Z424),Z424,W425-X425),0)</f>
        <v/>
      </c>
      <c r="Z425" s="58">
        <f>Z424-Y425</f>
        <v/>
      </c>
      <c r="AA425" s="58">
        <f>IF(AND(BANCO_OK_4,B425&lt;=MESES),X425+Y425+VINC_MES_4,0)</f>
        <v/>
      </c>
    </row>
    <row r="426">
      <c r="B426" s="56" t="n">
        <v>418</v>
      </c>
      <c r="C426" s="56">
        <f>ROUNDUP(B426/12,0)</f>
        <v/>
      </c>
      <c r="D426" s="52">
        <f>IF(AND(BANCO_OK_1,B426&lt;=MESES),IF(OR(OF_TIPO_1="Fija",C426&lt;=OF_ANIOS_INI_1),OF_TIN_1,MAX(0,EURIBOR+OF_DIF_1)),0)</f>
        <v/>
      </c>
      <c r="E426" s="58">
        <f>IF(AND(BANCO_OK_1,B426&lt;=MESES),IF(OR(B426=1,D426&lt;&gt;D425),PMT(D426/1200,MESES-B426+1,-H425),E425),0)</f>
        <v/>
      </c>
      <c r="F426" s="58">
        <f>H425*D426/1200</f>
        <v/>
      </c>
      <c r="G426" s="58">
        <f>IF(AND(BANCO_OK_1,B426&lt;=MESES),IF(OR(B426=MESES,E426-F426&gt;H425),H425,E426-F426),0)</f>
        <v/>
      </c>
      <c r="H426" s="58">
        <f>H425-G426</f>
        <v/>
      </c>
      <c r="I426" s="58">
        <f>IF(AND(BANCO_OK_1,B426&lt;=MESES),F426+G426+VINC_MES_1,0)</f>
        <v/>
      </c>
      <c r="J426" s="52">
        <f>IF(AND(BANCO_OK_2,B426&lt;=MESES),IF(OR(OF_TIPO_2="Fija",C426&lt;=OF_ANIOS_INI_2),OF_TIN_2,MAX(0,EURIBOR+OF_DIF_2)),0)</f>
        <v/>
      </c>
      <c r="K426" s="58">
        <f>IF(AND(BANCO_OK_2,B426&lt;=MESES),IF(OR(B426=1,J426&lt;&gt;J425),PMT(J426/1200,MESES-B426+1,-N425),K425),0)</f>
        <v/>
      </c>
      <c r="L426" s="58">
        <f>N425*J426/1200</f>
        <v/>
      </c>
      <c r="M426" s="58">
        <f>IF(AND(BANCO_OK_2,B426&lt;=MESES),IF(OR(B426=MESES,K426-L426&gt;N425),N425,K426-L426),0)</f>
        <v/>
      </c>
      <c r="N426" s="58">
        <f>N425-M426</f>
        <v/>
      </c>
      <c r="O426" s="58">
        <f>IF(AND(BANCO_OK_2,B426&lt;=MESES),L426+M426+VINC_MES_2,0)</f>
        <v/>
      </c>
      <c r="P426" s="52">
        <f>IF(AND(BANCO_OK_3,B426&lt;=MESES),IF(OR(OF_TIPO_3="Fija",C426&lt;=OF_ANIOS_INI_3),OF_TIN_3,MAX(0,EURIBOR+OF_DIF_3)),0)</f>
        <v/>
      </c>
      <c r="Q426" s="58">
        <f>IF(AND(BANCO_OK_3,B426&lt;=MESES),IF(OR(B426=1,P426&lt;&gt;P425),PMT(P426/1200,MESES-B426+1,-T425),Q425),0)</f>
        <v/>
      </c>
      <c r="R426" s="58">
        <f>T425*P426/1200</f>
        <v/>
      </c>
      <c r="S426" s="58">
        <f>IF(AND(BANCO_OK_3,B426&lt;=MESES),IF(OR(B426=MESES,Q426-R426&gt;T425),T425,Q426-R426),0)</f>
        <v/>
      </c>
      <c r="T426" s="58">
        <f>T425-S426</f>
        <v/>
      </c>
      <c r="U426" s="58">
        <f>IF(AND(BANCO_OK_3,B426&lt;=MESES),R426+S426+VINC_MES_3,0)</f>
        <v/>
      </c>
      <c r="V426" s="52">
        <f>IF(AND(BANCO_OK_4,B426&lt;=MESES),IF(OR(OF_TIPO_4="Fija",C426&lt;=OF_ANIOS_INI_4),OF_TIN_4,MAX(0,EURIBOR+OF_DIF_4)),0)</f>
        <v/>
      </c>
      <c r="W426" s="58">
        <f>IF(AND(BANCO_OK_4,B426&lt;=MESES),IF(OR(B426=1,V426&lt;&gt;V425),PMT(V426/1200,MESES-B426+1,-Z425),W425),0)</f>
        <v/>
      </c>
      <c r="X426" s="58">
        <f>Z425*V426/1200</f>
        <v/>
      </c>
      <c r="Y426" s="58">
        <f>IF(AND(BANCO_OK_4,B426&lt;=MESES),IF(OR(B426=MESES,W426-X426&gt;Z425),Z425,W426-X426),0)</f>
        <v/>
      </c>
      <c r="Z426" s="58">
        <f>Z425-Y426</f>
        <v/>
      </c>
      <c r="AA426" s="58">
        <f>IF(AND(BANCO_OK_4,B426&lt;=MESES),X426+Y426+VINC_MES_4,0)</f>
        <v/>
      </c>
    </row>
    <row r="427">
      <c r="B427" s="56" t="n">
        <v>419</v>
      </c>
      <c r="C427" s="56">
        <f>ROUNDUP(B427/12,0)</f>
        <v/>
      </c>
      <c r="D427" s="52">
        <f>IF(AND(BANCO_OK_1,B427&lt;=MESES),IF(OR(OF_TIPO_1="Fija",C427&lt;=OF_ANIOS_INI_1),OF_TIN_1,MAX(0,EURIBOR+OF_DIF_1)),0)</f>
        <v/>
      </c>
      <c r="E427" s="58">
        <f>IF(AND(BANCO_OK_1,B427&lt;=MESES),IF(OR(B427=1,D427&lt;&gt;D426),PMT(D427/1200,MESES-B427+1,-H426),E426),0)</f>
        <v/>
      </c>
      <c r="F427" s="58">
        <f>H426*D427/1200</f>
        <v/>
      </c>
      <c r="G427" s="58">
        <f>IF(AND(BANCO_OK_1,B427&lt;=MESES),IF(OR(B427=MESES,E427-F427&gt;H426),H426,E427-F427),0)</f>
        <v/>
      </c>
      <c r="H427" s="58">
        <f>H426-G427</f>
        <v/>
      </c>
      <c r="I427" s="58">
        <f>IF(AND(BANCO_OK_1,B427&lt;=MESES),F427+G427+VINC_MES_1,0)</f>
        <v/>
      </c>
      <c r="J427" s="52">
        <f>IF(AND(BANCO_OK_2,B427&lt;=MESES),IF(OR(OF_TIPO_2="Fija",C427&lt;=OF_ANIOS_INI_2),OF_TIN_2,MAX(0,EURIBOR+OF_DIF_2)),0)</f>
        <v/>
      </c>
      <c r="K427" s="58">
        <f>IF(AND(BANCO_OK_2,B427&lt;=MESES),IF(OR(B427=1,J427&lt;&gt;J426),PMT(J427/1200,MESES-B427+1,-N426),K426),0)</f>
        <v/>
      </c>
      <c r="L427" s="58">
        <f>N426*J427/1200</f>
        <v/>
      </c>
      <c r="M427" s="58">
        <f>IF(AND(BANCO_OK_2,B427&lt;=MESES),IF(OR(B427=MESES,K427-L427&gt;N426),N426,K427-L427),0)</f>
        <v/>
      </c>
      <c r="N427" s="58">
        <f>N426-M427</f>
        <v/>
      </c>
      <c r="O427" s="58">
        <f>IF(AND(BANCO_OK_2,B427&lt;=MESES),L427+M427+VINC_MES_2,0)</f>
        <v/>
      </c>
      <c r="P427" s="52">
        <f>IF(AND(BANCO_OK_3,B427&lt;=MESES),IF(OR(OF_TIPO_3="Fija",C427&lt;=OF_ANIOS_INI_3),OF_TIN_3,MAX(0,EURIBOR+OF_DIF_3)),0)</f>
        <v/>
      </c>
      <c r="Q427" s="58">
        <f>IF(AND(BANCO_OK_3,B427&lt;=MESES),IF(OR(B427=1,P427&lt;&gt;P426),PMT(P427/1200,MESES-B427+1,-T426),Q426),0)</f>
        <v/>
      </c>
      <c r="R427" s="58">
        <f>T426*P427/1200</f>
        <v/>
      </c>
      <c r="S427" s="58">
        <f>IF(AND(BANCO_OK_3,B427&lt;=MESES),IF(OR(B427=MESES,Q427-R427&gt;T426),T426,Q427-R427),0)</f>
        <v/>
      </c>
      <c r="T427" s="58">
        <f>T426-S427</f>
        <v/>
      </c>
      <c r="U427" s="58">
        <f>IF(AND(BANCO_OK_3,B427&lt;=MESES),R427+S427+VINC_MES_3,0)</f>
        <v/>
      </c>
      <c r="V427" s="52">
        <f>IF(AND(BANCO_OK_4,B427&lt;=MESES),IF(OR(OF_TIPO_4="Fija",C427&lt;=OF_ANIOS_INI_4),OF_TIN_4,MAX(0,EURIBOR+OF_DIF_4)),0)</f>
        <v/>
      </c>
      <c r="W427" s="58">
        <f>IF(AND(BANCO_OK_4,B427&lt;=MESES),IF(OR(B427=1,V427&lt;&gt;V426),PMT(V427/1200,MESES-B427+1,-Z426),W426),0)</f>
        <v/>
      </c>
      <c r="X427" s="58">
        <f>Z426*V427/1200</f>
        <v/>
      </c>
      <c r="Y427" s="58">
        <f>IF(AND(BANCO_OK_4,B427&lt;=MESES),IF(OR(B427=MESES,W427-X427&gt;Z426),Z426,W427-X427),0)</f>
        <v/>
      </c>
      <c r="Z427" s="58">
        <f>Z426-Y427</f>
        <v/>
      </c>
      <c r="AA427" s="58">
        <f>IF(AND(BANCO_OK_4,B427&lt;=MESES),X427+Y427+VINC_MES_4,0)</f>
        <v/>
      </c>
    </row>
    <row r="428">
      <c r="B428" s="56" t="n">
        <v>420</v>
      </c>
      <c r="C428" s="56">
        <f>ROUNDUP(B428/12,0)</f>
        <v/>
      </c>
      <c r="D428" s="52">
        <f>IF(AND(BANCO_OK_1,B428&lt;=MESES),IF(OR(OF_TIPO_1="Fija",C428&lt;=OF_ANIOS_INI_1),OF_TIN_1,MAX(0,EURIBOR+OF_DIF_1)),0)</f>
        <v/>
      </c>
      <c r="E428" s="58">
        <f>IF(AND(BANCO_OK_1,B428&lt;=MESES),IF(OR(B428=1,D428&lt;&gt;D427),PMT(D428/1200,MESES-B428+1,-H427),E427),0)</f>
        <v/>
      </c>
      <c r="F428" s="58">
        <f>H427*D428/1200</f>
        <v/>
      </c>
      <c r="G428" s="58">
        <f>IF(AND(BANCO_OK_1,B428&lt;=MESES),IF(OR(B428=MESES,E428-F428&gt;H427),H427,E428-F428),0)</f>
        <v/>
      </c>
      <c r="H428" s="58">
        <f>H427-G428</f>
        <v/>
      </c>
      <c r="I428" s="58">
        <f>IF(AND(BANCO_OK_1,B428&lt;=MESES),F428+G428+VINC_MES_1,0)</f>
        <v/>
      </c>
      <c r="J428" s="52">
        <f>IF(AND(BANCO_OK_2,B428&lt;=MESES),IF(OR(OF_TIPO_2="Fija",C428&lt;=OF_ANIOS_INI_2),OF_TIN_2,MAX(0,EURIBOR+OF_DIF_2)),0)</f>
        <v/>
      </c>
      <c r="K428" s="58">
        <f>IF(AND(BANCO_OK_2,B428&lt;=MESES),IF(OR(B428=1,J428&lt;&gt;J427),PMT(J428/1200,MESES-B428+1,-N427),K427),0)</f>
        <v/>
      </c>
      <c r="L428" s="58">
        <f>N427*J428/1200</f>
        <v/>
      </c>
      <c r="M428" s="58">
        <f>IF(AND(BANCO_OK_2,B428&lt;=MESES),IF(OR(B428=MESES,K428-L428&gt;N427),N427,K428-L428),0)</f>
        <v/>
      </c>
      <c r="N428" s="58">
        <f>N427-M428</f>
        <v/>
      </c>
      <c r="O428" s="58">
        <f>IF(AND(BANCO_OK_2,B428&lt;=MESES),L428+M428+VINC_MES_2,0)</f>
        <v/>
      </c>
      <c r="P428" s="52">
        <f>IF(AND(BANCO_OK_3,B428&lt;=MESES),IF(OR(OF_TIPO_3="Fija",C428&lt;=OF_ANIOS_INI_3),OF_TIN_3,MAX(0,EURIBOR+OF_DIF_3)),0)</f>
        <v/>
      </c>
      <c r="Q428" s="58">
        <f>IF(AND(BANCO_OK_3,B428&lt;=MESES),IF(OR(B428=1,P428&lt;&gt;P427),PMT(P428/1200,MESES-B428+1,-T427),Q427),0)</f>
        <v/>
      </c>
      <c r="R428" s="58">
        <f>T427*P428/1200</f>
        <v/>
      </c>
      <c r="S428" s="58">
        <f>IF(AND(BANCO_OK_3,B428&lt;=MESES),IF(OR(B428=MESES,Q428-R428&gt;T427),T427,Q428-R428),0)</f>
        <v/>
      </c>
      <c r="T428" s="58">
        <f>T427-S428</f>
        <v/>
      </c>
      <c r="U428" s="58">
        <f>IF(AND(BANCO_OK_3,B428&lt;=MESES),R428+S428+VINC_MES_3,0)</f>
        <v/>
      </c>
      <c r="V428" s="52">
        <f>IF(AND(BANCO_OK_4,B428&lt;=MESES),IF(OR(OF_TIPO_4="Fija",C428&lt;=OF_ANIOS_INI_4),OF_TIN_4,MAX(0,EURIBOR+OF_DIF_4)),0)</f>
        <v/>
      </c>
      <c r="W428" s="58">
        <f>IF(AND(BANCO_OK_4,B428&lt;=MESES),IF(OR(B428=1,V428&lt;&gt;V427),PMT(V428/1200,MESES-B428+1,-Z427),W427),0)</f>
        <v/>
      </c>
      <c r="X428" s="58">
        <f>Z427*V428/1200</f>
        <v/>
      </c>
      <c r="Y428" s="58">
        <f>IF(AND(BANCO_OK_4,B428&lt;=MESES),IF(OR(B428=MESES,W428-X428&gt;Z427),Z427,W428-X428),0)</f>
        <v/>
      </c>
      <c r="Z428" s="58">
        <f>Z427-Y428</f>
        <v/>
      </c>
      <c r="AA428" s="58">
        <f>IF(AND(BANCO_OK_4,B428&lt;=MESES),X428+Y428+VINC_MES_4,0)</f>
        <v/>
      </c>
    </row>
    <row r="429">
      <c r="B429" s="56" t="n">
        <v>421</v>
      </c>
      <c r="C429" s="56">
        <f>ROUNDUP(B429/12,0)</f>
        <v/>
      </c>
      <c r="D429" s="52">
        <f>IF(AND(BANCO_OK_1,B429&lt;=MESES),IF(OR(OF_TIPO_1="Fija",C429&lt;=OF_ANIOS_INI_1),OF_TIN_1,MAX(0,EURIBOR+OF_DIF_1)),0)</f>
        <v/>
      </c>
      <c r="E429" s="58">
        <f>IF(AND(BANCO_OK_1,B429&lt;=MESES),IF(OR(B429=1,D429&lt;&gt;D428),PMT(D429/1200,MESES-B429+1,-H428),E428),0)</f>
        <v/>
      </c>
      <c r="F429" s="58">
        <f>H428*D429/1200</f>
        <v/>
      </c>
      <c r="G429" s="58">
        <f>IF(AND(BANCO_OK_1,B429&lt;=MESES),IF(OR(B429=MESES,E429-F429&gt;H428),H428,E429-F429),0)</f>
        <v/>
      </c>
      <c r="H429" s="58">
        <f>H428-G429</f>
        <v/>
      </c>
      <c r="I429" s="58">
        <f>IF(AND(BANCO_OK_1,B429&lt;=MESES),F429+G429+VINC_MES_1,0)</f>
        <v/>
      </c>
      <c r="J429" s="52">
        <f>IF(AND(BANCO_OK_2,B429&lt;=MESES),IF(OR(OF_TIPO_2="Fija",C429&lt;=OF_ANIOS_INI_2),OF_TIN_2,MAX(0,EURIBOR+OF_DIF_2)),0)</f>
        <v/>
      </c>
      <c r="K429" s="58">
        <f>IF(AND(BANCO_OK_2,B429&lt;=MESES),IF(OR(B429=1,J429&lt;&gt;J428),PMT(J429/1200,MESES-B429+1,-N428),K428),0)</f>
        <v/>
      </c>
      <c r="L429" s="58">
        <f>N428*J429/1200</f>
        <v/>
      </c>
      <c r="M429" s="58">
        <f>IF(AND(BANCO_OK_2,B429&lt;=MESES),IF(OR(B429=MESES,K429-L429&gt;N428),N428,K429-L429),0)</f>
        <v/>
      </c>
      <c r="N429" s="58">
        <f>N428-M429</f>
        <v/>
      </c>
      <c r="O429" s="58">
        <f>IF(AND(BANCO_OK_2,B429&lt;=MESES),L429+M429+VINC_MES_2,0)</f>
        <v/>
      </c>
      <c r="P429" s="52">
        <f>IF(AND(BANCO_OK_3,B429&lt;=MESES),IF(OR(OF_TIPO_3="Fija",C429&lt;=OF_ANIOS_INI_3),OF_TIN_3,MAX(0,EURIBOR+OF_DIF_3)),0)</f>
        <v/>
      </c>
      <c r="Q429" s="58">
        <f>IF(AND(BANCO_OK_3,B429&lt;=MESES),IF(OR(B429=1,P429&lt;&gt;P428),PMT(P429/1200,MESES-B429+1,-T428),Q428),0)</f>
        <v/>
      </c>
      <c r="R429" s="58">
        <f>T428*P429/1200</f>
        <v/>
      </c>
      <c r="S429" s="58">
        <f>IF(AND(BANCO_OK_3,B429&lt;=MESES),IF(OR(B429=MESES,Q429-R429&gt;T428),T428,Q429-R429),0)</f>
        <v/>
      </c>
      <c r="T429" s="58">
        <f>T428-S429</f>
        <v/>
      </c>
      <c r="U429" s="58">
        <f>IF(AND(BANCO_OK_3,B429&lt;=MESES),R429+S429+VINC_MES_3,0)</f>
        <v/>
      </c>
      <c r="V429" s="52">
        <f>IF(AND(BANCO_OK_4,B429&lt;=MESES),IF(OR(OF_TIPO_4="Fija",C429&lt;=OF_ANIOS_INI_4),OF_TIN_4,MAX(0,EURIBOR+OF_DIF_4)),0)</f>
        <v/>
      </c>
      <c r="W429" s="58">
        <f>IF(AND(BANCO_OK_4,B429&lt;=MESES),IF(OR(B429=1,V429&lt;&gt;V428),PMT(V429/1200,MESES-B429+1,-Z428),W428),0)</f>
        <v/>
      </c>
      <c r="X429" s="58">
        <f>Z428*V429/1200</f>
        <v/>
      </c>
      <c r="Y429" s="58">
        <f>IF(AND(BANCO_OK_4,B429&lt;=MESES),IF(OR(B429=MESES,W429-X429&gt;Z428),Z428,W429-X429),0)</f>
        <v/>
      </c>
      <c r="Z429" s="58">
        <f>Z428-Y429</f>
        <v/>
      </c>
      <c r="AA429" s="58">
        <f>IF(AND(BANCO_OK_4,B429&lt;=MESES),X429+Y429+VINC_MES_4,0)</f>
        <v/>
      </c>
    </row>
    <row r="430">
      <c r="B430" s="56" t="n">
        <v>422</v>
      </c>
      <c r="C430" s="56">
        <f>ROUNDUP(B430/12,0)</f>
        <v/>
      </c>
      <c r="D430" s="52">
        <f>IF(AND(BANCO_OK_1,B430&lt;=MESES),IF(OR(OF_TIPO_1="Fija",C430&lt;=OF_ANIOS_INI_1),OF_TIN_1,MAX(0,EURIBOR+OF_DIF_1)),0)</f>
        <v/>
      </c>
      <c r="E430" s="58">
        <f>IF(AND(BANCO_OK_1,B430&lt;=MESES),IF(OR(B430=1,D430&lt;&gt;D429),PMT(D430/1200,MESES-B430+1,-H429),E429),0)</f>
        <v/>
      </c>
      <c r="F430" s="58">
        <f>H429*D430/1200</f>
        <v/>
      </c>
      <c r="G430" s="58">
        <f>IF(AND(BANCO_OK_1,B430&lt;=MESES),IF(OR(B430=MESES,E430-F430&gt;H429),H429,E430-F430),0)</f>
        <v/>
      </c>
      <c r="H430" s="58">
        <f>H429-G430</f>
        <v/>
      </c>
      <c r="I430" s="58">
        <f>IF(AND(BANCO_OK_1,B430&lt;=MESES),F430+G430+VINC_MES_1,0)</f>
        <v/>
      </c>
      <c r="J430" s="52">
        <f>IF(AND(BANCO_OK_2,B430&lt;=MESES),IF(OR(OF_TIPO_2="Fija",C430&lt;=OF_ANIOS_INI_2),OF_TIN_2,MAX(0,EURIBOR+OF_DIF_2)),0)</f>
        <v/>
      </c>
      <c r="K430" s="58">
        <f>IF(AND(BANCO_OK_2,B430&lt;=MESES),IF(OR(B430=1,J430&lt;&gt;J429),PMT(J430/1200,MESES-B430+1,-N429),K429),0)</f>
        <v/>
      </c>
      <c r="L430" s="58">
        <f>N429*J430/1200</f>
        <v/>
      </c>
      <c r="M430" s="58">
        <f>IF(AND(BANCO_OK_2,B430&lt;=MESES),IF(OR(B430=MESES,K430-L430&gt;N429),N429,K430-L430),0)</f>
        <v/>
      </c>
      <c r="N430" s="58">
        <f>N429-M430</f>
        <v/>
      </c>
      <c r="O430" s="58">
        <f>IF(AND(BANCO_OK_2,B430&lt;=MESES),L430+M430+VINC_MES_2,0)</f>
        <v/>
      </c>
      <c r="P430" s="52">
        <f>IF(AND(BANCO_OK_3,B430&lt;=MESES),IF(OR(OF_TIPO_3="Fija",C430&lt;=OF_ANIOS_INI_3),OF_TIN_3,MAX(0,EURIBOR+OF_DIF_3)),0)</f>
        <v/>
      </c>
      <c r="Q430" s="58">
        <f>IF(AND(BANCO_OK_3,B430&lt;=MESES),IF(OR(B430=1,P430&lt;&gt;P429),PMT(P430/1200,MESES-B430+1,-T429),Q429),0)</f>
        <v/>
      </c>
      <c r="R430" s="58">
        <f>T429*P430/1200</f>
        <v/>
      </c>
      <c r="S430" s="58">
        <f>IF(AND(BANCO_OK_3,B430&lt;=MESES),IF(OR(B430=MESES,Q430-R430&gt;T429),T429,Q430-R430),0)</f>
        <v/>
      </c>
      <c r="T430" s="58">
        <f>T429-S430</f>
        <v/>
      </c>
      <c r="U430" s="58">
        <f>IF(AND(BANCO_OK_3,B430&lt;=MESES),R430+S430+VINC_MES_3,0)</f>
        <v/>
      </c>
      <c r="V430" s="52">
        <f>IF(AND(BANCO_OK_4,B430&lt;=MESES),IF(OR(OF_TIPO_4="Fija",C430&lt;=OF_ANIOS_INI_4),OF_TIN_4,MAX(0,EURIBOR+OF_DIF_4)),0)</f>
        <v/>
      </c>
      <c r="W430" s="58">
        <f>IF(AND(BANCO_OK_4,B430&lt;=MESES),IF(OR(B430=1,V430&lt;&gt;V429),PMT(V430/1200,MESES-B430+1,-Z429),W429),0)</f>
        <v/>
      </c>
      <c r="X430" s="58">
        <f>Z429*V430/1200</f>
        <v/>
      </c>
      <c r="Y430" s="58">
        <f>IF(AND(BANCO_OK_4,B430&lt;=MESES),IF(OR(B430=MESES,W430-X430&gt;Z429),Z429,W430-X430),0)</f>
        <v/>
      </c>
      <c r="Z430" s="58">
        <f>Z429-Y430</f>
        <v/>
      </c>
      <c r="AA430" s="58">
        <f>IF(AND(BANCO_OK_4,B430&lt;=MESES),X430+Y430+VINC_MES_4,0)</f>
        <v/>
      </c>
    </row>
    <row r="431">
      <c r="B431" s="56" t="n">
        <v>423</v>
      </c>
      <c r="C431" s="56">
        <f>ROUNDUP(B431/12,0)</f>
        <v/>
      </c>
      <c r="D431" s="52">
        <f>IF(AND(BANCO_OK_1,B431&lt;=MESES),IF(OR(OF_TIPO_1="Fija",C431&lt;=OF_ANIOS_INI_1),OF_TIN_1,MAX(0,EURIBOR+OF_DIF_1)),0)</f>
        <v/>
      </c>
      <c r="E431" s="58">
        <f>IF(AND(BANCO_OK_1,B431&lt;=MESES),IF(OR(B431=1,D431&lt;&gt;D430),PMT(D431/1200,MESES-B431+1,-H430),E430),0)</f>
        <v/>
      </c>
      <c r="F431" s="58">
        <f>H430*D431/1200</f>
        <v/>
      </c>
      <c r="G431" s="58">
        <f>IF(AND(BANCO_OK_1,B431&lt;=MESES),IF(OR(B431=MESES,E431-F431&gt;H430),H430,E431-F431),0)</f>
        <v/>
      </c>
      <c r="H431" s="58">
        <f>H430-G431</f>
        <v/>
      </c>
      <c r="I431" s="58">
        <f>IF(AND(BANCO_OK_1,B431&lt;=MESES),F431+G431+VINC_MES_1,0)</f>
        <v/>
      </c>
      <c r="J431" s="52">
        <f>IF(AND(BANCO_OK_2,B431&lt;=MESES),IF(OR(OF_TIPO_2="Fija",C431&lt;=OF_ANIOS_INI_2),OF_TIN_2,MAX(0,EURIBOR+OF_DIF_2)),0)</f>
        <v/>
      </c>
      <c r="K431" s="58">
        <f>IF(AND(BANCO_OK_2,B431&lt;=MESES),IF(OR(B431=1,J431&lt;&gt;J430),PMT(J431/1200,MESES-B431+1,-N430),K430),0)</f>
        <v/>
      </c>
      <c r="L431" s="58">
        <f>N430*J431/1200</f>
        <v/>
      </c>
      <c r="M431" s="58">
        <f>IF(AND(BANCO_OK_2,B431&lt;=MESES),IF(OR(B431=MESES,K431-L431&gt;N430),N430,K431-L431),0)</f>
        <v/>
      </c>
      <c r="N431" s="58">
        <f>N430-M431</f>
        <v/>
      </c>
      <c r="O431" s="58">
        <f>IF(AND(BANCO_OK_2,B431&lt;=MESES),L431+M431+VINC_MES_2,0)</f>
        <v/>
      </c>
      <c r="P431" s="52">
        <f>IF(AND(BANCO_OK_3,B431&lt;=MESES),IF(OR(OF_TIPO_3="Fija",C431&lt;=OF_ANIOS_INI_3),OF_TIN_3,MAX(0,EURIBOR+OF_DIF_3)),0)</f>
        <v/>
      </c>
      <c r="Q431" s="58">
        <f>IF(AND(BANCO_OK_3,B431&lt;=MESES),IF(OR(B431=1,P431&lt;&gt;P430),PMT(P431/1200,MESES-B431+1,-T430),Q430),0)</f>
        <v/>
      </c>
      <c r="R431" s="58">
        <f>T430*P431/1200</f>
        <v/>
      </c>
      <c r="S431" s="58">
        <f>IF(AND(BANCO_OK_3,B431&lt;=MESES),IF(OR(B431=MESES,Q431-R431&gt;T430),T430,Q431-R431),0)</f>
        <v/>
      </c>
      <c r="T431" s="58">
        <f>T430-S431</f>
        <v/>
      </c>
      <c r="U431" s="58">
        <f>IF(AND(BANCO_OK_3,B431&lt;=MESES),R431+S431+VINC_MES_3,0)</f>
        <v/>
      </c>
      <c r="V431" s="52">
        <f>IF(AND(BANCO_OK_4,B431&lt;=MESES),IF(OR(OF_TIPO_4="Fija",C431&lt;=OF_ANIOS_INI_4),OF_TIN_4,MAX(0,EURIBOR+OF_DIF_4)),0)</f>
        <v/>
      </c>
      <c r="W431" s="58">
        <f>IF(AND(BANCO_OK_4,B431&lt;=MESES),IF(OR(B431=1,V431&lt;&gt;V430),PMT(V431/1200,MESES-B431+1,-Z430),W430),0)</f>
        <v/>
      </c>
      <c r="X431" s="58">
        <f>Z430*V431/1200</f>
        <v/>
      </c>
      <c r="Y431" s="58">
        <f>IF(AND(BANCO_OK_4,B431&lt;=MESES),IF(OR(B431=MESES,W431-X431&gt;Z430),Z430,W431-X431),0)</f>
        <v/>
      </c>
      <c r="Z431" s="58">
        <f>Z430-Y431</f>
        <v/>
      </c>
      <c r="AA431" s="58">
        <f>IF(AND(BANCO_OK_4,B431&lt;=MESES),X431+Y431+VINC_MES_4,0)</f>
        <v/>
      </c>
    </row>
    <row r="432">
      <c r="B432" s="56" t="n">
        <v>424</v>
      </c>
      <c r="C432" s="56">
        <f>ROUNDUP(B432/12,0)</f>
        <v/>
      </c>
      <c r="D432" s="52">
        <f>IF(AND(BANCO_OK_1,B432&lt;=MESES),IF(OR(OF_TIPO_1="Fija",C432&lt;=OF_ANIOS_INI_1),OF_TIN_1,MAX(0,EURIBOR+OF_DIF_1)),0)</f>
        <v/>
      </c>
      <c r="E432" s="58">
        <f>IF(AND(BANCO_OK_1,B432&lt;=MESES),IF(OR(B432=1,D432&lt;&gt;D431),PMT(D432/1200,MESES-B432+1,-H431),E431),0)</f>
        <v/>
      </c>
      <c r="F432" s="58">
        <f>H431*D432/1200</f>
        <v/>
      </c>
      <c r="G432" s="58">
        <f>IF(AND(BANCO_OK_1,B432&lt;=MESES),IF(OR(B432=MESES,E432-F432&gt;H431),H431,E432-F432),0)</f>
        <v/>
      </c>
      <c r="H432" s="58">
        <f>H431-G432</f>
        <v/>
      </c>
      <c r="I432" s="58">
        <f>IF(AND(BANCO_OK_1,B432&lt;=MESES),F432+G432+VINC_MES_1,0)</f>
        <v/>
      </c>
      <c r="J432" s="52">
        <f>IF(AND(BANCO_OK_2,B432&lt;=MESES),IF(OR(OF_TIPO_2="Fija",C432&lt;=OF_ANIOS_INI_2),OF_TIN_2,MAX(0,EURIBOR+OF_DIF_2)),0)</f>
        <v/>
      </c>
      <c r="K432" s="58">
        <f>IF(AND(BANCO_OK_2,B432&lt;=MESES),IF(OR(B432=1,J432&lt;&gt;J431),PMT(J432/1200,MESES-B432+1,-N431),K431),0)</f>
        <v/>
      </c>
      <c r="L432" s="58">
        <f>N431*J432/1200</f>
        <v/>
      </c>
      <c r="M432" s="58">
        <f>IF(AND(BANCO_OK_2,B432&lt;=MESES),IF(OR(B432=MESES,K432-L432&gt;N431),N431,K432-L432),0)</f>
        <v/>
      </c>
      <c r="N432" s="58">
        <f>N431-M432</f>
        <v/>
      </c>
      <c r="O432" s="58">
        <f>IF(AND(BANCO_OK_2,B432&lt;=MESES),L432+M432+VINC_MES_2,0)</f>
        <v/>
      </c>
      <c r="P432" s="52">
        <f>IF(AND(BANCO_OK_3,B432&lt;=MESES),IF(OR(OF_TIPO_3="Fija",C432&lt;=OF_ANIOS_INI_3),OF_TIN_3,MAX(0,EURIBOR+OF_DIF_3)),0)</f>
        <v/>
      </c>
      <c r="Q432" s="58">
        <f>IF(AND(BANCO_OK_3,B432&lt;=MESES),IF(OR(B432=1,P432&lt;&gt;P431),PMT(P432/1200,MESES-B432+1,-T431),Q431),0)</f>
        <v/>
      </c>
      <c r="R432" s="58">
        <f>T431*P432/1200</f>
        <v/>
      </c>
      <c r="S432" s="58">
        <f>IF(AND(BANCO_OK_3,B432&lt;=MESES),IF(OR(B432=MESES,Q432-R432&gt;T431),T431,Q432-R432),0)</f>
        <v/>
      </c>
      <c r="T432" s="58">
        <f>T431-S432</f>
        <v/>
      </c>
      <c r="U432" s="58">
        <f>IF(AND(BANCO_OK_3,B432&lt;=MESES),R432+S432+VINC_MES_3,0)</f>
        <v/>
      </c>
      <c r="V432" s="52">
        <f>IF(AND(BANCO_OK_4,B432&lt;=MESES),IF(OR(OF_TIPO_4="Fija",C432&lt;=OF_ANIOS_INI_4),OF_TIN_4,MAX(0,EURIBOR+OF_DIF_4)),0)</f>
        <v/>
      </c>
      <c r="W432" s="58">
        <f>IF(AND(BANCO_OK_4,B432&lt;=MESES),IF(OR(B432=1,V432&lt;&gt;V431),PMT(V432/1200,MESES-B432+1,-Z431),W431),0)</f>
        <v/>
      </c>
      <c r="X432" s="58">
        <f>Z431*V432/1200</f>
        <v/>
      </c>
      <c r="Y432" s="58">
        <f>IF(AND(BANCO_OK_4,B432&lt;=MESES),IF(OR(B432=MESES,W432-X432&gt;Z431),Z431,W432-X432),0)</f>
        <v/>
      </c>
      <c r="Z432" s="58">
        <f>Z431-Y432</f>
        <v/>
      </c>
      <c r="AA432" s="58">
        <f>IF(AND(BANCO_OK_4,B432&lt;=MESES),X432+Y432+VINC_MES_4,0)</f>
        <v/>
      </c>
    </row>
    <row r="433">
      <c r="B433" s="56" t="n">
        <v>425</v>
      </c>
      <c r="C433" s="56">
        <f>ROUNDUP(B433/12,0)</f>
        <v/>
      </c>
      <c r="D433" s="52">
        <f>IF(AND(BANCO_OK_1,B433&lt;=MESES),IF(OR(OF_TIPO_1="Fija",C433&lt;=OF_ANIOS_INI_1),OF_TIN_1,MAX(0,EURIBOR+OF_DIF_1)),0)</f>
        <v/>
      </c>
      <c r="E433" s="58">
        <f>IF(AND(BANCO_OK_1,B433&lt;=MESES),IF(OR(B433=1,D433&lt;&gt;D432),PMT(D433/1200,MESES-B433+1,-H432),E432),0)</f>
        <v/>
      </c>
      <c r="F433" s="58">
        <f>H432*D433/1200</f>
        <v/>
      </c>
      <c r="G433" s="58">
        <f>IF(AND(BANCO_OK_1,B433&lt;=MESES),IF(OR(B433=MESES,E433-F433&gt;H432),H432,E433-F433),0)</f>
        <v/>
      </c>
      <c r="H433" s="58">
        <f>H432-G433</f>
        <v/>
      </c>
      <c r="I433" s="58">
        <f>IF(AND(BANCO_OK_1,B433&lt;=MESES),F433+G433+VINC_MES_1,0)</f>
        <v/>
      </c>
      <c r="J433" s="52">
        <f>IF(AND(BANCO_OK_2,B433&lt;=MESES),IF(OR(OF_TIPO_2="Fija",C433&lt;=OF_ANIOS_INI_2),OF_TIN_2,MAX(0,EURIBOR+OF_DIF_2)),0)</f>
        <v/>
      </c>
      <c r="K433" s="58">
        <f>IF(AND(BANCO_OK_2,B433&lt;=MESES),IF(OR(B433=1,J433&lt;&gt;J432),PMT(J433/1200,MESES-B433+1,-N432),K432),0)</f>
        <v/>
      </c>
      <c r="L433" s="58">
        <f>N432*J433/1200</f>
        <v/>
      </c>
      <c r="M433" s="58">
        <f>IF(AND(BANCO_OK_2,B433&lt;=MESES),IF(OR(B433=MESES,K433-L433&gt;N432),N432,K433-L433),0)</f>
        <v/>
      </c>
      <c r="N433" s="58">
        <f>N432-M433</f>
        <v/>
      </c>
      <c r="O433" s="58">
        <f>IF(AND(BANCO_OK_2,B433&lt;=MESES),L433+M433+VINC_MES_2,0)</f>
        <v/>
      </c>
      <c r="P433" s="52">
        <f>IF(AND(BANCO_OK_3,B433&lt;=MESES),IF(OR(OF_TIPO_3="Fija",C433&lt;=OF_ANIOS_INI_3),OF_TIN_3,MAX(0,EURIBOR+OF_DIF_3)),0)</f>
        <v/>
      </c>
      <c r="Q433" s="58">
        <f>IF(AND(BANCO_OK_3,B433&lt;=MESES),IF(OR(B433=1,P433&lt;&gt;P432),PMT(P433/1200,MESES-B433+1,-T432),Q432),0)</f>
        <v/>
      </c>
      <c r="R433" s="58">
        <f>T432*P433/1200</f>
        <v/>
      </c>
      <c r="S433" s="58">
        <f>IF(AND(BANCO_OK_3,B433&lt;=MESES),IF(OR(B433=MESES,Q433-R433&gt;T432),T432,Q433-R433),0)</f>
        <v/>
      </c>
      <c r="T433" s="58">
        <f>T432-S433</f>
        <v/>
      </c>
      <c r="U433" s="58">
        <f>IF(AND(BANCO_OK_3,B433&lt;=MESES),R433+S433+VINC_MES_3,0)</f>
        <v/>
      </c>
      <c r="V433" s="52">
        <f>IF(AND(BANCO_OK_4,B433&lt;=MESES),IF(OR(OF_TIPO_4="Fija",C433&lt;=OF_ANIOS_INI_4),OF_TIN_4,MAX(0,EURIBOR+OF_DIF_4)),0)</f>
        <v/>
      </c>
      <c r="W433" s="58">
        <f>IF(AND(BANCO_OK_4,B433&lt;=MESES),IF(OR(B433=1,V433&lt;&gt;V432),PMT(V433/1200,MESES-B433+1,-Z432),W432),0)</f>
        <v/>
      </c>
      <c r="X433" s="58">
        <f>Z432*V433/1200</f>
        <v/>
      </c>
      <c r="Y433" s="58">
        <f>IF(AND(BANCO_OK_4,B433&lt;=MESES),IF(OR(B433=MESES,W433-X433&gt;Z432),Z432,W433-X433),0)</f>
        <v/>
      </c>
      <c r="Z433" s="58">
        <f>Z432-Y433</f>
        <v/>
      </c>
      <c r="AA433" s="58">
        <f>IF(AND(BANCO_OK_4,B433&lt;=MESES),X433+Y433+VINC_MES_4,0)</f>
        <v/>
      </c>
    </row>
    <row r="434">
      <c r="B434" s="56" t="n">
        <v>426</v>
      </c>
      <c r="C434" s="56">
        <f>ROUNDUP(B434/12,0)</f>
        <v/>
      </c>
      <c r="D434" s="52">
        <f>IF(AND(BANCO_OK_1,B434&lt;=MESES),IF(OR(OF_TIPO_1="Fija",C434&lt;=OF_ANIOS_INI_1),OF_TIN_1,MAX(0,EURIBOR+OF_DIF_1)),0)</f>
        <v/>
      </c>
      <c r="E434" s="58">
        <f>IF(AND(BANCO_OK_1,B434&lt;=MESES),IF(OR(B434=1,D434&lt;&gt;D433),PMT(D434/1200,MESES-B434+1,-H433),E433),0)</f>
        <v/>
      </c>
      <c r="F434" s="58">
        <f>H433*D434/1200</f>
        <v/>
      </c>
      <c r="G434" s="58">
        <f>IF(AND(BANCO_OK_1,B434&lt;=MESES),IF(OR(B434=MESES,E434-F434&gt;H433),H433,E434-F434),0)</f>
        <v/>
      </c>
      <c r="H434" s="58">
        <f>H433-G434</f>
        <v/>
      </c>
      <c r="I434" s="58">
        <f>IF(AND(BANCO_OK_1,B434&lt;=MESES),F434+G434+VINC_MES_1,0)</f>
        <v/>
      </c>
      <c r="J434" s="52">
        <f>IF(AND(BANCO_OK_2,B434&lt;=MESES),IF(OR(OF_TIPO_2="Fija",C434&lt;=OF_ANIOS_INI_2),OF_TIN_2,MAX(0,EURIBOR+OF_DIF_2)),0)</f>
        <v/>
      </c>
      <c r="K434" s="58">
        <f>IF(AND(BANCO_OK_2,B434&lt;=MESES),IF(OR(B434=1,J434&lt;&gt;J433),PMT(J434/1200,MESES-B434+1,-N433),K433),0)</f>
        <v/>
      </c>
      <c r="L434" s="58">
        <f>N433*J434/1200</f>
        <v/>
      </c>
      <c r="M434" s="58">
        <f>IF(AND(BANCO_OK_2,B434&lt;=MESES),IF(OR(B434=MESES,K434-L434&gt;N433),N433,K434-L434),0)</f>
        <v/>
      </c>
      <c r="N434" s="58">
        <f>N433-M434</f>
        <v/>
      </c>
      <c r="O434" s="58">
        <f>IF(AND(BANCO_OK_2,B434&lt;=MESES),L434+M434+VINC_MES_2,0)</f>
        <v/>
      </c>
      <c r="P434" s="52">
        <f>IF(AND(BANCO_OK_3,B434&lt;=MESES),IF(OR(OF_TIPO_3="Fija",C434&lt;=OF_ANIOS_INI_3),OF_TIN_3,MAX(0,EURIBOR+OF_DIF_3)),0)</f>
        <v/>
      </c>
      <c r="Q434" s="58">
        <f>IF(AND(BANCO_OK_3,B434&lt;=MESES),IF(OR(B434=1,P434&lt;&gt;P433),PMT(P434/1200,MESES-B434+1,-T433),Q433),0)</f>
        <v/>
      </c>
      <c r="R434" s="58">
        <f>T433*P434/1200</f>
        <v/>
      </c>
      <c r="S434" s="58">
        <f>IF(AND(BANCO_OK_3,B434&lt;=MESES),IF(OR(B434=MESES,Q434-R434&gt;T433),T433,Q434-R434),0)</f>
        <v/>
      </c>
      <c r="T434" s="58">
        <f>T433-S434</f>
        <v/>
      </c>
      <c r="U434" s="58">
        <f>IF(AND(BANCO_OK_3,B434&lt;=MESES),R434+S434+VINC_MES_3,0)</f>
        <v/>
      </c>
      <c r="V434" s="52">
        <f>IF(AND(BANCO_OK_4,B434&lt;=MESES),IF(OR(OF_TIPO_4="Fija",C434&lt;=OF_ANIOS_INI_4),OF_TIN_4,MAX(0,EURIBOR+OF_DIF_4)),0)</f>
        <v/>
      </c>
      <c r="W434" s="58">
        <f>IF(AND(BANCO_OK_4,B434&lt;=MESES),IF(OR(B434=1,V434&lt;&gt;V433),PMT(V434/1200,MESES-B434+1,-Z433),W433),0)</f>
        <v/>
      </c>
      <c r="X434" s="58">
        <f>Z433*V434/1200</f>
        <v/>
      </c>
      <c r="Y434" s="58">
        <f>IF(AND(BANCO_OK_4,B434&lt;=MESES),IF(OR(B434=MESES,W434-X434&gt;Z433),Z433,W434-X434),0)</f>
        <v/>
      </c>
      <c r="Z434" s="58">
        <f>Z433-Y434</f>
        <v/>
      </c>
      <c r="AA434" s="58">
        <f>IF(AND(BANCO_OK_4,B434&lt;=MESES),X434+Y434+VINC_MES_4,0)</f>
        <v/>
      </c>
    </row>
    <row r="435">
      <c r="B435" s="56" t="n">
        <v>427</v>
      </c>
      <c r="C435" s="56">
        <f>ROUNDUP(B435/12,0)</f>
        <v/>
      </c>
      <c r="D435" s="52">
        <f>IF(AND(BANCO_OK_1,B435&lt;=MESES),IF(OR(OF_TIPO_1="Fija",C435&lt;=OF_ANIOS_INI_1),OF_TIN_1,MAX(0,EURIBOR+OF_DIF_1)),0)</f>
        <v/>
      </c>
      <c r="E435" s="58">
        <f>IF(AND(BANCO_OK_1,B435&lt;=MESES),IF(OR(B435=1,D435&lt;&gt;D434),PMT(D435/1200,MESES-B435+1,-H434),E434),0)</f>
        <v/>
      </c>
      <c r="F435" s="58">
        <f>H434*D435/1200</f>
        <v/>
      </c>
      <c r="G435" s="58">
        <f>IF(AND(BANCO_OK_1,B435&lt;=MESES),IF(OR(B435=MESES,E435-F435&gt;H434),H434,E435-F435),0)</f>
        <v/>
      </c>
      <c r="H435" s="58">
        <f>H434-G435</f>
        <v/>
      </c>
      <c r="I435" s="58">
        <f>IF(AND(BANCO_OK_1,B435&lt;=MESES),F435+G435+VINC_MES_1,0)</f>
        <v/>
      </c>
      <c r="J435" s="52">
        <f>IF(AND(BANCO_OK_2,B435&lt;=MESES),IF(OR(OF_TIPO_2="Fija",C435&lt;=OF_ANIOS_INI_2),OF_TIN_2,MAX(0,EURIBOR+OF_DIF_2)),0)</f>
        <v/>
      </c>
      <c r="K435" s="58">
        <f>IF(AND(BANCO_OK_2,B435&lt;=MESES),IF(OR(B435=1,J435&lt;&gt;J434),PMT(J435/1200,MESES-B435+1,-N434),K434),0)</f>
        <v/>
      </c>
      <c r="L435" s="58">
        <f>N434*J435/1200</f>
        <v/>
      </c>
      <c r="M435" s="58">
        <f>IF(AND(BANCO_OK_2,B435&lt;=MESES),IF(OR(B435=MESES,K435-L435&gt;N434),N434,K435-L435),0)</f>
        <v/>
      </c>
      <c r="N435" s="58">
        <f>N434-M435</f>
        <v/>
      </c>
      <c r="O435" s="58">
        <f>IF(AND(BANCO_OK_2,B435&lt;=MESES),L435+M435+VINC_MES_2,0)</f>
        <v/>
      </c>
      <c r="P435" s="52">
        <f>IF(AND(BANCO_OK_3,B435&lt;=MESES),IF(OR(OF_TIPO_3="Fija",C435&lt;=OF_ANIOS_INI_3),OF_TIN_3,MAX(0,EURIBOR+OF_DIF_3)),0)</f>
        <v/>
      </c>
      <c r="Q435" s="58">
        <f>IF(AND(BANCO_OK_3,B435&lt;=MESES),IF(OR(B435=1,P435&lt;&gt;P434),PMT(P435/1200,MESES-B435+1,-T434),Q434),0)</f>
        <v/>
      </c>
      <c r="R435" s="58">
        <f>T434*P435/1200</f>
        <v/>
      </c>
      <c r="S435" s="58">
        <f>IF(AND(BANCO_OK_3,B435&lt;=MESES),IF(OR(B435=MESES,Q435-R435&gt;T434),T434,Q435-R435),0)</f>
        <v/>
      </c>
      <c r="T435" s="58">
        <f>T434-S435</f>
        <v/>
      </c>
      <c r="U435" s="58">
        <f>IF(AND(BANCO_OK_3,B435&lt;=MESES),R435+S435+VINC_MES_3,0)</f>
        <v/>
      </c>
      <c r="V435" s="52">
        <f>IF(AND(BANCO_OK_4,B435&lt;=MESES),IF(OR(OF_TIPO_4="Fija",C435&lt;=OF_ANIOS_INI_4),OF_TIN_4,MAX(0,EURIBOR+OF_DIF_4)),0)</f>
        <v/>
      </c>
      <c r="W435" s="58">
        <f>IF(AND(BANCO_OK_4,B435&lt;=MESES),IF(OR(B435=1,V435&lt;&gt;V434),PMT(V435/1200,MESES-B435+1,-Z434),W434),0)</f>
        <v/>
      </c>
      <c r="X435" s="58">
        <f>Z434*V435/1200</f>
        <v/>
      </c>
      <c r="Y435" s="58">
        <f>IF(AND(BANCO_OK_4,B435&lt;=MESES),IF(OR(B435=MESES,W435-X435&gt;Z434),Z434,W435-X435),0)</f>
        <v/>
      </c>
      <c r="Z435" s="58">
        <f>Z434-Y435</f>
        <v/>
      </c>
      <c r="AA435" s="58">
        <f>IF(AND(BANCO_OK_4,B435&lt;=MESES),X435+Y435+VINC_MES_4,0)</f>
        <v/>
      </c>
    </row>
    <row r="436">
      <c r="B436" s="56" t="n">
        <v>428</v>
      </c>
      <c r="C436" s="56">
        <f>ROUNDUP(B436/12,0)</f>
        <v/>
      </c>
      <c r="D436" s="52">
        <f>IF(AND(BANCO_OK_1,B436&lt;=MESES),IF(OR(OF_TIPO_1="Fija",C436&lt;=OF_ANIOS_INI_1),OF_TIN_1,MAX(0,EURIBOR+OF_DIF_1)),0)</f>
        <v/>
      </c>
      <c r="E436" s="58">
        <f>IF(AND(BANCO_OK_1,B436&lt;=MESES),IF(OR(B436=1,D436&lt;&gt;D435),PMT(D436/1200,MESES-B436+1,-H435),E435),0)</f>
        <v/>
      </c>
      <c r="F436" s="58">
        <f>H435*D436/1200</f>
        <v/>
      </c>
      <c r="G436" s="58">
        <f>IF(AND(BANCO_OK_1,B436&lt;=MESES),IF(OR(B436=MESES,E436-F436&gt;H435),H435,E436-F436),0)</f>
        <v/>
      </c>
      <c r="H436" s="58">
        <f>H435-G436</f>
        <v/>
      </c>
      <c r="I436" s="58">
        <f>IF(AND(BANCO_OK_1,B436&lt;=MESES),F436+G436+VINC_MES_1,0)</f>
        <v/>
      </c>
      <c r="J436" s="52">
        <f>IF(AND(BANCO_OK_2,B436&lt;=MESES),IF(OR(OF_TIPO_2="Fija",C436&lt;=OF_ANIOS_INI_2),OF_TIN_2,MAX(0,EURIBOR+OF_DIF_2)),0)</f>
        <v/>
      </c>
      <c r="K436" s="58">
        <f>IF(AND(BANCO_OK_2,B436&lt;=MESES),IF(OR(B436=1,J436&lt;&gt;J435),PMT(J436/1200,MESES-B436+1,-N435),K435),0)</f>
        <v/>
      </c>
      <c r="L436" s="58">
        <f>N435*J436/1200</f>
        <v/>
      </c>
      <c r="M436" s="58">
        <f>IF(AND(BANCO_OK_2,B436&lt;=MESES),IF(OR(B436=MESES,K436-L436&gt;N435),N435,K436-L436),0)</f>
        <v/>
      </c>
      <c r="N436" s="58">
        <f>N435-M436</f>
        <v/>
      </c>
      <c r="O436" s="58">
        <f>IF(AND(BANCO_OK_2,B436&lt;=MESES),L436+M436+VINC_MES_2,0)</f>
        <v/>
      </c>
      <c r="P436" s="52">
        <f>IF(AND(BANCO_OK_3,B436&lt;=MESES),IF(OR(OF_TIPO_3="Fija",C436&lt;=OF_ANIOS_INI_3),OF_TIN_3,MAX(0,EURIBOR+OF_DIF_3)),0)</f>
        <v/>
      </c>
      <c r="Q436" s="58">
        <f>IF(AND(BANCO_OK_3,B436&lt;=MESES),IF(OR(B436=1,P436&lt;&gt;P435),PMT(P436/1200,MESES-B436+1,-T435),Q435),0)</f>
        <v/>
      </c>
      <c r="R436" s="58">
        <f>T435*P436/1200</f>
        <v/>
      </c>
      <c r="S436" s="58">
        <f>IF(AND(BANCO_OK_3,B436&lt;=MESES),IF(OR(B436=MESES,Q436-R436&gt;T435),T435,Q436-R436),0)</f>
        <v/>
      </c>
      <c r="T436" s="58">
        <f>T435-S436</f>
        <v/>
      </c>
      <c r="U436" s="58">
        <f>IF(AND(BANCO_OK_3,B436&lt;=MESES),R436+S436+VINC_MES_3,0)</f>
        <v/>
      </c>
      <c r="V436" s="52">
        <f>IF(AND(BANCO_OK_4,B436&lt;=MESES),IF(OR(OF_TIPO_4="Fija",C436&lt;=OF_ANIOS_INI_4),OF_TIN_4,MAX(0,EURIBOR+OF_DIF_4)),0)</f>
        <v/>
      </c>
      <c r="W436" s="58">
        <f>IF(AND(BANCO_OK_4,B436&lt;=MESES),IF(OR(B436=1,V436&lt;&gt;V435),PMT(V436/1200,MESES-B436+1,-Z435),W435),0)</f>
        <v/>
      </c>
      <c r="X436" s="58">
        <f>Z435*V436/1200</f>
        <v/>
      </c>
      <c r="Y436" s="58">
        <f>IF(AND(BANCO_OK_4,B436&lt;=MESES),IF(OR(B436=MESES,W436-X436&gt;Z435),Z435,W436-X436),0)</f>
        <v/>
      </c>
      <c r="Z436" s="58">
        <f>Z435-Y436</f>
        <v/>
      </c>
      <c r="AA436" s="58">
        <f>IF(AND(BANCO_OK_4,B436&lt;=MESES),X436+Y436+VINC_MES_4,0)</f>
        <v/>
      </c>
    </row>
    <row r="437">
      <c r="B437" s="56" t="n">
        <v>429</v>
      </c>
      <c r="C437" s="56">
        <f>ROUNDUP(B437/12,0)</f>
        <v/>
      </c>
      <c r="D437" s="52">
        <f>IF(AND(BANCO_OK_1,B437&lt;=MESES),IF(OR(OF_TIPO_1="Fija",C437&lt;=OF_ANIOS_INI_1),OF_TIN_1,MAX(0,EURIBOR+OF_DIF_1)),0)</f>
        <v/>
      </c>
      <c r="E437" s="58">
        <f>IF(AND(BANCO_OK_1,B437&lt;=MESES),IF(OR(B437=1,D437&lt;&gt;D436),PMT(D437/1200,MESES-B437+1,-H436),E436),0)</f>
        <v/>
      </c>
      <c r="F437" s="58">
        <f>H436*D437/1200</f>
        <v/>
      </c>
      <c r="G437" s="58">
        <f>IF(AND(BANCO_OK_1,B437&lt;=MESES),IF(OR(B437=MESES,E437-F437&gt;H436),H436,E437-F437),0)</f>
        <v/>
      </c>
      <c r="H437" s="58">
        <f>H436-G437</f>
        <v/>
      </c>
      <c r="I437" s="58">
        <f>IF(AND(BANCO_OK_1,B437&lt;=MESES),F437+G437+VINC_MES_1,0)</f>
        <v/>
      </c>
      <c r="J437" s="52">
        <f>IF(AND(BANCO_OK_2,B437&lt;=MESES),IF(OR(OF_TIPO_2="Fija",C437&lt;=OF_ANIOS_INI_2),OF_TIN_2,MAX(0,EURIBOR+OF_DIF_2)),0)</f>
        <v/>
      </c>
      <c r="K437" s="58">
        <f>IF(AND(BANCO_OK_2,B437&lt;=MESES),IF(OR(B437=1,J437&lt;&gt;J436),PMT(J437/1200,MESES-B437+1,-N436),K436),0)</f>
        <v/>
      </c>
      <c r="L437" s="58">
        <f>N436*J437/1200</f>
        <v/>
      </c>
      <c r="M437" s="58">
        <f>IF(AND(BANCO_OK_2,B437&lt;=MESES),IF(OR(B437=MESES,K437-L437&gt;N436),N436,K437-L437),0)</f>
        <v/>
      </c>
      <c r="N437" s="58">
        <f>N436-M437</f>
        <v/>
      </c>
      <c r="O437" s="58">
        <f>IF(AND(BANCO_OK_2,B437&lt;=MESES),L437+M437+VINC_MES_2,0)</f>
        <v/>
      </c>
      <c r="P437" s="52">
        <f>IF(AND(BANCO_OK_3,B437&lt;=MESES),IF(OR(OF_TIPO_3="Fija",C437&lt;=OF_ANIOS_INI_3),OF_TIN_3,MAX(0,EURIBOR+OF_DIF_3)),0)</f>
        <v/>
      </c>
      <c r="Q437" s="58">
        <f>IF(AND(BANCO_OK_3,B437&lt;=MESES),IF(OR(B437=1,P437&lt;&gt;P436),PMT(P437/1200,MESES-B437+1,-T436),Q436),0)</f>
        <v/>
      </c>
      <c r="R437" s="58">
        <f>T436*P437/1200</f>
        <v/>
      </c>
      <c r="S437" s="58">
        <f>IF(AND(BANCO_OK_3,B437&lt;=MESES),IF(OR(B437=MESES,Q437-R437&gt;T436),T436,Q437-R437),0)</f>
        <v/>
      </c>
      <c r="T437" s="58">
        <f>T436-S437</f>
        <v/>
      </c>
      <c r="U437" s="58">
        <f>IF(AND(BANCO_OK_3,B437&lt;=MESES),R437+S437+VINC_MES_3,0)</f>
        <v/>
      </c>
      <c r="V437" s="52">
        <f>IF(AND(BANCO_OK_4,B437&lt;=MESES),IF(OR(OF_TIPO_4="Fija",C437&lt;=OF_ANIOS_INI_4),OF_TIN_4,MAX(0,EURIBOR+OF_DIF_4)),0)</f>
        <v/>
      </c>
      <c r="W437" s="58">
        <f>IF(AND(BANCO_OK_4,B437&lt;=MESES),IF(OR(B437=1,V437&lt;&gt;V436),PMT(V437/1200,MESES-B437+1,-Z436),W436),0)</f>
        <v/>
      </c>
      <c r="X437" s="58">
        <f>Z436*V437/1200</f>
        <v/>
      </c>
      <c r="Y437" s="58">
        <f>IF(AND(BANCO_OK_4,B437&lt;=MESES),IF(OR(B437=MESES,W437-X437&gt;Z436),Z436,W437-X437),0)</f>
        <v/>
      </c>
      <c r="Z437" s="58">
        <f>Z436-Y437</f>
        <v/>
      </c>
      <c r="AA437" s="58">
        <f>IF(AND(BANCO_OK_4,B437&lt;=MESES),X437+Y437+VINC_MES_4,0)</f>
        <v/>
      </c>
    </row>
    <row r="438">
      <c r="B438" s="56" t="n">
        <v>430</v>
      </c>
      <c r="C438" s="56">
        <f>ROUNDUP(B438/12,0)</f>
        <v/>
      </c>
      <c r="D438" s="52">
        <f>IF(AND(BANCO_OK_1,B438&lt;=MESES),IF(OR(OF_TIPO_1="Fija",C438&lt;=OF_ANIOS_INI_1),OF_TIN_1,MAX(0,EURIBOR+OF_DIF_1)),0)</f>
        <v/>
      </c>
      <c r="E438" s="58">
        <f>IF(AND(BANCO_OK_1,B438&lt;=MESES),IF(OR(B438=1,D438&lt;&gt;D437),PMT(D438/1200,MESES-B438+1,-H437),E437),0)</f>
        <v/>
      </c>
      <c r="F438" s="58">
        <f>H437*D438/1200</f>
        <v/>
      </c>
      <c r="G438" s="58">
        <f>IF(AND(BANCO_OK_1,B438&lt;=MESES),IF(OR(B438=MESES,E438-F438&gt;H437),H437,E438-F438),0)</f>
        <v/>
      </c>
      <c r="H438" s="58">
        <f>H437-G438</f>
        <v/>
      </c>
      <c r="I438" s="58">
        <f>IF(AND(BANCO_OK_1,B438&lt;=MESES),F438+G438+VINC_MES_1,0)</f>
        <v/>
      </c>
      <c r="J438" s="52">
        <f>IF(AND(BANCO_OK_2,B438&lt;=MESES),IF(OR(OF_TIPO_2="Fija",C438&lt;=OF_ANIOS_INI_2),OF_TIN_2,MAX(0,EURIBOR+OF_DIF_2)),0)</f>
        <v/>
      </c>
      <c r="K438" s="58">
        <f>IF(AND(BANCO_OK_2,B438&lt;=MESES),IF(OR(B438=1,J438&lt;&gt;J437),PMT(J438/1200,MESES-B438+1,-N437),K437),0)</f>
        <v/>
      </c>
      <c r="L438" s="58">
        <f>N437*J438/1200</f>
        <v/>
      </c>
      <c r="M438" s="58">
        <f>IF(AND(BANCO_OK_2,B438&lt;=MESES),IF(OR(B438=MESES,K438-L438&gt;N437),N437,K438-L438),0)</f>
        <v/>
      </c>
      <c r="N438" s="58">
        <f>N437-M438</f>
        <v/>
      </c>
      <c r="O438" s="58">
        <f>IF(AND(BANCO_OK_2,B438&lt;=MESES),L438+M438+VINC_MES_2,0)</f>
        <v/>
      </c>
      <c r="P438" s="52">
        <f>IF(AND(BANCO_OK_3,B438&lt;=MESES),IF(OR(OF_TIPO_3="Fija",C438&lt;=OF_ANIOS_INI_3),OF_TIN_3,MAX(0,EURIBOR+OF_DIF_3)),0)</f>
        <v/>
      </c>
      <c r="Q438" s="58">
        <f>IF(AND(BANCO_OK_3,B438&lt;=MESES),IF(OR(B438=1,P438&lt;&gt;P437),PMT(P438/1200,MESES-B438+1,-T437),Q437),0)</f>
        <v/>
      </c>
      <c r="R438" s="58">
        <f>T437*P438/1200</f>
        <v/>
      </c>
      <c r="S438" s="58">
        <f>IF(AND(BANCO_OK_3,B438&lt;=MESES),IF(OR(B438=MESES,Q438-R438&gt;T437),T437,Q438-R438),0)</f>
        <v/>
      </c>
      <c r="T438" s="58">
        <f>T437-S438</f>
        <v/>
      </c>
      <c r="U438" s="58">
        <f>IF(AND(BANCO_OK_3,B438&lt;=MESES),R438+S438+VINC_MES_3,0)</f>
        <v/>
      </c>
      <c r="V438" s="52">
        <f>IF(AND(BANCO_OK_4,B438&lt;=MESES),IF(OR(OF_TIPO_4="Fija",C438&lt;=OF_ANIOS_INI_4),OF_TIN_4,MAX(0,EURIBOR+OF_DIF_4)),0)</f>
        <v/>
      </c>
      <c r="W438" s="58">
        <f>IF(AND(BANCO_OK_4,B438&lt;=MESES),IF(OR(B438=1,V438&lt;&gt;V437),PMT(V438/1200,MESES-B438+1,-Z437),W437),0)</f>
        <v/>
      </c>
      <c r="X438" s="58">
        <f>Z437*V438/1200</f>
        <v/>
      </c>
      <c r="Y438" s="58">
        <f>IF(AND(BANCO_OK_4,B438&lt;=MESES),IF(OR(B438=MESES,W438-X438&gt;Z437),Z437,W438-X438),0)</f>
        <v/>
      </c>
      <c r="Z438" s="58">
        <f>Z437-Y438</f>
        <v/>
      </c>
      <c r="AA438" s="58">
        <f>IF(AND(BANCO_OK_4,B438&lt;=MESES),X438+Y438+VINC_MES_4,0)</f>
        <v/>
      </c>
    </row>
    <row r="439">
      <c r="B439" s="56" t="n">
        <v>431</v>
      </c>
      <c r="C439" s="56">
        <f>ROUNDUP(B439/12,0)</f>
        <v/>
      </c>
      <c r="D439" s="52">
        <f>IF(AND(BANCO_OK_1,B439&lt;=MESES),IF(OR(OF_TIPO_1="Fija",C439&lt;=OF_ANIOS_INI_1),OF_TIN_1,MAX(0,EURIBOR+OF_DIF_1)),0)</f>
        <v/>
      </c>
      <c r="E439" s="58">
        <f>IF(AND(BANCO_OK_1,B439&lt;=MESES),IF(OR(B439=1,D439&lt;&gt;D438),PMT(D439/1200,MESES-B439+1,-H438),E438),0)</f>
        <v/>
      </c>
      <c r="F439" s="58">
        <f>H438*D439/1200</f>
        <v/>
      </c>
      <c r="G439" s="58">
        <f>IF(AND(BANCO_OK_1,B439&lt;=MESES),IF(OR(B439=MESES,E439-F439&gt;H438),H438,E439-F439),0)</f>
        <v/>
      </c>
      <c r="H439" s="58">
        <f>H438-G439</f>
        <v/>
      </c>
      <c r="I439" s="58">
        <f>IF(AND(BANCO_OK_1,B439&lt;=MESES),F439+G439+VINC_MES_1,0)</f>
        <v/>
      </c>
      <c r="J439" s="52">
        <f>IF(AND(BANCO_OK_2,B439&lt;=MESES),IF(OR(OF_TIPO_2="Fija",C439&lt;=OF_ANIOS_INI_2),OF_TIN_2,MAX(0,EURIBOR+OF_DIF_2)),0)</f>
        <v/>
      </c>
      <c r="K439" s="58">
        <f>IF(AND(BANCO_OK_2,B439&lt;=MESES),IF(OR(B439=1,J439&lt;&gt;J438),PMT(J439/1200,MESES-B439+1,-N438),K438),0)</f>
        <v/>
      </c>
      <c r="L439" s="58">
        <f>N438*J439/1200</f>
        <v/>
      </c>
      <c r="M439" s="58">
        <f>IF(AND(BANCO_OK_2,B439&lt;=MESES),IF(OR(B439=MESES,K439-L439&gt;N438),N438,K439-L439),0)</f>
        <v/>
      </c>
      <c r="N439" s="58">
        <f>N438-M439</f>
        <v/>
      </c>
      <c r="O439" s="58">
        <f>IF(AND(BANCO_OK_2,B439&lt;=MESES),L439+M439+VINC_MES_2,0)</f>
        <v/>
      </c>
      <c r="P439" s="52">
        <f>IF(AND(BANCO_OK_3,B439&lt;=MESES),IF(OR(OF_TIPO_3="Fija",C439&lt;=OF_ANIOS_INI_3),OF_TIN_3,MAX(0,EURIBOR+OF_DIF_3)),0)</f>
        <v/>
      </c>
      <c r="Q439" s="58">
        <f>IF(AND(BANCO_OK_3,B439&lt;=MESES),IF(OR(B439=1,P439&lt;&gt;P438),PMT(P439/1200,MESES-B439+1,-T438),Q438),0)</f>
        <v/>
      </c>
      <c r="R439" s="58">
        <f>T438*P439/1200</f>
        <v/>
      </c>
      <c r="S439" s="58">
        <f>IF(AND(BANCO_OK_3,B439&lt;=MESES),IF(OR(B439=MESES,Q439-R439&gt;T438),T438,Q439-R439),0)</f>
        <v/>
      </c>
      <c r="T439" s="58">
        <f>T438-S439</f>
        <v/>
      </c>
      <c r="U439" s="58">
        <f>IF(AND(BANCO_OK_3,B439&lt;=MESES),R439+S439+VINC_MES_3,0)</f>
        <v/>
      </c>
      <c r="V439" s="52">
        <f>IF(AND(BANCO_OK_4,B439&lt;=MESES),IF(OR(OF_TIPO_4="Fija",C439&lt;=OF_ANIOS_INI_4),OF_TIN_4,MAX(0,EURIBOR+OF_DIF_4)),0)</f>
        <v/>
      </c>
      <c r="W439" s="58">
        <f>IF(AND(BANCO_OK_4,B439&lt;=MESES),IF(OR(B439=1,V439&lt;&gt;V438),PMT(V439/1200,MESES-B439+1,-Z438),W438),0)</f>
        <v/>
      </c>
      <c r="X439" s="58">
        <f>Z438*V439/1200</f>
        <v/>
      </c>
      <c r="Y439" s="58">
        <f>IF(AND(BANCO_OK_4,B439&lt;=MESES),IF(OR(B439=MESES,W439-X439&gt;Z438),Z438,W439-X439),0)</f>
        <v/>
      </c>
      <c r="Z439" s="58">
        <f>Z438-Y439</f>
        <v/>
      </c>
      <c r="AA439" s="58">
        <f>IF(AND(BANCO_OK_4,B439&lt;=MESES),X439+Y439+VINC_MES_4,0)</f>
        <v/>
      </c>
    </row>
    <row r="440">
      <c r="B440" s="56" t="n">
        <v>432</v>
      </c>
      <c r="C440" s="56">
        <f>ROUNDUP(B440/12,0)</f>
        <v/>
      </c>
      <c r="D440" s="52">
        <f>IF(AND(BANCO_OK_1,B440&lt;=MESES),IF(OR(OF_TIPO_1="Fija",C440&lt;=OF_ANIOS_INI_1),OF_TIN_1,MAX(0,EURIBOR+OF_DIF_1)),0)</f>
        <v/>
      </c>
      <c r="E440" s="58">
        <f>IF(AND(BANCO_OK_1,B440&lt;=MESES),IF(OR(B440=1,D440&lt;&gt;D439),PMT(D440/1200,MESES-B440+1,-H439),E439),0)</f>
        <v/>
      </c>
      <c r="F440" s="58">
        <f>H439*D440/1200</f>
        <v/>
      </c>
      <c r="G440" s="58">
        <f>IF(AND(BANCO_OK_1,B440&lt;=MESES),IF(OR(B440=MESES,E440-F440&gt;H439),H439,E440-F440),0)</f>
        <v/>
      </c>
      <c r="H440" s="58">
        <f>H439-G440</f>
        <v/>
      </c>
      <c r="I440" s="58">
        <f>IF(AND(BANCO_OK_1,B440&lt;=MESES),F440+G440+VINC_MES_1,0)</f>
        <v/>
      </c>
      <c r="J440" s="52">
        <f>IF(AND(BANCO_OK_2,B440&lt;=MESES),IF(OR(OF_TIPO_2="Fija",C440&lt;=OF_ANIOS_INI_2),OF_TIN_2,MAX(0,EURIBOR+OF_DIF_2)),0)</f>
        <v/>
      </c>
      <c r="K440" s="58">
        <f>IF(AND(BANCO_OK_2,B440&lt;=MESES),IF(OR(B440=1,J440&lt;&gt;J439),PMT(J440/1200,MESES-B440+1,-N439),K439),0)</f>
        <v/>
      </c>
      <c r="L440" s="58">
        <f>N439*J440/1200</f>
        <v/>
      </c>
      <c r="M440" s="58">
        <f>IF(AND(BANCO_OK_2,B440&lt;=MESES),IF(OR(B440=MESES,K440-L440&gt;N439),N439,K440-L440),0)</f>
        <v/>
      </c>
      <c r="N440" s="58">
        <f>N439-M440</f>
        <v/>
      </c>
      <c r="O440" s="58">
        <f>IF(AND(BANCO_OK_2,B440&lt;=MESES),L440+M440+VINC_MES_2,0)</f>
        <v/>
      </c>
      <c r="P440" s="52">
        <f>IF(AND(BANCO_OK_3,B440&lt;=MESES),IF(OR(OF_TIPO_3="Fija",C440&lt;=OF_ANIOS_INI_3),OF_TIN_3,MAX(0,EURIBOR+OF_DIF_3)),0)</f>
        <v/>
      </c>
      <c r="Q440" s="58">
        <f>IF(AND(BANCO_OK_3,B440&lt;=MESES),IF(OR(B440=1,P440&lt;&gt;P439),PMT(P440/1200,MESES-B440+1,-T439),Q439),0)</f>
        <v/>
      </c>
      <c r="R440" s="58">
        <f>T439*P440/1200</f>
        <v/>
      </c>
      <c r="S440" s="58">
        <f>IF(AND(BANCO_OK_3,B440&lt;=MESES),IF(OR(B440=MESES,Q440-R440&gt;T439),T439,Q440-R440),0)</f>
        <v/>
      </c>
      <c r="T440" s="58">
        <f>T439-S440</f>
        <v/>
      </c>
      <c r="U440" s="58">
        <f>IF(AND(BANCO_OK_3,B440&lt;=MESES),R440+S440+VINC_MES_3,0)</f>
        <v/>
      </c>
      <c r="V440" s="52">
        <f>IF(AND(BANCO_OK_4,B440&lt;=MESES),IF(OR(OF_TIPO_4="Fija",C440&lt;=OF_ANIOS_INI_4),OF_TIN_4,MAX(0,EURIBOR+OF_DIF_4)),0)</f>
        <v/>
      </c>
      <c r="W440" s="58">
        <f>IF(AND(BANCO_OK_4,B440&lt;=MESES),IF(OR(B440=1,V440&lt;&gt;V439),PMT(V440/1200,MESES-B440+1,-Z439),W439),0)</f>
        <v/>
      </c>
      <c r="X440" s="58">
        <f>Z439*V440/1200</f>
        <v/>
      </c>
      <c r="Y440" s="58">
        <f>IF(AND(BANCO_OK_4,B440&lt;=MESES),IF(OR(B440=MESES,W440-X440&gt;Z439),Z439,W440-X440),0)</f>
        <v/>
      </c>
      <c r="Z440" s="58">
        <f>Z439-Y440</f>
        <v/>
      </c>
      <c r="AA440" s="58">
        <f>IF(AND(BANCO_OK_4,B440&lt;=MESES),X440+Y440+VINC_MES_4,0)</f>
        <v/>
      </c>
    </row>
    <row r="441">
      <c r="B441" s="56" t="n">
        <v>433</v>
      </c>
      <c r="C441" s="56">
        <f>ROUNDUP(B441/12,0)</f>
        <v/>
      </c>
      <c r="D441" s="52">
        <f>IF(AND(BANCO_OK_1,B441&lt;=MESES),IF(OR(OF_TIPO_1="Fija",C441&lt;=OF_ANIOS_INI_1),OF_TIN_1,MAX(0,EURIBOR+OF_DIF_1)),0)</f>
        <v/>
      </c>
      <c r="E441" s="58">
        <f>IF(AND(BANCO_OK_1,B441&lt;=MESES),IF(OR(B441=1,D441&lt;&gt;D440),PMT(D441/1200,MESES-B441+1,-H440),E440),0)</f>
        <v/>
      </c>
      <c r="F441" s="58">
        <f>H440*D441/1200</f>
        <v/>
      </c>
      <c r="G441" s="58">
        <f>IF(AND(BANCO_OK_1,B441&lt;=MESES),IF(OR(B441=MESES,E441-F441&gt;H440),H440,E441-F441),0)</f>
        <v/>
      </c>
      <c r="H441" s="58">
        <f>H440-G441</f>
        <v/>
      </c>
      <c r="I441" s="58">
        <f>IF(AND(BANCO_OK_1,B441&lt;=MESES),F441+G441+VINC_MES_1,0)</f>
        <v/>
      </c>
      <c r="J441" s="52">
        <f>IF(AND(BANCO_OK_2,B441&lt;=MESES),IF(OR(OF_TIPO_2="Fija",C441&lt;=OF_ANIOS_INI_2),OF_TIN_2,MAX(0,EURIBOR+OF_DIF_2)),0)</f>
        <v/>
      </c>
      <c r="K441" s="58">
        <f>IF(AND(BANCO_OK_2,B441&lt;=MESES),IF(OR(B441=1,J441&lt;&gt;J440),PMT(J441/1200,MESES-B441+1,-N440),K440),0)</f>
        <v/>
      </c>
      <c r="L441" s="58">
        <f>N440*J441/1200</f>
        <v/>
      </c>
      <c r="M441" s="58">
        <f>IF(AND(BANCO_OK_2,B441&lt;=MESES),IF(OR(B441=MESES,K441-L441&gt;N440),N440,K441-L441),0)</f>
        <v/>
      </c>
      <c r="N441" s="58">
        <f>N440-M441</f>
        <v/>
      </c>
      <c r="O441" s="58">
        <f>IF(AND(BANCO_OK_2,B441&lt;=MESES),L441+M441+VINC_MES_2,0)</f>
        <v/>
      </c>
      <c r="P441" s="52">
        <f>IF(AND(BANCO_OK_3,B441&lt;=MESES),IF(OR(OF_TIPO_3="Fija",C441&lt;=OF_ANIOS_INI_3),OF_TIN_3,MAX(0,EURIBOR+OF_DIF_3)),0)</f>
        <v/>
      </c>
      <c r="Q441" s="58">
        <f>IF(AND(BANCO_OK_3,B441&lt;=MESES),IF(OR(B441=1,P441&lt;&gt;P440),PMT(P441/1200,MESES-B441+1,-T440),Q440),0)</f>
        <v/>
      </c>
      <c r="R441" s="58">
        <f>T440*P441/1200</f>
        <v/>
      </c>
      <c r="S441" s="58">
        <f>IF(AND(BANCO_OK_3,B441&lt;=MESES),IF(OR(B441=MESES,Q441-R441&gt;T440),T440,Q441-R441),0)</f>
        <v/>
      </c>
      <c r="T441" s="58">
        <f>T440-S441</f>
        <v/>
      </c>
      <c r="U441" s="58">
        <f>IF(AND(BANCO_OK_3,B441&lt;=MESES),R441+S441+VINC_MES_3,0)</f>
        <v/>
      </c>
      <c r="V441" s="52">
        <f>IF(AND(BANCO_OK_4,B441&lt;=MESES),IF(OR(OF_TIPO_4="Fija",C441&lt;=OF_ANIOS_INI_4),OF_TIN_4,MAX(0,EURIBOR+OF_DIF_4)),0)</f>
        <v/>
      </c>
      <c r="W441" s="58">
        <f>IF(AND(BANCO_OK_4,B441&lt;=MESES),IF(OR(B441=1,V441&lt;&gt;V440),PMT(V441/1200,MESES-B441+1,-Z440),W440),0)</f>
        <v/>
      </c>
      <c r="X441" s="58">
        <f>Z440*V441/1200</f>
        <v/>
      </c>
      <c r="Y441" s="58">
        <f>IF(AND(BANCO_OK_4,B441&lt;=MESES),IF(OR(B441=MESES,W441-X441&gt;Z440),Z440,W441-X441),0)</f>
        <v/>
      </c>
      <c r="Z441" s="58">
        <f>Z440-Y441</f>
        <v/>
      </c>
      <c r="AA441" s="58">
        <f>IF(AND(BANCO_OK_4,B441&lt;=MESES),X441+Y441+VINC_MES_4,0)</f>
        <v/>
      </c>
    </row>
    <row r="442">
      <c r="B442" s="56" t="n">
        <v>434</v>
      </c>
      <c r="C442" s="56">
        <f>ROUNDUP(B442/12,0)</f>
        <v/>
      </c>
      <c r="D442" s="52">
        <f>IF(AND(BANCO_OK_1,B442&lt;=MESES),IF(OR(OF_TIPO_1="Fija",C442&lt;=OF_ANIOS_INI_1),OF_TIN_1,MAX(0,EURIBOR+OF_DIF_1)),0)</f>
        <v/>
      </c>
      <c r="E442" s="58">
        <f>IF(AND(BANCO_OK_1,B442&lt;=MESES),IF(OR(B442=1,D442&lt;&gt;D441),PMT(D442/1200,MESES-B442+1,-H441),E441),0)</f>
        <v/>
      </c>
      <c r="F442" s="58">
        <f>H441*D442/1200</f>
        <v/>
      </c>
      <c r="G442" s="58">
        <f>IF(AND(BANCO_OK_1,B442&lt;=MESES),IF(OR(B442=MESES,E442-F442&gt;H441),H441,E442-F442),0)</f>
        <v/>
      </c>
      <c r="H442" s="58">
        <f>H441-G442</f>
        <v/>
      </c>
      <c r="I442" s="58">
        <f>IF(AND(BANCO_OK_1,B442&lt;=MESES),F442+G442+VINC_MES_1,0)</f>
        <v/>
      </c>
      <c r="J442" s="52">
        <f>IF(AND(BANCO_OK_2,B442&lt;=MESES),IF(OR(OF_TIPO_2="Fija",C442&lt;=OF_ANIOS_INI_2),OF_TIN_2,MAX(0,EURIBOR+OF_DIF_2)),0)</f>
        <v/>
      </c>
      <c r="K442" s="58">
        <f>IF(AND(BANCO_OK_2,B442&lt;=MESES),IF(OR(B442=1,J442&lt;&gt;J441),PMT(J442/1200,MESES-B442+1,-N441),K441),0)</f>
        <v/>
      </c>
      <c r="L442" s="58">
        <f>N441*J442/1200</f>
        <v/>
      </c>
      <c r="M442" s="58">
        <f>IF(AND(BANCO_OK_2,B442&lt;=MESES),IF(OR(B442=MESES,K442-L442&gt;N441),N441,K442-L442),0)</f>
        <v/>
      </c>
      <c r="N442" s="58">
        <f>N441-M442</f>
        <v/>
      </c>
      <c r="O442" s="58">
        <f>IF(AND(BANCO_OK_2,B442&lt;=MESES),L442+M442+VINC_MES_2,0)</f>
        <v/>
      </c>
      <c r="P442" s="52">
        <f>IF(AND(BANCO_OK_3,B442&lt;=MESES),IF(OR(OF_TIPO_3="Fija",C442&lt;=OF_ANIOS_INI_3),OF_TIN_3,MAX(0,EURIBOR+OF_DIF_3)),0)</f>
        <v/>
      </c>
      <c r="Q442" s="58">
        <f>IF(AND(BANCO_OK_3,B442&lt;=MESES),IF(OR(B442=1,P442&lt;&gt;P441),PMT(P442/1200,MESES-B442+1,-T441),Q441),0)</f>
        <v/>
      </c>
      <c r="R442" s="58">
        <f>T441*P442/1200</f>
        <v/>
      </c>
      <c r="S442" s="58">
        <f>IF(AND(BANCO_OK_3,B442&lt;=MESES),IF(OR(B442=MESES,Q442-R442&gt;T441),T441,Q442-R442),0)</f>
        <v/>
      </c>
      <c r="T442" s="58">
        <f>T441-S442</f>
        <v/>
      </c>
      <c r="U442" s="58">
        <f>IF(AND(BANCO_OK_3,B442&lt;=MESES),R442+S442+VINC_MES_3,0)</f>
        <v/>
      </c>
      <c r="V442" s="52">
        <f>IF(AND(BANCO_OK_4,B442&lt;=MESES),IF(OR(OF_TIPO_4="Fija",C442&lt;=OF_ANIOS_INI_4),OF_TIN_4,MAX(0,EURIBOR+OF_DIF_4)),0)</f>
        <v/>
      </c>
      <c r="W442" s="58">
        <f>IF(AND(BANCO_OK_4,B442&lt;=MESES),IF(OR(B442=1,V442&lt;&gt;V441),PMT(V442/1200,MESES-B442+1,-Z441),W441),0)</f>
        <v/>
      </c>
      <c r="X442" s="58">
        <f>Z441*V442/1200</f>
        <v/>
      </c>
      <c r="Y442" s="58">
        <f>IF(AND(BANCO_OK_4,B442&lt;=MESES),IF(OR(B442=MESES,W442-X442&gt;Z441),Z441,W442-X442),0)</f>
        <v/>
      </c>
      <c r="Z442" s="58">
        <f>Z441-Y442</f>
        <v/>
      </c>
      <c r="AA442" s="58">
        <f>IF(AND(BANCO_OK_4,B442&lt;=MESES),X442+Y442+VINC_MES_4,0)</f>
        <v/>
      </c>
    </row>
    <row r="443">
      <c r="B443" s="56" t="n">
        <v>435</v>
      </c>
      <c r="C443" s="56">
        <f>ROUNDUP(B443/12,0)</f>
        <v/>
      </c>
      <c r="D443" s="52">
        <f>IF(AND(BANCO_OK_1,B443&lt;=MESES),IF(OR(OF_TIPO_1="Fija",C443&lt;=OF_ANIOS_INI_1),OF_TIN_1,MAX(0,EURIBOR+OF_DIF_1)),0)</f>
        <v/>
      </c>
      <c r="E443" s="58">
        <f>IF(AND(BANCO_OK_1,B443&lt;=MESES),IF(OR(B443=1,D443&lt;&gt;D442),PMT(D443/1200,MESES-B443+1,-H442),E442),0)</f>
        <v/>
      </c>
      <c r="F443" s="58">
        <f>H442*D443/1200</f>
        <v/>
      </c>
      <c r="G443" s="58">
        <f>IF(AND(BANCO_OK_1,B443&lt;=MESES),IF(OR(B443=MESES,E443-F443&gt;H442),H442,E443-F443),0)</f>
        <v/>
      </c>
      <c r="H443" s="58">
        <f>H442-G443</f>
        <v/>
      </c>
      <c r="I443" s="58">
        <f>IF(AND(BANCO_OK_1,B443&lt;=MESES),F443+G443+VINC_MES_1,0)</f>
        <v/>
      </c>
      <c r="J443" s="52">
        <f>IF(AND(BANCO_OK_2,B443&lt;=MESES),IF(OR(OF_TIPO_2="Fija",C443&lt;=OF_ANIOS_INI_2),OF_TIN_2,MAX(0,EURIBOR+OF_DIF_2)),0)</f>
        <v/>
      </c>
      <c r="K443" s="58">
        <f>IF(AND(BANCO_OK_2,B443&lt;=MESES),IF(OR(B443=1,J443&lt;&gt;J442),PMT(J443/1200,MESES-B443+1,-N442),K442),0)</f>
        <v/>
      </c>
      <c r="L443" s="58">
        <f>N442*J443/1200</f>
        <v/>
      </c>
      <c r="M443" s="58">
        <f>IF(AND(BANCO_OK_2,B443&lt;=MESES),IF(OR(B443=MESES,K443-L443&gt;N442),N442,K443-L443),0)</f>
        <v/>
      </c>
      <c r="N443" s="58">
        <f>N442-M443</f>
        <v/>
      </c>
      <c r="O443" s="58">
        <f>IF(AND(BANCO_OK_2,B443&lt;=MESES),L443+M443+VINC_MES_2,0)</f>
        <v/>
      </c>
      <c r="P443" s="52">
        <f>IF(AND(BANCO_OK_3,B443&lt;=MESES),IF(OR(OF_TIPO_3="Fija",C443&lt;=OF_ANIOS_INI_3),OF_TIN_3,MAX(0,EURIBOR+OF_DIF_3)),0)</f>
        <v/>
      </c>
      <c r="Q443" s="58">
        <f>IF(AND(BANCO_OK_3,B443&lt;=MESES),IF(OR(B443=1,P443&lt;&gt;P442),PMT(P443/1200,MESES-B443+1,-T442),Q442),0)</f>
        <v/>
      </c>
      <c r="R443" s="58">
        <f>T442*P443/1200</f>
        <v/>
      </c>
      <c r="S443" s="58">
        <f>IF(AND(BANCO_OK_3,B443&lt;=MESES),IF(OR(B443=MESES,Q443-R443&gt;T442),T442,Q443-R443),0)</f>
        <v/>
      </c>
      <c r="T443" s="58">
        <f>T442-S443</f>
        <v/>
      </c>
      <c r="U443" s="58">
        <f>IF(AND(BANCO_OK_3,B443&lt;=MESES),R443+S443+VINC_MES_3,0)</f>
        <v/>
      </c>
      <c r="V443" s="52">
        <f>IF(AND(BANCO_OK_4,B443&lt;=MESES),IF(OR(OF_TIPO_4="Fija",C443&lt;=OF_ANIOS_INI_4),OF_TIN_4,MAX(0,EURIBOR+OF_DIF_4)),0)</f>
        <v/>
      </c>
      <c r="W443" s="58">
        <f>IF(AND(BANCO_OK_4,B443&lt;=MESES),IF(OR(B443=1,V443&lt;&gt;V442),PMT(V443/1200,MESES-B443+1,-Z442),W442),0)</f>
        <v/>
      </c>
      <c r="X443" s="58">
        <f>Z442*V443/1200</f>
        <v/>
      </c>
      <c r="Y443" s="58">
        <f>IF(AND(BANCO_OK_4,B443&lt;=MESES),IF(OR(B443=MESES,W443-X443&gt;Z442),Z442,W443-X443),0)</f>
        <v/>
      </c>
      <c r="Z443" s="58">
        <f>Z442-Y443</f>
        <v/>
      </c>
      <c r="AA443" s="58">
        <f>IF(AND(BANCO_OK_4,B443&lt;=MESES),X443+Y443+VINC_MES_4,0)</f>
        <v/>
      </c>
    </row>
    <row r="444">
      <c r="B444" s="56" t="n">
        <v>436</v>
      </c>
      <c r="C444" s="56">
        <f>ROUNDUP(B444/12,0)</f>
        <v/>
      </c>
      <c r="D444" s="52">
        <f>IF(AND(BANCO_OK_1,B444&lt;=MESES),IF(OR(OF_TIPO_1="Fija",C444&lt;=OF_ANIOS_INI_1),OF_TIN_1,MAX(0,EURIBOR+OF_DIF_1)),0)</f>
        <v/>
      </c>
      <c r="E444" s="58">
        <f>IF(AND(BANCO_OK_1,B444&lt;=MESES),IF(OR(B444=1,D444&lt;&gt;D443),PMT(D444/1200,MESES-B444+1,-H443),E443),0)</f>
        <v/>
      </c>
      <c r="F444" s="58">
        <f>H443*D444/1200</f>
        <v/>
      </c>
      <c r="G444" s="58">
        <f>IF(AND(BANCO_OK_1,B444&lt;=MESES),IF(OR(B444=MESES,E444-F444&gt;H443),H443,E444-F444),0)</f>
        <v/>
      </c>
      <c r="H444" s="58">
        <f>H443-G444</f>
        <v/>
      </c>
      <c r="I444" s="58">
        <f>IF(AND(BANCO_OK_1,B444&lt;=MESES),F444+G444+VINC_MES_1,0)</f>
        <v/>
      </c>
      <c r="J444" s="52">
        <f>IF(AND(BANCO_OK_2,B444&lt;=MESES),IF(OR(OF_TIPO_2="Fija",C444&lt;=OF_ANIOS_INI_2),OF_TIN_2,MAX(0,EURIBOR+OF_DIF_2)),0)</f>
        <v/>
      </c>
      <c r="K444" s="58">
        <f>IF(AND(BANCO_OK_2,B444&lt;=MESES),IF(OR(B444=1,J444&lt;&gt;J443),PMT(J444/1200,MESES-B444+1,-N443),K443),0)</f>
        <v/>
      </c>
      <c r="L444" s="58">
        <f>N443*J444/1200</f>
        <v/>
      </c>
      <c r="M444" s="58">
        <f>IF(AND(BANCO_OK_2,B444&lt;=MESES),IF(OR(B444=MESES,K444-L444&gt;N443),N443,K444-L444),0)</f>
        <v/>
      </c>
      <c r="N444" s="58">
        <f>N443-M444</f>
        <v/>
      </c>
      <c r="O444" s="58">
        <f>IF(AND(BANCO_OK_2,B444&lt;=MESES),L444+M444+VINC_MES_2,0)</f>
        <v/>
      </c>
      <c r="P444" s="52">
        <f>IF(AND(BANCO_OK_3,B444&lt;=MESES),IF(OR(OF_TIPO_3="Fija",C444&lt;=OF_ANIOS_INI_3),OF_TIN_3,MAX(0,EURIBOR+OF_DIF_3)),0)</f>
        <v/>
      </c>
      <c r="Q444" s="58">
        <f>IF(AND(BANCO_OK_3,B444&lt;=MESES),IF(OR(B444=1,P444&lt;&gt;P443),PMT(P444/1200,MESES-B444+1,-T443),Q443),0)</f>
        <v/>
      </c>
      <c r="R444" s="58">
        <f>T443*P444/1200</f>
        <v/>
      </c>
      <c r="S444" s="58">
        <f>IF(AND(BANCO_OK_3,B444&lt;=MESES),IF(OR(B444=MESES,Q444-R444&gt;T443),T443,Q444-R444),0)</f>
        <v/>
      </c>
      <c r="T444" s="58">
        <f>T443-S444</f>
        <v/>
      </c>
      <c r="U444" s="58">
        <f>IF(AND(BANCO_OK_3,B444&lt;=MESES),R444+S444+VINC_MES_3,0)</f>
        <v/>
      </c>
      <c r="V444" s="52">
        <f>IF(AND(BANCO_OK_4,B444&lt;=MESES),IF(OR(OF_TIPO_4="Fija",C444&lt;=OF_ANIOS_INI_4),OF_TIN_4,MAX(0,EURIBOR+OF_DIF_4)),0)</f>
        <v/>
      </c>
      <c r="W444" s="58">
        <f>IF(AND(BANCO_OK_4,B444&lt;=MESES),IF(OR(B444=1,V444&lt;&gt;V443),PMT(V444/1200,MESES-B444+1,-Z443),W443),0)</f>
        <v/>
      </c>
      <c r="X444" s="58">
        <f>Z443*V444/1200</f>
        <v/>
      </c>
      <c r="Y444" s="58">
        <f>IF(AND(BANCO_OK_4,B444&lt;=MESES),IF(OR(B444=MESES,W444-X444&gt;Z443),Z443,W444-X444),0)</f>
        <v/>
      </c>
      <c r="Z444" s="58">
        <f>Z443-Y444</f>
        <v/>
      </c>
      <c r="AA444" s="58">
        <f>IF(AND(BANCO_OK_4,B444&lt;=MESES),X444+Y444+VINC_MES_4,0)</f>
        <v/>
      </c>
    </row>
    <row r="445">
      <c r="B445" s="56" t="n">
        <v>437</v>
      </c>
      <c r="C445" s="56">
        <f>ROUNDUP(B445/12,0)</f>
        <v/>
      </c>
      <c r="D445" s="52">
        <f>IF(AND(BANCO_OK_1,B445&lt;=MESES),IF(OR(OF_TIPO_1="Fija",C445&lt;=OF_ANIOS_INI_1),OF_TIN_1,MAX(0,EURIBOR+OF_DIF_1)),0)</f>
        <v/>
      </c>
      <c r="E445" s="58">
        <f>IF(AND(BANCO_OK_1,B445&lt;=MESES),IF(OR(B445=1,D445&lt;&gt;D444),PMT(D445/1200,MESES-B445+1,-H444),E444),0)</f>
        <v/>
      </c>
      <c r="F445" s="58">
        <f>H444*D445/1200</f>
        <v/>
      </c>
      <c r="G445" s="58">
        <f>IF(AND(BANCO_OK_1,B445&lt;=MESES),IF(OR(B445=MESES,E445-F445&gt;H444),H444,E445-F445),0)</f>
        <v/>
      </c>
      <c r="H445" s="58">
        <f>H444-G445</f>
        <v/>
      </c>
      <c r="I445" s="58">
        <f>IF(AND(BANCO_OK_1,B445&lt;=MESES),F445+G445+VINC_MES_1,0)</f>
        <v/>
      </c>
      <c r="J445" s="52">
        <f>IF(AND(BANCO_OK_2,B445&lt;=MESES),IF(OR(OF_TIPO_2="Fija",C445&lt;=OF_ANIOS_INI_2),OF_TIN_2,MAX(0,EURIBOR+OF_DIF_2)),0)</f>
        <v/>
      </c>
      <c r="K445" s="58">
        <f>IF(AND(BANCO_OK_2,B445&lt;=MESES),IF(OR(B445=1,J445&lt;&gt;J444),PMT(J445/1200,MESES-B445+1,-N444),K444),0)</f>
        <v/>
      </c>
      <c r="L445" s="58">
        <f>N444*J445/1200</f>
        <v/>
      </c>
      <c r="M445" s="58">
        <f>IF(AND(BANCO_OK_2,B445&lt;=MESES),IF(OR(B445=MESES,K445-L445&gt;N444),N444,K445-L445),0)</f>
        <v/>
      </c>
      <c r="N445" s="58">
        <f>N444-M445</f>
        <v/>
      </c>
      <c r="O445" s="58">
        <f>IF(AND(BANCO_OK_2,B445&lt;=MESES),L445+M445+VINC_MES_2,0)</f>
        <v/>
      </c>
      <c r="P445" s="52">
        <f>IF(AND(BANCO_OK_3,B445&lt;=MESES),IF(OR(OF_TIPO_3="Fija",C445&lt;=OF_ANIOS_INI_3),OF_TIN_3,MAX(0,EURIBOR+OF_DIF_3)),0)</f>
        <v/>
      </c>
      <c r="Q445" s="58">
        <f>IF(AND(BANCO_OK_3,B445&lt;=MESES),IF(OR(B445=1,P445&lt;&gt;P444),PMT(P445/1200,MESES-B445+1,-T444),Q444),0)</f>
        <v/>
      </c>
      <c r="R445" s="58">
        <f>T444*P445/1200</f>
        <v/>
      </c>
      <c r="S445" s="58">
        <f>IF(AND(BANCO_OK_3,B445&lt;=MESES),IF(OR(B445=MESES,Q445-R445&gt;T444),T444,Q445-R445),0)</f>
        <v/>
      </c>
      <c r="T445" s="58">
        <f>T444-S445</f>
        <v/>
      </c>
      <c r="U445" s="58">
        <f>IF(AND(BANCO_OK_3,B445&lt;=MESES),R445+S445+VINC_MES_3,0)</f>
        <v/>
      </c>
      <c r="V445" s="52">
        <f>IF(AND(BANCO_OK_4,B445&lt;=MESES),IF(OR(OF_TIPO_4="Fija",C445&lt;=OF_ANIOS_INI_4),OF_TIN_4,MAX(0,EURIBOR+OF_DIF_4)),0)</f>
        <v/>
      </c>
      <c r="W445" s="58">
        <f>IF(AND(BANCO_OK_4,B445&lt;=MESES),IF(OR(B445=1,V445&lt;&gt;V444),PMT(V445/1200,MESES-B445+1,-Z444),W444),0)</f>
        <v/>
      </c>
      <c r="X445" s="58">
        <f>Z444*V445/1200</f>
        <v/>
      </c>
      <c r="Y445" s="58">
        <f>IF(AND(BANCO_OK_4,B445&lt;=MESES),IF(OR(B445=MESES,W445-X445&gt;Z444),Z444,W445-X445),0)</f>
        <v/>
      </c>
      <c r="Z445" s="58">
        <f>Z444-Y445</f>
        <v/>
      </c>
      <c r="AA445" s="58">
        <f>IF(AND(BANCO_OK_4,B445&lt;=MESES),X445+Y445+VINC_MES_4,0)</f>
        <v/>
      </c>
    </row>
    <row r="446">
      <c r="B446" s="56" t="n">
        <v>438</v>
      </c>
      <c r="C446" s="56">
        <f>ROUNDUP(B446/12,0)</f>
        <v/>
      </c>
      <c r="D446" s="52">
        <f>IF(AND(BANCO_OK_1,B446&lt;=MESES),IF(OR(OF_TIPO_1="Fija",C446&lt;=OF_ANIOS_INI_1),OF_TIN_1,MAX(0,EURIBOR+OF_DIF_1)),0)</f>
        <v/>
      </c>
      <c r="E446" s="58">
        <f>IF(AND(BANCO_OK_1,B446&lt;=MESES),IF(OR(B446=1,D446&lt;&gt;D445),PMT(D446/1200,MESES-B446+1,-H445),E445),0)</f>
        <v/>
      </c>
      <c r="F446" s="58">
        <f>H445*D446/1200</f>
        <v/>
      </c>
      <c r="G446" s="58">
        <f>IF(AND(BANCO_OK_1,B446&lt;=MESES),IF(OR(B446=MESES,E446-F446&gt;H445),H445,E446-F446),0)</f>
        <v/>
      </c>
      <c r="H446" s="58">
        <f>H445-G446</f>
        <v/>
      </c>
      <c r="I446" s="58">
        <f>IF(AND(BANCO_OK_1,B446&lt;=MESES),F446+G446+VINC_MES_1,0)</f>
        <v/>
      </c>
      <c r="J446" s="52">
        <f>IF(AND(BANCO_OK_2,B446&lt;=MESES),IF(OR(OF_TIPO_2="Fija",C446&lt;=OF_ANIOS_INI_2),OF_TIN_2,MAX(0,EURIBOR+OF_DIF_2)),0)</f>
        <v/>
      </c>
      <c r="K446" s="58">
        <f>IF(AND(BANCO_OK_2,B446&lt;=MESES),IF(OR(B446=1,J446&lt;&gt;J445),PMT(J446/1200,MESES-B446+1,-N445),K445),0)</f>
        <v/>
      </c>
      <c r="L446" s="58">
        <f>N445*J446/1200</f>
        <v/>
      </c>
      <c r="M446" s="58">
        <f>IF(AND(BANCO_OK_2,B446&lt;=MESES),IF(OR(B446=MESES,K446-L446&gt;N445),N445,K446-L446),0)</f>
        <v/>
      </c>
      <c r="N446" s="58">
        <f>N445-M446</f>
        <v/>
      </c>
      <c r="O446" s="58">
        <f>IF(AND(BANCO_OK_2,B446&lt;=MESES),L446+M446+VINC_MES_2,0)</f>
        <v/>
      </c>
      <c r="P446" s="52">
        <f>IF(AND(BANCO_OK_3,B446&lt;=MESES),IF(OR(OF_TIPO_3="Fija",C446&lt;=OF_ANIOS_INI_3),OF_TIN_3,MAX(0,EURIBOR+OF_DIF_3)),0)</f>
        <v/>
      </c>
      <c r="Q446" s="58">
        <f>IF(AND(BANCO_OK_3,B446&lt;=MESES),IF(OR(B446=1,P446&lt;&gt;P445),PMT(P446/1200,MESES-B446+1,-T445),Q445),0)</f>
        <v/>
      </c>
      <c r="R446" s="58">
        <f>T445*P446/1200</f>
        <v/>
      </c>
      <c r="S446" s="58">
        <f>IF(AND(BANCO_OK_3,B446&lt;=MESES),IF(OR(B446=MESES,Q446-R446&gt;T445),T445,Q446-R446),0)</f>
        <v/>
      </c>
      <c r="T446" s="58">
        <f>T445-S446</f>
        <v/>
      </c>
      <c r="U446" s="58">
        <f>IF(AND(BANCO_OK_3,B446&lt;=MESES),R446+S446+VINC_MES_3,0)</f>
        <v/>
      </c>
      <c r="V446" s="52">
        <f>IF(AND(BANCO_OK_4,B446&lt;=MESES),IF(OR(OF_TIPO_4="Fija",C446&lt;=OF_ANIOS_INI_4),OF_TIN_4,MAX(0,EURIBOR+OF_DIF_4)),0)</f>
        <v/>
      </c>
      <c r="W446" s="58">
        <f>IF(AND(BANCO_OK_4,B446&lt;=MESES),IF(OR(B446=1,V446&lt;&gt;V445),PMT(V446/1200,MESES-B446+1,-Z445),W445),0)</f>
        <v/>
      </c>
      <c r="X446" s="58">
        <f>Z445*V446/1200</f>
        <v/>
      </c>
      <c r="Y446" s="58">
        <f>IF(AND(BANCO_OK_4,B446&lt;=MESES),IF(OR(B446=MESES,W446-X446&gt;Z445),Z445,W446-X446),0)</f>
        <v/>
      </c>
      <c r="Z446" s="58">
        <f>Z445-Y446</f>
        <v/>
      </c>
      <c r="AA446" s="58">
        <f>IF(AND(BANCO_OK_4,B446&lt;=MESES),X446+Y446+VINC_MES_4,0)</f>
        <v/>
      </c>
    </row>
    <row r="447">
      <c r="B447" s="56" t="n">
        <v>439</v>
      </c>
      <c r="C447" s="56">
        <f>ROUNDUP(B447/12,0)</f>
        <v/>
      </c>
      <c r="D447" s="52">
        <f>IF(AND(BANCO_OK_1,B447&lt;=MESES),IF(OR(OF_TIPO_1="Fija",C447&lt;=OF_ANIOS_INI_1),OF_TIN_1,MAX(0,EURIBOR+OF_DIF_1)),0)</f>
        <v/>
      </c>
      <c r="E447" s="58">
        <f>IF(AND(BANCO_OK_1,B447&lt;=MESES),IF(OR(B447=1,D447&lt;&gt;D446),PMT(D447/1200,MESES-B447+1,-H446),E446),0)</f>
        <v/>
      </c>
      <c r="F447" s="58">
        <f>H446*D447/1200</f>
        <v/>
      </c>
      <c r="G447" s="58">
        <f>IF(AND(BANCO_OK_1,B447&lt;=MESES),IF(OR(B447=MESES,E447-F447&gt;H446),H446,E447-F447),0)</f>
        <v/>
      </c>
      <c r="H447" s="58">
        <f>H446-G447</f>
        <v/>
      </c>
      <c r="I447" s="58">
        <f>IF(AND(BANCO_OK_1,B447&lt;=MESES),F447+G447+VINC_MES_1,0)</f>
        <v/>
      </c>
      <c r="J447" s="52">
        <f>IF(AND(BANCO_OK_2,B447&lt;=MESES),IF(OR(OF_TIPO_2="Fija",C447&lt;=OF_ANIOS_INI_2),OF_TIN_2,MAX(0,EURIBOR+OF_DIF_2)),0)</f>
        <v/>
      </c>
      <c r="K447" s="58">
        <f>IF(AND(BANCO_OK_2,B447&lt;=MESES),IF(OR(B447=1,J447&lt;&gt;J446),PMT(J447/1200,MESES-B447+1,-N446),K446),0)</f>
        <v/>
      </c>
      <c r="L447" s="58">
        <f>N446*J447/1200</f>
        <v/>
      </c>
      <c r="M447" s="58">
        <f>IF(AND(BANCO_OK_2,B447&lt;=MESES),IF(OR(B447=MESES,K447-L447&gt;N446),N446,K447-L447),0)</f>
        <v/>
      </c>
      <c r="N447" s="58">
        <f>N446-M447</f>
        <v/>
      </c>
      <c r="O447" s="58">
        <f>IF(AND(BANCO_OK_2,B447&lt;=MESES),L447+M447+VINC_MES_2,0)</f>
        <v/>
      </c>
      <c r="P447" s="52">
        <f>IF(AND(BANCO_OK_3,B447&lt;=MESES),IF(OR(OF_TIPO_3="Fija",C447&lt;=OF_ANIOS_INI_3),OF_TIN_3,MAX(0,EURIBOR+OF_DIF_3)),0)</f>
        <v/>
      </c>
      <c r="Q447" s="58">
        <f>IF(AND(BANCO_OK_3,B447&lt;=MESES),IF(OR(B447=1,P447&lt;&gt;P446),PMT(P447/1200,MESES-B447+1,-T446),Q446),0)</f>
        <v/>
      </c>
      <c r="R447" s="58">
        <f>T446*P447/1200</f>
        <v/>
      </c>
      <c r="S447" s="58">
        <f>IF(AND(BANCO_OK_3,B447&lt;=MESES),IF(OR(B447=MESES,Q447-R447&gt;T446),T446,Q447-R447),0)</f>
        <v/>
      </c>
      <c r="T447" s="58">
        <f>T446-S447</f>
        <v/>
      </c>
      <c r="U447" s="58">
        <f>IF(AND(BANCO_OK_3,B447&lt;=MESES),R447+S447+VINC_MES_3,0)</f>
        <v/>
      </c>
      <c r="V447" s="52">
        <f>IF(AND(BANCO_OK_4,B447&lt;=MESES),IF(OR(OF_TIPO_4="Fija",C447&lt;=OF_ANIOS_INI_4),OF_TIN_4,MAX(0,EURIBOR+OF_DIF_4)),0)</f>
        <v/>
      </c>
      <c r="W447" s="58">
        <f>IF(AND(BANCO_OK_4,B447&lt;=MESES),IF(OR(B447=1,V447&lt;&gt;V446),PMT(V447/1200,MESES-B447+1,-Z446),W446),0)</f>
        <v/>
      </c>
      <c r="X447" s="58">
        <f>Z446*V447/1200</f>
        <v/>
      </c>
      <c r="Y447" s="58">
        <f>IF(AND(BANCO_OK_4,B447&lt;=MESES),IF(OR(B447=MESES,W447-X447&gt;Z446),Z446,W447-X447),0)</f>
        <v/>
      </c>
      <c r="Z447" s="58">
        <f>Z446-Y447</f>
        <v/>
      </c>
      <c r="AA447" s="58">
        <f>IF(AND(BANCO_OK_4,B447&lt;=MESES),X447+Y447+VINC_MES_4,0)</f>
        <v/>
      </c>
    </row>
    <row r="448">
      <c r="B448" s="56" t="n">
        <v>440</v>
      </c>
      <c r="C448" s="56">
        <f>ROUNDUP(B448/12,0)</f>
        <v/>
      </c>
      <c r="D448" s="52">
        <f>IF(AND(BANCO_OK_1,B448&lt;=MESES),IF(OR(OF_TIPO_1="Fija",C448&lt;=OF_ANIOS_INI_1),OF_TIN_1,MAX(0,EURIBOR+OF_DIF_1)),0)</f>
        <v/>
      </c>
      <c r="E448" s="58">
        <f>IF(AND(BANCO_OK_1,B448&lt;=MESES),IF(OR(B448=1,D448&lt;&gt;D447),PMT(D448/1200,MESES-B448+1,-H447),E447),0)</f>
        <v/>
      </c>
      <c r="F448" s="58">
        <f>H447*D448/1200</f>
        <v/>
      </c>
      <c r="G448" s="58">
        <f>IF(AND(BANCO_OK_1,B448&lt;=MESES),IF(OR(B448=MESES,E448-F448&gt;H447),H447,E448-F448),0)</f>
        <v/>
      </c>
      <c r="H448" s="58">
        <f>H447-G448</f>
        <v/>
      </c>
      <c r="I448" s="58">
        <f>IF(AND(BANCO_OK_1,B448&lt;=MESES),F448+G448+VINC_MES_1,0)</f>
        <v/>
      </c>
      <c r="J448" s="52">
        <f>IF(AND(BANCO_OK_2,B448&lt;=MESES),IF(OR(OF_TIPO_2="Fija",C448&lt;=OF_ANIOS_INI_2),OF_TIN_2,MAX(0,EURIBOR+OF_DIF_2)),0)</f>
        <v/>
      </c>
      <c r="K448" s="58">
        <f>IF(AND(BANCO_OK_2,B448&lt;=MESES),IF(OR(B448=1,J448&lt;&gt;J447),PMT(J448/1200,MESES-B448+1,-N447),K447),0)</f>
        <v/>
      </c>
      <c r="L448" s="58">
        <f>N447*J448/1200</f>
        <v/>
      </c>
      <c r="M448" s="58">
        <f>IF(AND(BANCO_OK_2,B448&lt;=MESES),IF(OR(B448=MESES,K448-L448&gt;N447),N447,K448-L448),0)</f>
        <v/>
      </c>
      <c r="N448" s="58">
        <f>N447-M448</f>
        <v/>
      </c>
      <c r="O448" s="58">
        <f>IF(AND(BANCO_OK_2,B448&lt;=MESES),L448+M448+VINC_MES_2,0)</f>
        <v/>
      </c>
      <c r="P448" s="52">
        <f>IF(AND(BANCO_OK_3,B448&lt;=MESES),IF(OR(OF_TIPO_3="Fija",C448&lt;=OF_ANIOS_INI_3),OF_TIN_3,MAX(0,EURIBOR+OF_DIF_3)),0)</f>
        <v/>
      </c>
      <c r="Q448" s="58">
        <f>IF(AND(BANCO_OK_3,B448&lt;=MESES),IF(OR(B448=1,P448&lt;&gt;P447),PMT(P448/1200,MESES-B448+1,-T447),Q447),0)</f>
        <v/>
      </c>
      <c r="R448" s="58">
        <f>T447*P448/1200</f>
        <v/>
      </c>
      <c r="S448" s="58">
        <f>IF(AND(BANCO_OK_3,B448&lt;=MESES),IF(OR(B448=MESES,Q448-R448&gt;T447),T447,Q448-R448),0)</f>
        <v/>
      </c>
      <c r="T448" s="58">
        <f>T447-S448</f>
        <v/>
      </c>
      <c r="U448" s="58">
        <f>IF(AND(BANCO_OK_3,B448&lt;=MESES),R448+S448+VINC_MES_3,0)</f>
        <v/>
      </c>
      <c r="V448" s="52">
        <f>IF(AND(BANCO_OK_4,B448&lt;=MESES),IF(OR(OF_TIPO_4="Fija",C448&lt;=OF_ANIOS_INI_4),OF_TIN_4,MAX(0,EURIBOR+OF_DIF_4)),0)</f>
        <v/>
      </c>
      <c r="W448" s="58">
        <f>IF(AND(BANCO_OK_4,B448&lt;=MESES),IF(OR(B448=1,V448&lt;&gt;V447),PMT(V448/1200,MESES-B448+1,-Z447),W447),0)</f>
        <v/>
      </c>
      <c r="X448" s="58">
        <f>Z447*V448/1200</f>
        <v/>
      </c>
      <c r="Y448" s="58">
        <f>IF(AND(BANCO_OK_4,B448&lt;=MESES),IF(OR(B448=MESES,W448-X448&gt;Z447),Z447,W448-X448),0)</f>
        <v/>
      </c>
      <c r="Z448" s="58">
        <f>Z447-Y448</f>
        <v/>
      </c>
      <c r="AA448" s="58">
        <f>IF(AND(BANCO_OK_4,B448&lt;=MESES),X448+Y448+VINC_MES_4,0)</f>
        <v/>
      </c>
    </row>
    <row r="449">
      <c r="B449" s="56" t="n">
        <v>441</v>
      </c>
      <c r="C449" s="56">
        <f>ROUNDUP(B449/12,0)</f>
        <v/>
      </c>
      <c r="D449" s="52">
        <f>IF(AND(BANCO_OK_1,B449&lt;=MESES),IF(OR(OF_TIPO_1="Fija",C449&lt;=OF_ANIOS_INI_1),OF_TIN_1,MAX(0,EURIBOR+OF_DIF_1)),0)</f>
        <v/>
      </c>
      <c r="E449" s="58">
        <f>IF(AND(BANCO_OK_1,B449&lt;=MESES),IF(OR(B449=1,D449&lt;&gt;D448),PMT(D449/1200,MESES-B449+1,-H448),E448),0)</f>
        <v/>
      </c>
      <c r="F449" s="58">
        <f>H448*D449/1200</f>
        <v/>
      </c>
      <c r="G449" s="58">
        <f>IF(AND(BANCO_OK_1,B449&lt;=MESES),IF(OR(B449=MESES,E449-F449&gt;H448),H448,E449-F449),0)</f>
        <v/>
      </c>
      <c r="H449" s="58">
        <f>H448-G449</f>
        <v/>
      </c>
      <c r="I449" s="58">
        <f>IF(AND(BANCO_OK_1,B449&lt;=MESES),F449+G449+VINC_MES_1,0)</f>
        <v/>
      </c>
      <c r="J449" s="52">
        <f>IF(AND(BANCO_OK_2,B449&lt;=MESES),IF(OR(OF_TIPO_2="Fija",C449&lt;=OF_ANIOS_INI_2),OF_TIN_2,MAX(0,EURIBOR+OF_DIF_2)),0)</f>
        <v/>
      </c>
      <c r="K449" s="58">
        <f>IF(AND(BANCO_OK_2,B449&lt;=MESES),IF(OR(B449=1,J449&lt;&gt;J448),PMT(J449/1200,MESES-B449+1,-N448),K448),0)</f>
        <v/>
      </c>
      <c r="L449" s="58">
        <f>N448*J449/1200</f>
        <v/>
      </c>
      <c r="M449" s="58">
        <f>IF(AND(BANCO_OK_2,B449&lt;=MESES),IF(OR(B449=MESES,K449-L449&gt;N448),N448,K449-L449),0)</f>
        <v/>
      </c>
      <c r="N449" s="58">
        <f>N448-M449</f>
        <v/>
      </c>
      <c r="O449" s="58">
        <f>IF(AND(BANCO_OK_2,B449&lt;=MESES),L449+M449+VINC_MES_2,0)</f>
        <v/>
      </c>
      <c r="P449" s="52">
        <f>IF(AND(BANCO_OK_3,B449&lt;=MESES),IF(OR(OF_TIPO_3="Fija",C449&lt;=OF_ANIOS_INI_3),OF_TIN_3,MAX(0,EURIBOR+OF_DIF_3)),0)</f>
        <v/>
      </c>
      <c r="Q449" s="58">
        <f>IF(AND(BANCO_OK_3,B449&lt;=MESES),IF(OR(B449=1,P449&lt;&gt;P448),PMT(P449/1200,MESES-B449+1,-T448),Q448),0)</f>
        <v/>
      </c>
      <c r="R449" s="58">
        <f>T448*P449/1200</f>
        <v/>
      </c>
      <c r="S449" s="58">
        <f>IF(AND(BANCO_OK_3,B449&lt;=MESES),IF(OR(B449=MESES,Q449-R449&gt;T448),T448,Q449-R449),0)</f>
        <v/>
      </c>
      <c r="T449" s="58">
        <f>T448-S449</f>
        <v/>
      </c>
      <c r="U449" s="58">
        <f>IF(AND(BANCO_OK_3,B449&lt;=MESES),R449+S449+VINC_MES_3,0)</f>
        <v/>
      </c>
      <c r="V449" s="52">
        <f>IF(AND(BANCO_OK_4,B449&lt;=MESES),IF(OR(OF_TIPO_4="Fija",C449&lt;=OF_ANIOS_INI_4),OF_TIN_4,MAX(0,EURIBOR+OF_DIF_4)),0)</f>
        <v/>
      </c>
      <c r="W449" s="58">
        <f>IF(AND(BANCO_OK_4,B449&lt;=MESES),IF(OR(B449=1,V449&lt;&gt;V448),PMT(V449/1200,MESES-B449+1,-Z448),W448),0)</f>
        <v/>
      </c>
      <c r="X449" s="58">
        <f>Z448*V449/1200</f>
        <v/>
      </c>
      <c r="Y449" s="58">
        <f>IF(AND(BANCO_OK_4,B449&lt;=MESES),IF(OR(B449=MESES,W449-X449&gt;Z448),Z448,W449-X449),0)</f>
        <v/>
      </c>
      <c r="Z449" s="58">
        <f>Z448-Y449</f>
        <v/>
      </c>
      <c r="AA449" s="58">
        <f>IF(AND(BANCO_OK_4,B449&lt;=MESES),X449+Y449+VINC_MES_4,0)</f>
        <v/>
      </c>
    </row>
    <row r="450">
      <c r="B450" s="56" t="n">
        <v>442</v>
      </c>
      <c r="C450" s="56">
        <f>ROUNDUP(B450/12,0)</f>
        <v/>
      </c>
      <c r="D450" s="52">
        <f>IF(AND(BANCO_OK_1,B450&lt;=MESES),IF(OR(OF_TIPO_1="Fija",C450&lt;=OF_ANIOS_INI_1),OF_TIN_1,MAX(0,EURIBOR+OF_DIF_1)),0)</f>
        <v/>
      </c>
      <c r="E450" s="58">
        <f>IF(AND(BANCO_OK_1,B450&lt;=MESES),IF(OR(B450=1,D450&lt;&gt;D449),PMT(D450/1200,MESES-B450+1,-H449),E449),0)</f>
        <v/>
      </c>
      <c r="F450" s="58">
        <f>H449*D450/1200</f>
        <v/>
      </c>
      <c r="G450" s="58">
        <f>IF(AND(BANCO_OK_1,B450&lt;=MESES),IF(OR(B450=MESES,E450-F450&gt;H449),H449,E450-F450),0)</f>
        <v/>
      </c>
      <c r="H450" s="58">
        <f>H449-G450</f>
        <v/>
      </c>
      <c r="I450" s="58">
        <f>IF(AND(BANCO_OK_1,B450&lt;=MESES),F450+G450+VINC_MES_1,0)</f>
        <v/>
      </c>
      <c r="J450" s="52">
        <f>IF(AND(BANCO_OK_2,B450&lt;=MESES),IF(OR(OF_TIPO_2="Fija",C450&lt;=OF_ANIOS_INI_2),OF_TIN_2,MAX(0,EURIBOR+OF_DIF_2)),0)</f>
        <v/>
      </c>
      <c r="K450" s="58">
        <f>IF(AND(BANCO_OK_2,B450&lt;=MESES),IF(OR(B450=1,J450&lt;&gt;J449),PMT(J450/1200,MESES-B450+1,-N449),K449),0)</f>
        <v/>
      </c>
      <c r="L450" s="58">
        <f>N449*J450/1200</f>
        <v/>
      </c>
      <c r="M450" s="58">
        <f>IF(AND(BANCO_OK_2,B450&lt;=MESES),IF(OR(B450=MESES,K450-L450&gt;N449),N449,K450-L450),0)</f>
        <v/>
      </c>
      <c r="N450" s="58">
        <f>N449-M450</f>
        <v/>
      </c>
      <c r="O450" s="58">
        <f>IF(AND(BANCO_OK_2,B450&lt;=MESES),L450+M450+VINC_MES_2,0)</f>
        <v/>
      </c>
      <c r="P450" s="52">
        <f>IF(AND(BANCO_OK_3,B450&lt;=MESES),IF(OR(OF_TIPO_3="Fija",C450&lt;=OF_ANIOS_INI_3),OF_TIN_3,MAX(0,EURIBOR+OF_DIF_3)),0)</f>
        <v/>
      </c>
      <c r="Q450" s="58">
        <f>IF(AND(BANCO_OK_3,B450&lt;=MESES),IF(OR(B450=1,P450&lt;&gt;P449),PMT(P450/1200,MESES-B450+1,-T449),Q449),0)</f>
        <v/>
      </c>
      <c r="R450" s="58">
        <f>T449*P450/1200</f>
        <v/>
      </c>
      <c r="S450" s="58">
        <f>IF(AND(BANCO_OK_3,B450&lt;=MESES),IF(OR(B450=MESES,Q450-R450&gt;T449),T449,Q450-R450),0)</f>
        <v/>
      </c>
      <c r="T450" s="58">
        <f>T449-S450</f>
        <v/>
      </c>
      <c r="U450" s="58">
        <f>IF(AND(BANCO_OK_3,B450&lt;=MESES),R450+S450+VINC_MES_3,0)</f>
        <v/>
      </c>
      <c r="V450" s="52">
        <f>IF(AND(BANCO_OK_4,B450&lt;=MESES),IF(OR(OF_TIPO_4="Fija",C450&lt;=OF_ANIOS_INI_4),OF_TIN_4,MAX(0,EURIBOR+OF_DIF_4)),0)</f>
        <v/>
      </c>
      <c r="W450" s="58">
        <f>IF(AND(BANCO_OK_4,B450&lt;=MESES),IF(OR(B450=1,V450&lt;&gt;V449),PMT(V450/1200,MESES-B450+1,-Z449),W449),0)</f>
        <v/>
      </c>
      <c r="X450" s="58">
        <f>Z449*V450/1200</f>
        <v/>
      </c>
      <c r="Y450" s="58">
        <f>IF(AND(BANCO_OK_4,B450&lt;=MESES),IF(OR(B450=MESES,W450-X450&gt;Z449),Z449,W450-X450),0)</f>
        <v/>
      </c>
      <c r="Z450" s="58">
        <f>Z449-Y450</f>
        <v/>
      </c>
      <c r="AA450" s="58">
        <f>IF(AND(BANCO_OK_4,B450&lt;=MESES),X450+Y450+VINC_MES_4,0)</f>
        <v/>
      </c>
    </row>
    <row r="451">
      <c r="B451" s="56" t="n">
        <v>443</v>
      </c>
      <c r="C451" s="56">
        <f>ROUNDUP(B451/12,0)</f>
        <v/>
      </c>
      <c r="D451" s="52">
        <f>IF(AND(BANCO_OK_1,B451&lt;=MESES),IF(OR(OF_TIPO_1="Fija",C451&lt;=OF_ANIOS_INI_1),OF_TIN_1,MAX(0,EURIBOR+OF_DIF_1)),0)</f>
        <v/>
      </c>
      <c r="E451" s="58">
        <f>IF(AND(BANCO_OK_1,B451&lt;=MESES),IF(OR(B451=1,D451&lt;&gt;D450),PMT(D451/1200,MESES-B451+1,-H450),E450),0)</f>
        <v/>
      </c>
      <c r="F451" s="58">
        <f>H450*D451/1200</f>
        <v/>
      </c>
      <c r="G451" s="58">
        <f>IF(AND(BANCO_OK_1,B451&lt;=MESES),IF(OR(B451=MESES,E451-F451&gt;H450),H450,E451-F451),0)</f>
        <v/>
      </c>
      <c r="H451" s="58">
        <f>H450-G451</f>
        <v/>
      </c>
      <c r="I451" s="58">
        <f>IF(AND(BANCO_OK_1,B451&lt;=MESES),F451+G451+VINC_MES_1,0)</f>
        <v/>
      </c>
      <c r="J451" s="52">
        <f>IF(AND(BANCO_OK_2,B451&lt;=MESES),IF(OR(OF_TIPO_2="Fija",C451&lt;=OF_ANIOS_INI_2),OF_TIN_2,MAX(0,EURIBOR+OF_DIF_2)),0)</f>
        <v/>
      </c>
      <c r="K451" s="58">
        <f>IF(AND(BANCO_OK_2,B451&lt;=MESES),IF(OR(B451=1,J451&lt;&gt;J450),PMT(J451/1200,MESES-B451+1,-N450),K450),0)</f>
        <v/>
      </c>
      <c r="L451" s="58">
        <f>N450*J451/1200</f>
        <v/>
      </c>
      <c r="M451" s="58">
        <f>IF(AND(BANCO_OK_2,B451&lt;=MESES),IF(OR(B451=MESES,K451-L451&gt;N450),N450,K451-L451),0)</f>
        <v/>
      </c>
      <c r="N451" s="58">
        <f>N450-M451</f>
        <v/>
      </c>
      <c r="O451" s="58">
        <f>IF(AND(BANCO_OK_2,B451&lt;=MESES),L451+M451+VINC_MES_2,0)</f>
        <v/>
      </c>
      <c r="P451" s="52">
        <f>IF(AND(BANCO_OK_3,B451&lt;=MESES),IF(OR(OF_TIPO_3="Fija",C451&lt;=OF_ANIOS_INI_3),OF_TIN_3,MAX(0,EURIBOR+OF_DIF_3)),0)</f>
        <v/>
      </c>
      <c r="Q451" s="58">
        <f>IF(AND(BANCO_OK_3,B451&lt;=MESES),IF(OR(B451=1,P451&lt;&gt;P450),PMT(P451/1200,MESES-B451+1,-T450),Q450),0)</f>
        <v/>
      </c>
      <c r="R451" s="58">
        <f>T450*P451/1200</f>
        <v/>
      </c>
      <c r="S451" s="58">
        <f>IF(AND(BANCO_OK_3,B451&lt;=MESES),IF(OR(B451=MESES,Q451-R451&gt;T450),T450,Q451-R451),0)</f>
        <v/>
      </c>
      <c r="T451" s="58">
        <f>T450-S451</f>
        <v/>
      </c>
      <c r="U451" s="58">
        <f>IF(AND(BANCO_OK_3,B451&lt;=MESES),R451+S451+VINC_MES_3,0)</f>
        <v/>
      </c>
      <c r="V451" s="52">
        <f>IF(AND(BANCO_OK_4,B451&lt;=MESES),IF(OR(OF_TIPO_4="Fija",C451&lt;=OF_ANIOS_INI_4),OF_TIN_4,MAX(0,EURIBOR+OF_DIF_4)),0)</f>
        <v/>
      </c>
      <c r="W451" s="58">
        <f>IF(AND(BANCO_OK_4,B451&lt;=MESES),IF(OR(B451=1,V451&lt;&gt;V450),PMT(V451/1200,MESES-B451+1,-Z450),W450),0)</f>
        <v/>
      </c>
      <c r="X451" s="58">
        <f>Z450*V451/1200</f>
        <v/>
      </c>
      <c r="Y451" s="58">
        <f>IF(AND(BANCO_OK_4,B451&lt;=MESES),IF(OR(B451=MESES,W451-X451&gt;Z450),Z450,W451-X451),0)</f>
        <v/>
      </c>
      <c r="Z451" s="58">
        <f>Z450-Y451</f>
        <v/>
      </c>
      <c r="AA451" s="58">
        <f>IF(AND(BANCO_OK_4,B451&lt;=MESES),X451+Y451+VINC_MES_4,0)</f>
        <v/>
      </c>
    </row>
    <row r="452">
      <c r="B452" s="56" t="n">
        <v>444</v>
      </c>
      <c r="C452" s="56">
        <f>ROUNDUP(B452/12,0)</f>
        <v/>
      </c>
      <c r="D452" s="52">
        <f>IF(AND(BANCO_OK_1,B452&lt;=MESES),IF(OR(OF_TIPO_1="Fija",C452&lt;=OF_ANIOS_INI_1),OF_TIN_1,MAX(0,EURIBOR+OF_DIF_1)),0)</f>
        <v/>
      </c>
      <c r="E452" s="58">
        <f>IF(AND(BANCO_OK_1,B452&lt;=MESES),IF(OR(B452=1,D452&lt;&gt;D451),PMT(D452/1200,MESES-B452+1,-H451),E451),0)</f>
        <v/>
      </c>
      <c r="F452" s="58">
        <f>H451*D452/1200</f>
        <v/>
      </c>
      <c r="G452" s="58">
        <f>IF(AND(BANCO_OK_1,B452&lt;=MESES),IF(OR(B452=MESES,E452-F452&gt;H451),H451,E452-F452),0)</f>
        <v/>
      </c>
      <c r="H452" s="58">
        <f>H451-G452</f>
        <v/>
      </c>
      <c r="I452" s="58">
        <f>IF(AND(BANCO_OK_1,B452&lt;=MESES),F452+G452+VINC_MES_1,0)</f>
        <v/>
      </c>
      <c r="J452" s="52">
        <f>IF(AND(BANCO_OK_2,B452&lt;=MESES),IF(OR(OF_TIPO_2="Fija",C452&lt;=OF_ANIOS_INI_2),OF_TIN_2,MAX(0,EURIBOR+OF_DIF_2)),0)</f>
        <v/>
      </c>
      <c r="K452" s="58">
        <f>IF(AND(BANCO_OK_2,B452&lt;=MESES),IF(OR(B452=1,J452&lt;&gt;J451),PMT(J452/1200,MESES-B452+1,-N451),K451),0)</f>
        <v/>
      </c>
      <c r="L452" s="58">
        <f>N451*J452/1200</f>
        <v/>
      </c>
      <c r="M452" s="58">
        <f>IF(AND(BANCO_OK_2,B452&lt;=MESES),IF(OR(B452=MESES,K452-L452&gt;N451),N451,K452-L452),0)</f>
        <v/>
      </c>
      <c r="N452" s="58">
        <f>N451-M452</f>
        <v/>
      </c>
      <c r="O452" s="58">
        <f>IF(AND(BANCO_OK_2,B452&lt;=MESES),L452+M452+VINC_MES_2,0)</f>
        <v/>
      </c>
      <c r="P452" s="52">
        <f>IF(AND(BANCO_OK_3,B452&lt;=MESES),IF(OR(OF_TIPO_3="Fija",C452&lt;=OF_ANIOS_INI_3),OF_TIN_3,MAX(0,EURIBOR+OF_DIF_3)),0)</f>
        <v/>
      </c>
      <c r="Q452" s="58">
        <f>IF(AND(BANCO_OK_3,B452&lt;=MESES),IF(OR(B452=1,P452&lt;&gt;P451),PMT(P452/1200,MESES-B452+1,-T451),Q451),0)</f>
        <v/>
      </c>
      <c r="R452" s="58">
        <f>T451*P452/1200</f>
        <v/>
      </c>
      <c r="S452" s="58">
        <f>IF(AND(BANCO_OK_3,B452&lt;=MESES),IF(OR(B452=MESES,Q452-R452&gt;T451),T451,Q452-R452),0)</f>
        <v/>
      </c>
      <c r="T452" s="58">
        <f>T451-S452</f>
        <v/>
      </c>
      <c r="U452" s="58">
        <f>IF(AND(BANCO_OK_3,B452&lt;=MESES),R452+S452+VINC_MES_3,0)</f>
        <v/>
      </c>
      <c r="V452" s="52">
        <f>IF(AND(BANCO_OK_4,B452&lt;=MESES),IF(OR(OF_TIPO_4="Fija",C452&lt;=OF_ANIOS_INI_4),OF_TIN_4,MAX(0,EURIBOR+OF_DIF_4)),0)</f>
        <v/>
      </c>
      <c r="W452" s="58">
        <f>IF(AND(BANCO_OK_4,B452&lt;=MESES),IF(OR(B452=1,V452&lt;&gt;V451),PMT(V452/1200,MESES-B452+1,-Z451),W451),0)</f>
        <v/>
      </c>
      <c r="X452" s="58">
        <f>Z451*V452/1200</f>
        <v/>
      </c>
      <c r="Y452" s="58">
        <f>IF(AND(BANCO_OK_4,B452&lt;=MESES),IF(OR(B452=MESES,W452-X452&gt;Z451),Z451,W452-X452),0)</f>
        <v/>
      </c>
      <c r="Z452" s="58">
        <f>Z451-Y452</f>
        <v/>
      </c>
      <c r="AA452" s="58">
        <f>IF(AND(BANCO_OK_4,B452&lt;=MESES),X452+Y452+VINC_MES_4,0)</f>
        <v/>
      </c>
    </row>
    <row r="453">
      <c r="B453" s="56" t="n">
        <v>445</v>
      </c>
      <c r="C453" s="56">
        <f>ROUNDUP(B453/12,0)</f>
        <v/>
      </c>
      <c r="D453" s="52">
        <f>IF(AND(BANCO_OK_1,B453&lt;=MESES),IF(OR(OF_TIPO_1="Fija",C453&lt;=OF_ANIOS_INI_1),OF_TIN_1,MAX(0,EURIBOR+OF_DIF_1)),0)</f>
        <v/>
      </c>
      <c r="E453" s="58">
        <f>IF(AND(BANCO_OK_1,B453&lt;=MESES),IF(OR(B453=1,D453&lt;&gt;D452),PMT(D453/1200,MESES-B453+1,-H452),E452),0)</f>
        <v/>
      </c>
      <c r="F453" s="58">
        <f>H452*D453/1200</f>
        <v/>
      </c>
      <c r="G453" s="58">
        <f>IF(AND(BANCO_OK_1,B453&lt;=MESES),IF(OR(B453=MESES,E453-F453&gt;H452),H452,E453-F453),0)</f>
        <v/>
      </c>
      <c r="H453" s="58">
        <f>H452-G453</f>
        <v/>
      </c>
      <c r="I453" s="58">
        <f>IF(AND(BANCO_OK_1,B453&lt;=MESES),F453+G453+VINC_MES_1,0)</f>
        <v/>
      </c>
      <c r="J453" s="52">
        <f>IF(AND(BANCO_OK_2,B453&lt;=MESES),IF(OR(OF_TIPO_2="Fija",C453&lt;=OF_ANIOS_INI_2),OF_TIN_2,MAX(0,EURIBOR+OF_DIF_2)),0)</f>
        <v/>
      </c>
      <c r="K453" s="58">
        <f>IF(AND(BANCO_OK_2,B453&lt;=MESES),IF(OR(B453=1,J453&lt;&gt;J452),PMT(J453/1200,MESES-B453+1,-N452),K452),0)</f>
        <v/>
      </c>
      <c r="L453" s="58">
        <f>N452*J453/1200</f>
        <v/>
      </c>
      <c r="M453" s="58">
        <f>IF(AND(BANCO_OK_2,B453&lt;=MESES),IF(OR(B453=MESES,K453-L453&gt;N452),N452,K453-L453),0)</f>
        <v/>
      </c>
      <c r="N453" s="58">
        <f>N452-M453</f>
        <v/>
      </c>
      <c r="O453" s="58">
        <f>IF(AND(BANCO_OK_2,B453&lt;=MESES),L453+M453+VINC_MES_2,0)</f>
        <v/>
      </c>
      <c r="P453" s="52">
        <f>IF(AND(BANCO_OK_3,B453&lt;=MESES),IF(OR(OF_TIPO_3="Fija",C453&lt;=OF_ANIOS_INI_3),OF_TIN_3,MAX(0,EURIBOR+OF_DIF_3)),0)</f>
        <v/>
      </c>
      <c r="Q453" s="58">
        <f>IF(AND(BANCO_OK_3,B453&lt;=MESES),IF(OR(B453=1,P453&lt;&gt;P452),PMT(P453/1200,MESES-B453+1,-T452),Q452),0)</f>
        <v/>
      </c>
      <c r="R453" s="58">
        <f>T452*P453/1200</f>
        <v/>
      </c>
      <c r="S453" s="58">
        <f>IF(AND(BANCO_OK_3,B453&lt;=MESES),IF(OR(B453=MESES,Q453-R453&gt;T452),T452,Q453-R453),0)</f>
        <v/>
      </c>
      <c r="T453" s="58">
        <f>T452-S453</f>
        <v/>
      </c>
      <c r="U453" s="58">
        <f>IF(AND(BANCO_OK_3,B453&lt;=MESES),R453+S453+VINC_MES_3,0)</f>
        <v/>
      </c>
      <c r="V453" s="52">
        <f>IF(AND(BANCO_OK_4,B453&lt;=MESES),IF(OR(OF_TIPO_4="Fija",C453&lt;=OF_ANIOS_INI_4),OF_TIN_4,MAX(0,EURIBOR+OF_DIF_4)),0)</f>
        <v/>
      </c>
      <c r="W453" s="58">
        <f>IF(AND(BANCO_OK_4,B453&lt;=MESES),IF(OR(B453=1,V453&lt;&gt;V452),PMT(V453/1200,MESES-B453+1,-Z452),W452),0)</f>
        <v/>
      </c>
      <c r="X453" s="58">
        <f>Z452*V453/1200</f>
        <v/>
      </c>
      <c r="Y453" s="58">
        <f>IF(AND(BANCO_OK_4,B453&lt;=MESES),IF(OR(B453=MESES,W453-X453&gt;Z452),Z452,W453-X453),0)</f>
        <v/>
      </c>
      <c r="Z453" s="58">
        <f>Z452-Y453</f>
        <v/>
      </c>
      <c r="AA453" s="58">
        <f>IF(AND(BANCO_OK_4,B453&lt;=MESES),X453+Y453+VINC_MES_4,0)</f>
        <v/>
      </c>
    </row>
    <row r="454">
      <c r="B454" s="56" t="n">
        <v>446</v>
      </c>
      <c r="C454" s="56">
        <f>ROUNDUP(B454/12,0)</f>
        <v/>
      </c>
      <c r="D454" s="52">
        <f>IF(AND(BANCO_OK_1,B454&lt;=MESES),IF(OR(OF_TIPO_1="Fija",C454&lt;=OF_ANIOS_INI_1),OF_TIN_1,MAX(0,EURIBOR+OF_DIF_1)),0)</f>
        <v/>
      </c>
      <c r="E454" s="58">
        <f>IF(AND(BANCO_OK_1,B454&lt;=MESES),IF(OR(B454=1,D454&lt;&gt;D453),PMT(D454/1200,MESES-B454+1,-H453),E453),0)</f>
        <v/>
      </c>
      <c r="F454" s="58">
        <f>H453*D454/1200</f>
        <v/>
      </c>
      <c r="G454" s="58">
        <f>IF(AND(BANCO_OK_1,B454&lt;=MESES),IF(OR(B454=MESES,E454-F454&gt;H453),H453,E454-F454),0)</f>
        <v/>
      </c>
      <c r="H454" s="58">
        <f>H453-G454</f>
        <v/>
      </c>
      <c r="I454" s="58">
        <f>IF(AND(BANCO_OK_1,B454&lt;=MESES),F454+G454+VINC_MES_1,0)</f>
        <v/>
      </c>
      <c r="J454" s="52">
        <f>IF(AND(BANCO_OK_2,B454&lt;=MESES),IF(OR(OF_TIPO_2="Fija",C454&lt;=OF_ANIOS_INI_2),OF_TIN_2,MAX(0,EURIBOR+OF_DIF_2)),0)</f>
        <v/>
      </c>
      <c r="K454" s="58">
        <f>IF(AND(BANCO_OK_2,B454&lt;=MESES),IF(OR(B454=1,J454&lt;&gt;J453),PMT(J454/1200,MESES-B454+1,-N453),K453),0)</f>
        <v/>
      </c>
      <c r="L454" s="58">
        <f>N453*J454/1200</f>
        <v/>
      </c>
      <c r="M454" s="58">
        <f>IF(AND(BANCO_OK_2,B454&lt;=MESES),IF(OR(B454=MESES,K454-L454&gt;N453),N453,K454-L454),0)</f>
        <v/>
      </c>
      <c r="N454" s="58">
        <f>N453-M454</f>
        <v/>
      </c>
      <c r="O454" s="58">
        <f>IF(AND(BANCO_OK_2,B454&lt;=MESES),L454+M454+VINC_MES_2,0)</f>
        <v/>
      </c>
      <c r="P454" s="52">
        <f>IF(AND(BANCO_OK_3,B454&lt;=MESES),IF(OR(OF_TIPO_3="Fija",C454&lt;=OF_ANIOS_INI_3),OF_TIN_3,MAX(0,EURIBOR+OF_DIF_3)),0)</f>
        <v/>
      </c>
      <c r="Q454" s="58">
        <f>IF(AND(BANCO_OK_3,B454&lt;=MESES),IF(OR(B454=1,P454&lt;&gt;P453),PMT(P454/1200,MESES-B454+1,-T453),Q453),0)</f>
        <v/>
      </c>
      <c r="R454" s="58">
        <f>T453*P454/1200</f>
        <v/>
      </c>
      <c r="S454" s="58">
        <f>IF(AND(BANCO_OK_3,B454&lt;=MESES),IF(OR(B454=MESES,Q454-R454&gt;T453),T453,Q454-R454),0)</f>
        <v/>
      </c>
      <c r="T454" s="58">
        <f>T453-S454</f>
        <v/>
      </c>
      <c r="U454" s="58">
        <f>IF(AND(BANCO_OK_3,B454&lt;=MESES),R454+S454+VINC_MES_3,0)</f>
        <v/>
      </c>
      <c r="V454" s="52">
        <f>IF(AND(BANCO_OK_4,B454&lt;=MESES),IF(OR(OF_TIPO_4="Fija",C454&lt;=OF_ANIOS_INI_4),OF_TIN_4,MAX(0,EURIBOR+OF_DIF_4)),0)</f>
        <v/>
      </c>
      <c r="W454" s="58">
        <f>IF(AND(BANCO_OK_4,B454&lt;=MESES),IF(OR(B454=1,V454&lt;&gt;V453),PMT(V454/1200,MESES-B454+1,-Z453),W453),0)</f>
        <v/>
      </c>
      <c r="X454" s="58">
        <f>Z453*V454/1200</f>
        <v/>
      </c>
      <c r="Y454" s="58">
        <f>IF(AND(BANCO_OK_4,B454&lt;=MESES),IF(OR(B454=MESES,W454-X454&gt;Z453),Z453,W454-X454),0)</f>
        <v/>
      </c>
      <c r="Z454" s="58">
        <f>Z453-Y454</f>
        <v/>
      </c>
      <c r="AA454" s="58">
        <f>IF(AND(BANCO_OK_4,B454&lt;=MESES),X454+Y454+VINC_MES_4,0)</f>
        <v/>
      </c>
    </row>
    <row r="455">
      <c r="B455" s="56" t="n">
        <v>447</v>
      </c>
      <c r="C455" s="56">
        <f>ROUNDUP(B455/12,0)</f>
        <v/>
      </c>
      <c r="D455" s="52">
        <f>IF(AND(BANCO_OK_1,B455&lt;=MESES),IF(OR(OF_TIPO_1="Fija",C455&lt;=OF_ANIOS_INI_1),OF_TIN_1,MAX(0,EURIBOR+OF_DIF_1)),0)</f>
        <v/>
      </c>
      <c r="E455" s="58">
        <f>IF(AND(BANCO_OK_1,B455&lt;=MESES),IF(OR(B455=1,D455&lt;&gt;D454),PMT(D455/1200,MESES-B455+1,-H454),E454),0)</f>
        <v/>
      </c>
      <c r="F455" s="58">
        <f>H454*D455/1200</f>
        <v/>
      </c>
      <c r="G455" s="58">
        <f>IF(AND(BANCO_OK_1,B455&lt;=MESES),IF(OR(B455=MESES,E455-F455&gt;H454),H454,E455-F455),0)</f>
        <v/>
      </c>
      <c r="H455" s="58">
        <f>H454-G455</f>
        <v/>
      </c>
      <c r="I455" s="58">
        <f>IF(AND(BANCO_OK_1,B455&lt;=MESES),F455+G455+VINC_MES_1,0)</f>
        <v/>
      </c>
      <c r="J455" s="52">
        <f>IF(AND(BANCO_OK_2,B455&lt;=MESES),IF(OR(OF_TIPO_2="Fija",C455&lt;=OF_ANIOS_INI_2),OF_TIN_2,MAX(0,EURIBOR+OF_DIF_2)),0)</f>
        <v/>
      </c>
      <c r="K455" s="58">
        <f>IF(AND(BANCO_OK_2,B455&lt;=MESES),IF(OR(B455=1,J455&lt;&gt;J454),PMT(J455/1200,MESES-B455+1,-N454),K454),0)</f>
        <v/>
      </c>
      <c r="L455" s="58">
        <f>N454*J455/1200</f>
        <v/>
      </c>
      <c r="M455" s="58">
        <f>IF(AND(BANCO_OK_2,B455&lt;=MESES),IF(OR(B455=MESES,K455-L455&gt;N454),N454,K455-L455),0)</f>
        <v/>
      </c>
      <c r="N455" s="58">
        <f>N454-M455</f>
        <v/>
      </c>
      <c r="O455" s="58">
        <f>IF(AND(BANCO_OK_2,B455&lt;=MESES),L455+M455+VINC_MES_2,0)</f>
        <v/>
      </c>
      <c r="P455" s="52">
        <f>IF(AND(BANCO_OK_3,B455&lt;=MESES),IF(OR(OF_TIPO_3="Fija",C455&lt;=OF_ANIOS_INI_3),OF_TIN_3,MAX(0,EURIBOR+OF_DIF_3)),0)</f>
        <v/>
      </c>
      <c r="Q455" s="58">
        <f>IF(AND(BANCO_OK_3,B455&lt;=MESES),IF(OR(B455=1,P455&lt;&gt;P454),PMT(P455/1200,MESES-B455+1,-T454),Q454),0)</f>
        <v/>
      </c>
      <c r="R455" s="58">
        <f>T454*P455/1200</f>
        <v/>
      </c>
      <c r="S455" s="58">
        <f>IF(AND(BANCO_OK_3,B455&lt;=MESES),IF(OR(B455=MESES,Q455-R455&gt;T454),T454,Q455-R455),0)</f>
        <v/>
      </c>
      <c r="T455" s="58">
        <f>T454-S455</f>
        <v/>
      </c>
      <c r="U455" s="58">
        <f>IF(AND(BANCO_OK_3,B455&lt;=MESES),R455+S455+VINC_MES_3,0)</f>
        <v/>
      </c>
      <c r="V455" s="52">
        <f>IF(AND(BANCO_OK_4,B455&lt;=MESES),IF(OR(OF_TIPO_4="Fija",C455&lt;=OF_ANIOS_INI_4),OF_TIN_4,MAX(0,EURIBOR+OF_DIF_4)),0)</f>
        <v/>
      </c>
      <c r="W455" s="58">
        <f>IF(AND(BANCO_OK_4,B455&lt;=MESES),IF(OR(B455=1,V455&lt;&gt;V454),PMT(V455/1200,MESES-B455+1,-Z454),W454),0)</f>
        <v/>
      </c>
      <c r="X455" s="58">
        <f>Z454*V455/1200</f>
        <v/>
      </c>
      <c r="Y455" s="58">
        <f>IF(AND(BANCO_OK_4,B455&lt;=MESES),IF(OR(B455=MESES,W455-X455&gt;Z454),Z454,W455-X455),0)</f>
        <v/>
      </c>
      <c r="Z455" s="58">
        <f>Z454-Y455</f>
        <v/>
      </c>
      <c r="AA455" s="58">
        <f>IF(AND(BANCO_OK_4,B455&lt;=MESES),X455+Y455+VINC_MES_4,0)</f>
        <v/>
      </c>
    </row>
    <row r="456">
      <c r="B456" s="56" t="n">
        <v>448</v>
      </c>
      <c r="C456" s="56">
        <f>ROUNDUP(B456/12,0)</f>
        <v/>
      </c>
      <c r="D456" s="52">
        <f>IF(AND(BANCO_OK_1,B456&lt;=MESES),IF(OR(OF_TIPO_1="Fija",C456&lt;=OF_ANIOS_INI_1),OF_TIN_1,MAX(0,EURIBOR+OF_DIF_1)),0)</f>
        <v/>
      </c>
      <c r="E456" s="58">
        <f>IF(AND(BANCO_OK_1,B456&lt;=MESES),IF(OR(B456=1,D456&lt;&gt;D455),PMT(D456/1200,MESES-B456+1,-H455),E455),0)</f>
        <v/>
      </c>
      <c r="F456" s="58">
        <f>H455*D456/1200</f>
        <v/>
      </c>
      <c r="G456" s="58">
        <f>IF(AND(BANCO_OK_1,B456&lt;=MESES),IF(OR(B456=MESES,E456-F456&gt;H455),H455,E456-F456),0)</f>
        <v/>
      </c>
      <c r="H456" s="58">
        <f>H455-G456</f>
        <v/>
      </c>
      <c r="I456" s="58">
        <f>IF(AND(BANCO_OK_1,B456&lt;=MESES),F456+G456+VINC_MES_1,0)</f>
        <v/>
      </c>
      <c r="J456" s="52">
        <f>IF(AND(BANCO_OK_2,B456&lt;=MESES),IF(OR(OF_TIPO_2="Fija",C456&lt;=OF_ANIOS_INI_2),OF_TIN_2,MAX(0,EURIBOR+OF_DIF_2)),0)</f>
        <v/>
      </c>
      <c r="K456" s="58">
        <f>IF(AND(BANCO_OK_2,B456&lt;=MESES),IF(OR(B456=1,J456&lt;&gt;J455),PMT(J456/1200,MESES-B456+1,-N455),K455),0)</f>
        <v/>
      </c>
      <c r="L456" s="58">
        <f>N455*J456/1200</f>
        <v/>
      </c>
      <c r="M456" s="58">
        <f>IF(AND(BANCO_OK_2,B456&lt;=MESES),IF(OR(B456=MESES,K456-L456&gt;N455),N455,K456-L456),0)</f>
        <v/>
      </c>
      <c r="N456" s="58">
        <f>N455-M456</f>
        <v/>
      </c>
      <c r="O456" s="58">
        <f>IF(AND(BANCO_OK_2,B456&lt;=MESES),L456+M456+VINC_MES_2,0)</f>
        <v/>
      </c>
      <c r="P456" s="52">
        <f>IF(AND(BANCO_OK_3,B456&lt;=MESES),IF(OR(OF_TIPO_3="Fija",C456&lt;=OF_ANIOS_INI_3),OF_TIN_3,MAX(0,EURIBOR+OF_DIF_3)),0)</f>
        <v/>
      </c>
      <c r="Q456" s="58">
        <f>IF(AND(BANCO_OK_3,B456&lt;=MESES),IF(OR(B456=1,P456&lt;&gt;P455),PMT(P456/1200,MESES-B456+1,-T455),Q455),0)</f>
        <v/>
      </c>
      <c r="R456" s="58">
        <f>T455*P456/1200</f>
        <v/>
      </c>
      <c r="S456" s="58">
        <f>IF(AND(BANCO_OK_3,B456&lt;=MESES),IF(OR(B456=MESES,Q456-R456&gt;T455),T455,Q456-R456),0)</f>
        <v/>
      </c>
      <c r="T456" s="58">
        <f>T455-S456</f>
        <v/>
      </c>
      <c r="U456" s="58">
        <f>IF(AND(BANCO_OK_3,B456&lt;=MESES),R456+S456+VINC_MES_3,0)</f>
        <v/>
      </c>
      <c r="V456" s="52">
        <f>IF(AND(BANCO_OK_4,B456&lt;=MESES),IF(OR(OF_TIPO_4="Fija",C456&lt;=OF_ANIOS_INI_4),OF_TIN_4,MAX(0,EURIBOR+OF_DIF_4)),0)</f>
        <v/>
      </c>
      <c r="W456" s="58">
        <f>IF(AND(BANCO_OK_4,B456&lt;=MESES),IF(OR(B456=1,V456&lt;&gt;V455),PMT(V456/1200,MESES-B456+1,-Z455),W455),0)</f>
        <v/>
      </c>
      <c r="X456" s="58">
        <f>Z455*V456/1200</f>
        <v/>
      </c>
      <c r="Y456" s="58">
        <f>IF(AND(BANCO_OK_4,B456&lt;=MESES),IF(OR(B456=MESES,W456-X456&gt;Z455),Z455,W456-X456),0)</f>
        <v/>
      </c>
      <c r="Z456" s="58">
        <f>Z455-Y456</f>
        <v/>
      </c>
      <c r="AA456" s="58">
        <f>IF(AND(BANCO_OK_4,B456&lt;=MESES),X456+Y456+VINC_MES_4,0)</f>
        <v/>
      </c>
    </row>
    <row r="457">
      <c r="B457" s="56" t="n">
        <v>449</v>
      </c>
      <c r="C457" s="56">
        <f>ROUNDUP(B457/12,0)</f>
        <v/>
      </c>
      <c r="D457" s="52">
        <f>IF(AND(BANCO_OK_1,B457&lt;=MESES),IF(OR(OF_TIPO_1="Fija",C457&lt;=OF_ANIOS_INI_1),OF_TIN_1,MAX(0,EURIBOR+OF_DIF_1)),0)</f>
        <v/>
      </c>
      <c r="E457" s="58">
        <f>IF(AND(BANCO_OK_1,B457&lt;=MESES),IF(OR(B457=1,D457&lt;&gt;D456),PMT(D457/1200,MESES-B457+1,-H456),E456),0)</f>
        <v/>
      </c>
      <c r="F457" s="58">
        <f>H456*D457/1200</f>
        <v/>
      </c>
      <c r="G457" s="58">
        <f>IF(AND(BANCO_OK_1,B457&lt;=MESES),IF(OR(B457=MESES,E457-F457&gt;H456),H456,E457-F457),0)</f>
        <v/>
      </c>
      <c r="H457" s="58">
        <f>H456-G457</f>
        <v/>
      </c>
      <c r="I457" s="58">
        <f>IF(AND(BANCO_OK_1,B457&lt;=MESES),F457+G457+VINC_MES_1,0)</f>
        <v/>
      </c>
      <c r="J457" s="52">
        <f>IF(AND(BANCO_OK_2,B457&lt;=MESES),IF(OR(OF_TIPO_2="Fija",C457&lt;=OF_ANIOS_INI_2),OF_TIN_2,MAX(0,EURIBOR+OF_DIF_2)),0)</f>
        <v/>
      </c>
      <c r="K457" s="58">
        <f>IF(AND(BANCO_OK_2,B457&lt;=MESES),IF(OR(B457=1,J457&lt;&gt;J456),PMT(J457/1200,MESES-B457+1,-N456),K456),0)</f>
        <v/>
      </c>
      <c r="L457" s="58">
        <f>N456*J457/1200</f>
        <v/>
      </c>
      <c r="M457" s="58">
        <f>IF(AND(BANCO_OK_2,B457&lt;=MESES),IF(OR(B457=MESES,K457-L457&gt;N456),N456,K457-L457),0)</f>
        <v/>
      </c>
      <c r="N457" s="58">
        <f>N456-M457</f>
        <v/>
      </c>
      <c r="O457" s="58">
        <f>IF(AND(BANCO_OK_2,B457&lt;=MESES),L457+M457+VINC_MES_2,0)</f>
        <v/>
      </c>
      <c r="P457" s="52">
        <f>IF(AND(BANCO_OK_3,B457&lt;=MESES),IF(OR(OF_TIPO_3="Fija",C457&lt;=OF_ANIOS_INI_3),OF_TIN_3,MAX(0,EURIBOR+OF_DIF_3)),0)</f>
        <v/>
      </c>
      <c r="Q457" s="58">
        <f>IF(AND(BANCO_OK_3,B457&lt;=MESES),IF(OR(B457=1,P457&lt;&gt;P456),PMT(P457/1200,MESES-B457+1,-T456),Q456),0)</f>
        <v/>
      </c>
      <c r="R457" s="58">
        <f>T456*P457/1200</f>
        <v/>
      </c>
      <c r="S457" s="58">
        <f>IF(AND(BANCO_OK_3,B457&lt;=MESES),IF(OR(B457=MESES,Q457-R457&gt;T456),T456,Q457-R457),0)</f>
        <v/>
      </c>
      <c r="T457" s="58">
        <f>T456-S457</f>
        <v/>
      </c>
      <c r="U457" s="58">
        <f>IF(AND(BANCO_OK_3,B457&lt;=MESES),R457+S457+VINC_MES_3,0)</f>
        <v/>
      </c>
      <c r="V457" s="52">
        <f>IF(AND(BANCO_OK_4,B457&lt;=MESES),IF(OR(OF_TIPO_4="Fija",C457&lt;=OF_ANIOS_INI_4),OF_TIN_4,MAX(0,EURIBOR+OF_DIF_4)),0)</f>
        <v/>
      </c>
      <c r="W457" s="58">
        <f>IF(AND(BANCO_OK_4,B457&lt;=MESES),IF(OR(B457=1,V457&lt;&gt;V456),PMT(V457/1200,MESES-B457+1,-Z456),W456),0)</f>
        <v/>
      </c>
      <c r="X457" s="58">
        <f>Z456*V457/1200</f>
        <v/>
      </c>
      <c r="Y457" s="58">
        <f>IF(AND(BANCO_OK_4,B457&lt;=MESES),IF(OR(B457=MESES,W457-X457&gt;Z456),Z456,W457-X457),0)</f>
        <v/>
      </c>
      <c r="Z457" s="58">
        <f>Z456-Y457</f>
        <v/>
      </c>
      <c r="AA457" s="58">
        <f>IF(AND(BANCO_OK_4,B457&lt;=MESES),X457+Y457+VINC_MES_4,0)</f>
        <v/>
      </c>
    </row>
    <row r="458">
      <c r="B458" s="56" t="n">
        <v>450</v>
      </c>
      <c r="C458" s="56">
        <f>ROUNDUP(B458/12,0)</f>
        <v/>
      </c>
      <c r="D458" s="52">
        <f>IF(AND(BANCO_OK_1,B458&lt;=MESES),IF(OR(OF_TIPO_1="Fija",C458&lt;=OF_ANIOS_INI_1),OF_TIN_1,MAX(0,EURIBOR+OF_DIF_1)),0)</f>
        <v/>
      </c>
      <c r="E458" s="58">
        <f>IF(AND(BANCO_OK_1,B458&lt;=MESES),IF(OR(B458=1,D458&lt;&gt;D457),PMT(D458/1200,MESES-B458+1,-H457),E457),0)</f>
        <v/>
      </c>
      <c r="F458" s="58">
        <f>H457*D458/1200</f>
        <v/>
      </c>
      <c r="G458" s="58">
        <f>IF(AND(BANCO_OK_1,B458&lt;=MESES),IF(OR(B458=MESES,E458-F458&gt;H457),H457,E458-F458),0)</f>
        <v/>
      </c>
      <c r="H458" s="58">
        <f>H457-G458</f>
        <v/>
      </c>
      <c r="I458" s="58">
        <f>IF(AND(BANCO_OK_1,B458&lt;=MESES),F458+G458+VINC_MES_1,0)</f>
        <v/>
      </c>
      <c r="J458" s="52">
        <f>IF(AND(BANCO_OK_2,B458&lt;=MESES),IF(OR(OF_TIPO_2="Fija",C458&lt;=OF_ANIOS_INI_2),OF_TIN_2,MAX(0,EURIBOR+OF_DIF_2)),0)</f>
        <v/>
      </c>
      <c r="K458" s="58">
        <f>IF(AND(BANCO_OK_2,B458&lt;=MESES),IF(OR(B458=1,J458&lt;&gt;J457),PMT(J458/1200,MESES-B458+1,-N457),K457),0)</f>
        <v/>
      </c>
      <c r="L458" s="58">
        <f>N457*J458/1200</f>
        <v/>
      </c>
      <c r="M458" s="58">
        <f>IF(AND(BANCO_OK_2,B458&lt;=MESES),IF(OR(B458=MESES,K458-L458&gt;N457),N457,K458-L458),0)</f>
        <v/>
      </c>
      <c r="N458" s="58">
        <f>N457-M458</f>
        <v/>
      </c>
      <c r="O458" s="58">
        <f>IF(AND(BANCO_OK_2,B458&lt;=MESES),L458+M458+VINC_MES_2,0)</f>
        <v/>
      </c>
      <c r="P458" s="52">
        <f>IF(AND(BANCO_OK_3,B458&lt;=MESES),IF(OR(OF_TIPO_3="Fija",C458&lt;=OF_ANIOS_INI_3),OF_TIN_3,MAX(0,EURIBOR+OF_DIF_3)),0)</f>
        <v/>
      </c>
      <c r="Q458" s="58">
        <f>IF(AND(BANCO_OK_3,B458&lt;=MESES),IF(OR(B458=1,P458&lt;&gt;P457),PMT(P458/1200,MESES-B458+1,-T457),Q457),0)</f>
        <v/>
      </c>
      <c r="R458" s="58">
        <f>T457*P458/1200</f>
        <v/>
      </c>
      <c r="S458" s="58">
        <f>IF(AND(BANCO_OK_3,B458&lt;=MESES),IF(OR(B458=MESES,Q458-R458&gt;T457),T457,Q458-R458),0)</f>
        <v/>
      </c>
      <c r="T458" s="58">
        <f>T457-S458</f>
        <v/>
      </c>
      <c r="U458" s="58">
        <f>IF(AND(BANCO_OK_3,B458&lt;=MESES),R458+S458+VINC_MES_3,0)</f>
        <v/>
      </c>
      <c r="V458" s="52">
        <f>IF(AND(BANCO_OK_4,B458&lt;=MESES),IF(OR(OF_TIPO_4="Fija",C458&lt;=OF_ANIOS_INI_4),OF_TIN_4,MAX(0,EURIBOR+OF_DIF_4)),0)</f>
        <v/>
      </c>
      <c r="W458" s="58">
        <f>IF(AND(BANCO_OK_4,B458&lt;=MESES),IF(OR(B458=1,V458&lt;&gt;V457),PMT(V458/1200,MESES-B458+1,-Z457),W457),0)</f>
        <v/>
      </c>
      <c r="X458" s="58">
        <f>Z457*V458/1200</f>
        <v/>
      </c>
      <c r="Y458" s="58">
        <f>IF(AND(BANCO_OK_4,B458&lt;=MESES),IF(OR(B458=MESES,W458-X458&gt;Z457),Z457,W458-X458),0)</f>
        <v/>
      </c>
      <c r="Z458" s="58">
        <f>Z457-Y458</f>
        <v/>
      </c>
      <c r="AA458" s="58">
        <f>IF(AND(BANCO_OK_4,B458&lt;=MESES),X458+Y458+VINC_MES_4,0)</f>
        <v/>
      </c>
    </row>
    <row r="459">
      <c r="B459" s="56" t="n">
        <v>451</v>
      </c>
      <c r="C459" s="56">
        <f>ROUNDUP(B459/12,0)</f>
        <v/>
      </c>
      <c r="D459" s="52">
        <f>IF(AND(BANCO_OK_1,B459&lt;=MESES),IF(OR(OF_TIPO_1="Fija",C459&lt;=OF_ANIOS_INI_1),OF_TIN_1,MAX(0,EURIBOR+OF_DIF_1)),0)</f>
        <v/>
      </c>
      <c r="E459" s="58">
        <f>IF(AND(BANCO_OK_1,B459&lt;=MESES),IF(OR(B459=1,D459&lt;&gt;D458),PMT(D459/1200,MESES-B459+1,-H458),E458),0)</f>
        <v/>
      </c>
      <c r="F459" s="58">
        <f>H458*D459/1200</f>
        <v/>
      </c>
      <c r="G459" s="58">
        <f>IF(AND(BANCO_OK_1,B459&lt;=MESES),IF(OR(B459=MESES,E459-F459&gt;H458),H458,E459-F459),0)</f>
        <v/>
      </c>
      <c r="H459" s="58">
        <f>H458-G459</f>
        <v/>
      </c>
      <c r="I459" s="58">
        <f>IF(AND(BANCO_OK_1,B459&lt;=MESES),F459+G459+VINC_MES_1,0)</f>
        <v/>
      </c>
      <c r="J459" s="52">
        <f>IF(AND(BANCO_OK_2,B459&lt;=MESES),IF(OR(OF_TIPO_2="Fija",C459&lt;=OF_ANIOS_INI_2),OF_TIN_2,MAX(0,EURIBOR+OF_DIF_2)),0)</f>
        <v/>
      </c>
      <c r="K459" s="58">
        <f>IF(AND(BANCO_OK_2,B459&lt;=MESES),IF(OR(B459=1,J459&lt;&gt;J458),PMT(J459/1200,MESES-B459+1,-N458),K458),0)</f>
        <v/>
      </c>
      <c r="L459" s="58">
        <f>N458*J459/1200</f>
        <v/>
      </c>
      <c r="M459" s="58">
        <f>IF(AND(BANCO_OK_2,B459&lt;=MESES),IF(OR(B459=MESES,K459-L459&gt;N458),N458,K459-L459),0)</f>
        <v/>
      </c>
      <c r="N459" s="58">
        <f>N458-M459</f>
        <v/>
      </c>
      <c r="O459" s="58">
        <f>IF(AND(BANCO_OK_2,B459&lt;=MESES),L459+M459+VINC_MES_2,0)</f>
        <v/>
      </c>
      <c r="P459" s="52">
        <f>IF(AND(BANCO_OK_3,B459&lt;=MESES),IF(OR(OF_TIPO_3="Fija",C459&lt;=OF_ANIOS_INI_3),OF_TIN_3,MAX(0,EURIBOR+OF_DIF_3)),0)</f>
        <v/>
      </c>
      <c r="Q459" s="58">
        <f>IF(AND(BANCO_OK_3,B459&lt;=MESES),IF(OR(B459=1,P459&lt;&gt;P458),PMT(P459/1200,MESES-B459+1,-T458),Q458),0)</f>
        <v/>
      </c>
      <c r="R459" s="58">
        <f>T458*P459/1200</f>
        <v/>
      </c>
      <c r="S459" s="58">
        <f>IF(AND(BANCO_OK_3,B459&lt;=MESES),IF(OR(B459=MESES,Q459-R459&gt;T458),T458,Q459-R459),0)</f>
        <v/>
      </c>
      <c r="T459" s="58">
        <f>T458-S459</f>
        <v/>
      </c>
      <c r="U459" s="58">
        <f>IF(AND(BANCO_OK_3,B459&lt;=MESES),R459+S459+VINC_MES_3,0)</f>
        <v/>
      </c>
      <c r="V459" s="52">
        <f>IF(AND(BANCO_OK_4,B459&lt;=MESES),IF(OR(OF_TIPO_4="Fija",C459&lt;=OF_ANIOS_INI_4),OF_TIN_4,MAX(0,EURIBOR+OF_DIF_4)),0)</f>
        <v/>
      </c>
      <c r="W459" s="58">
        <f>IF(AND(BANCO_OK_4,B459&lt;=MESES),IF(OR(B459=1,V459&lt;&gt;V458),PMT(V459/1200,MESES-B459+1,-Z458),W458),0)</f>
        <v/>
      </c>
      <c r="X459" s="58">
        <f>Z458*V459/1200</f>
        <v/>
      </c>
      <c r="Y459" s="58">
        <f>IF(AND(BANCO_OK_4,B459&lt;=MESES),IF(OR(B459=MESES,W459-X459&gt;Z458),Z458,W459-X459),0)</f>
        <v/>
      </c>
      <c r="Z459" s="58">
        <f>Z458-Y459</f>
        <v/>
      </c>
      <c r="AA459" s="58">
        <f>IF(AND(BANCO_OK_4,B459&lt;=MESES),X459+Y459+VINC_MES_4,0)</f>
        <v/>
      </c>
    </row>
    <row r="460">
      <c r="B460" s="56" t="n">
        <v>452</v>
      </c>
      <c r="C460" s="56">
        <f>ROUNDUP(B460/12,0)</f>
        <v/>
      </c>
      <c r="D460" s="52">
        <f>IF(AND(BANCO_OK_1,B460&lt;=MESES),IF(OR(OF_TIPO_1="Fija",C460&lt;=OF_ANIOS_INI_1),OF_TIN_1,MAX(0,EURIBOR+OF_DIF_1)),0)</f>
        <v/>
      </c>
      <c r="E460" s="58">
        <f>IF(AND(BANCO_OK_1,B460&lt;=MESES),IF(OR(B460=1,D460&lt;&gt;D459),PMT(D460/1200,MESES-B460+1,-H459),E459),0)</f>
        <v/>
      </c>
      <c r="F460" s="58">
        <f>H459*D460/1200</f>
        <v/>
      </c>
      <c r="G460" s="58">
        <f>IF(AND(BANCO_OK_1,B460&lt;=MESES),IF(OR(B460=MESES,E460-F460&gt;H459),H459,E460-F460),0)</f>
        <v/>
      </c>
      <c r="H460" s="58">
        <f>H459-G460</f>
        <v/>
      </c>
      <c r="I460" s="58">
        <f>IF(AND(BANCO_OK_1,B460&lt;=MESES),F460+G460+VINC_MES_1,0)</f>
        <v/>
      </c>
      <c r="J460" s="52">
        <f>IF(AND(BANCO_OK_2,B460&lt;=MESES),IF(OR(OF_TIPO_2="Fija",C460&lt;=OF_ANIOS_INI_2),OF_TIN_2,MAX(0,EURIBOR+OF_DIF_2)),0)</f>
        <v/>
      </c>
      <c r="K460" s="58">
        <f>IF(AND(BANCO_OK_2,B460&lt;=MESES),IF(OR(B460=1,J460&lt;&gt;J459),PMT(J460/1200,MESES-B460+1,-N459),K459),0)</f>
        <v/>
      </c>
      <c r="L460" s="58">
        <f>N459*J460/1200</f>
        <v/>
      </c>
      <c r="M460" s="58">
        <f>IF(AND(BANCO_OK_2,B460&lt;=MESES),IF(OR(B460=MESES,K460-L460&gt;N459),N459,K460-L460),0)</f>
        <v/>
      </c>
      <c r="N460" s="58">
        <f>N459-M460</f>
        <v/>
      </c>
      <c r="O460" s="58">
        <f>IF(AND(BANCO_OK_2,B460&lt;=MESES),L460+M460+VINC_MES_2,0)</f>
        <v/>
      </c>
      <c r="P460" s="52">
        <f>IF(AND(BANCO_OK_3,B460&lt;=MESES),IF(OR(OF_TIPO_3="Fija",C460&lt;=OF_ANIOS_INI_3),OF_TIN_3,MAX(0,EURIBOR+OF_DIF_3)),0)</f>
        <v/>
      </c>
      <c r="Q460" s="58">
        <f>IF(AND(BANCO_OK_3,B460&lt;=MESES),IF(OR(B460=1,P460&lt;&gt;P459),PMT(P460/1200,MESES-B460+1,-T459),Q459),0)</f>
        <v/>
      </c>
      <c r="R460" s="58">
        <f>T459*P460/1200</f>
        <v/>
      </c>
      <c r="S460" s="58">
        <f>IF(AND(BANCO_OK_3,B460&lt;=MESES),IF(OR(B460=MESES,Q460-R460&gt;T459),T459,Q460-R460),0)</f>
        <v/>
      </c>
      <c r="T460" s="58">
        <f>T459-S460</f>
        <v/>
      </c>
      <c r="U460" s="58">
        <f>IF(AND(BANCO_OK_3,B460&lt;=MESES),R460+S460+VINC_MES_3,0)</f>
        <v/>
      </c>
      <c r="V460" s="52">
        <f>IF(AND(BANCO_OK_4,B460&lt;=MESES),IF(OR(OF_TIPO_4="Fija",C460&lt;=OF_ANIOS_INI_4),OF_TIN_4,MAX(0,EURIBOR+OF_DIF_4)),0)</f>
        <v/>
      </c>
      <c r="W460" s="58">
        <f>IF(AND(BANCO_OK_4,B460&lt;=MESES),IF(OR(B460=1,V460&lt;&gt;V459),PMT(V460/1200,MESES-B460+1,-Z459),W459),0)</f>
        <v/>
      </c>
      <c r="X460" s="58">
        <f>Z459*V460/1200</f>
        <v/>
      </c>
      <c r="Y460" s="58">
        <f>IF(AND(BANCO_OK_4,B460&lt;=MESES),IF(OR(B460=MESES,W460-X460&gt;Z459),Z459,W460-X460),0)</f>
        <v/>
      </c>
      <c r="Z460" s="58">
        <f>Z459-Y460</f>
        <v/>
      </c>
      <c r="AA460" s="58">
        <f>IF(AND(BANCO_OK_4,B460&lt;=MESES),X460+Y460+VINC_MES_4,0)</f>
        <v/>
      </c>
    </row>
    <row r="461">
      <c r="B461" s="56" t="n">
        <v>453</v>
      </c>
      <c r="C461" s="56">
        <f>ROUNDUP(B461/12,0)</f>
        <v/>
      </c>
      <c r="D461" s="52">
        <f>IF(AND(BANCO_OK_1,B461&lt;=MESES),IF(OR(OF_TIPO_1="Fija",C461&lt;=OF_ANIOS_INI_1),OF_TIN_1,MAX(0,EURIBOR+OF_DIF_1)),0)</f>
        <v/>
      </c>
      <c r="E461" s="58">
        <f>IF(AND(BANCO_OK_1,B461&lt;=MESES),IF(OR(B461=1,D461&lt;&gt;D460),PMT(D461/1200,MESES-B461+1,-H460),E460),0)</f>
        <v/>
      </c>
      <c r="F461" s="58">
        <f>H460*D461/1200</f>
        <v/>
      </c>
      <c r="G461" s="58">
        <f>IF(AND(BANCO_OK_1,B461&lt;=MESES),IF(OR(B461=MESES,E461-F461&gt;H460),H460,E461-F461),0)</f>
        <v/>
      </c>
      <c r="H461" s="58">
        <f>H460-G461</f>
        <v/>
      </c>
      <c r="I461" s="58">
        <f>IF(AND(BANCO_OK_1,B461&lt;=MESES),F461+G461+VINC_MES_1,0)</f>
        <v/>
      </c>
      <c r="J461" s="52">
        <f>IF(AND(BANCO_OK_2,B461&lt;=MESES),IF(OR(OF_TIPO_2="Fija",C461&lt;=OF_ANIOS_INI_2),OF_TIN_2,MAX(0,EURIBOR+OF_DIF_2)),0)</f>
        <v/>
      </c>
      <c r="K461" s="58">
        <f>IF(AND(BANCO_OK_2,B461&lt;=MESES),IF(OR(B461=1,J461&lt;&gt;J460),PMT(J461/1200,MESES-B461+1,-N460),K460),0)</f>
        <v/>
      </c>
      <c r="L461" s="58">
        <f>N460*J461/1200</f>
        <v/>
      </c>
      <c r="M461" s="58">
        <f>IF(AND(BANCO_OK_2,B461&lt;=MESES),IF(OR(B461=MESES,K461-L461&gt;N460),N460,K461-L461),0)</f>
        <v/>
      </c>
      <c r="N461" s="58">
        <f>N460-M461</f>
        <v/>
      </c>
      <c r="O461" s="58">
        <f>IF(AND(BANCO_OK_2,B461&lt;=MESES),L461+M461+VINC_MES_2,0)</f>
        <v/>
      </c>
      <c r="P461" s="52">
        <f>IF(AND(BANCO_OK_3,B461&lt;=MESES),IF(OR(OF_TIPO_3="Fija",C461&lt;=OF_ANIOS_INI_3),OF_TIN_3,MAX(0,EURIBOR+OF_DIF_3)),0)</f>
        <v/>
      </c>
      <c r="Q461" s="58">
        <f>IF(AND(BANCO_OK_3,B461&lt;=MESES),IF(OR(B461=1,P461&lt;&gt;P460),PMT(P461/1200,MESES-B461+1,-T460),Q460),0)</f>
        <v/>
      </c>
      <c r="R461" s="58">
        <f>T460*P461/1200</f>
        <v/>
      </c>
      <c r="S461" s="58">
        <f>IF(AND(BANCO_OK_3,B461&lt;=MESES),IF(OR(B461=MESES,Q461-R461&gt;T460),T460,Q461-R461),0)</f>
        <v/>
      </c>
      <c r="T461" s="58">
        <f>T460-S461</f>
        <v/>
      </c>
      <c r="U461" s="58">
        <f>IF(AND(BANCO_OK_3,B461&lt;=MESES),R461+S461+VINC_MES_3,0)</f>
        <v/>
      </c>
      <c r="V461" s="52">
        <f>IF(AND(BANCO_OK_4,B461&lt;=MESES),IF(OR(OF_TIPO_4="Fija",C461&lt;=OF_ANIOS_INI_4),OF_TIN_4,MAX(0,EURIBOR+OF_DIF_4)),0)</f>
        <v/>
      </c>
      <c r="W461" s="58">
        <f>IF(AND(BANCO_OK_4,B461&lt;=MESES),IF(OR(B461=1,V461&lt;&gt;V460),PMT(V461/1200,MESES-B461+1,-Z460),W460),0)</f>
        <v/>
      </c>
      <c r="X461" s="58">
        <f>Z460*V461/1200</f>
        <v/>
      </c>
      <c r="Y461" s="58">
        <f>IF(AND(BANCO_OK_4,B461&lt;=MESES),IF(OR(B461=MESES,W461-X461&gt;Z460),Z460,W461-X461),0)</f>
        <v/>
      </c>
      <c r="Z461" s="58">
        <f>Z460-Y461</f>
        <v/>
      </c>
      <c r="AA461" s="58">
        <f>IF(AND(BANCO_OK_4,B461&lt;=MESES),X461+Y461+VINC_MES_4,0)</f>
        <v/>
      </c>
    </row>
    <row r="462">
      <c r="B462" s="56" t="n">
        <v>454</v>
      </c>
      <c r="C462" s="56">
        <f>ROUNDUP(B462/12,0)</f>
        <v/>
      </c>
      <c r="D462" s="52">
        <f>IF(AND(BANCO_OK_1,B462&lt;=MESES),IF(OR(OF_TIPO_1="Fija",C462&lt;=OF_ANIOS_INI_1),OF_TIN_1,MAX(0,EURIBOR+OF_DIF_1)),0)</f>
        <v/>
      </c>
      <c r="E462" s="58">
        <f>IF(AND(BANCO_OK_1,B462&lt;=MESES),IF(OR(B462=1,D462&lt;&gt;D461),PMT(D462/1200,MESES-B462+1,-H461),E461),0)</f>
        <v/>
      </c>
      <c r="F462" s="58">
        <f>H461*D462/1200</f>
        <v/>
      </c>
      <c r="G462" s="58">
        <f>IF(AND(BANCO_OK_1,B462&lt;=MESES),IF(OR(B462=MESES,E462-F462&gt;H461),H461,E462-F462),0)</f>
        <v/>
      </c>
      <c r="H462" s="58">
        <f>H461-G462</f>
        <v/>
      </c>
      <c r="I462" s="58">
        <f>IF(AND(BANCO_OK_1,B462&lt;=MESES),F462+G462+VINC_MES_1,0)</f>
        <v/>
      </c>
      <c r="J462" s="52">
        <f>IF(AND(BANCO_OK_2,B462&lt;=MESES),IF(OR(OF_TIPO_2="Fija",C462&lt;=OF_ANIOS_INI_2),OF_TIN_2,MAX(0,EURIBOR+OF_DIF_2)),0)</f>
        <v/>
      </c>
      <c r="K462" s="58">
        <f>IF(AND(BANCO_OK_2,B462&lt;=MESES),IF(OR(B462=1,J462&lt;&gt;J461),PMT(J462/1200,MESES-B462+1,-N461),K461),0)</f>
        <v/>
      </c>
      <c r="L462" s="58">
        <f>N461*J462/1200</f>
        <v/>
      </c>
      <c r="M462" s="58">
        <f>IF(AND(BANCO_OK_2,B462&lt;=MESES),IF(OR(B462=MESES,K462-L462&gt;N461),N461,K462-L462),0)</f>
        <v/>
      </c>
      <c r="N462" s="58">
        <f>N461-M462</f>
        <v/>
      </c>
      <c r="O462" s="58">
        <f>IF(AND(BANCO_OK_2,B462&lt;=MESES),L462+M462+VINC_MES_2,0)</f>
        <v/>
      </c>
      <c r="P462" s="52">
        <f>IF(AND(BANCO_OK_3,B462&lt;=MESES),IF(OR(OF_TIPO_3="Fija",C462&lt;=OF_ANIOS_INI_3),OF_TIN_3,MAX(0,EURIBOR+OF_DIF_3)),0)</f>
        <v/>
      </c>
      <c r="Q462" s="58">
        <f>IF(AND(BANCO_OK_3,B462&lt;=MESES),IF(OR(B462=1,P462&lt;&gt;P461),PMT(P462/1200,MESES-B462+1,-T461),Q461),0)</f>
        <v/>
      </c>
      <c r="R462" s="58">
        <f>T461*P462/1200</f>
        <v/>
      </c>
      <c r="S462" s="58">
        <f>IF(AND(BANCO_OK_3,B462&lt;=MESES),IF(OR(B462=MESES,Q462-R462&gt;T461),T461,Q462-R462),0)</f>
        <v/>
      </c>
      <c r="T462" s="58">
        <f>T461-S462</f>
        <v/>
      </c>
      <c r="U462" s="58">
        <f>IF(AND(BANCO_OK_3,B462&lt;=MESES),R462+S462+VINC_MES_3,0)</f>
        <v/>
      </c>
      <c r="V462" s="52">
        <f>IF(AND(BANCO_OK_4,B462&lt;=MESES),IF(OR(OF_TIPO_4="Fija",C462&lt;=OF_ANIOS_INI_4),OF_TIN_4,MAX(0,EURIBOR+OF_DIF_4)),0)</f>
        <v/>
      </c>
      <c r="W462" s="58">
        <f>IF(AND(BANCO_OK_4,B462&lt;=MESES),IF(OR(B462=1,V462&lt;&gt;V461),PMT(V462/1200,MESES-B462+1,-Z461),W461),0)</f>
        <v/>
      </c>
      <c r="X462" s="58">
        <f>Z461*V462/1200</f>
        <v/>
      </c>
      <c r="Y462" s="58">
        <f>IF(AND(BANCO_OK_4,B462&lt;=MESES),IF(OR(B462=MESES,W462-X462&gt;Z461),Z461,W462-X462),0)</f>
        <v/>
      </c>
      <c r="Z462" s="58">
        <f>Z461-Y462</f>
        <v/>
      </c>
      <c r="AA462" s="58">
        <f>IF(AND(BANCO_OK_4,B462&lt;=MESES),X462+Y462+VINC_MES_4,0)</f>
        <v/>
      </c>
    </row>
    <row r="463">
      <c r="B463" s="56" t="n">
        <v>455</v>
      </c>
      <c r="C463" s="56">
        <f>ROUNDUP(B463/12,0)</f>
        <v/>
      </c>
      <c r="D463" s="52">
        <f>IF(AND(BANCO_OK_1,B463&lt;=MESES),IF(OR(OF_TIPO_1="Fija",C463&lt;=OF_ANIOS_INI_1),OF_TIN_1,MAX(0,EURIBOR+OF_DIF_1)),0)</f>
        <v/>
      </c>
      <c r="E463" s="58">
        <f>IF(AND(BANCO_OK_1,B463&lt;=MESES),IF(OR(B463=1,D463&lt;&gt;D462),PMT(D463/1200,MESES-B463+1,-H462),E462),0)</f>
        <v/>
      </c>
      <c r="F463" s="58">
        <f>H462*D463/1200</f>
        <v/>
      </c>
      <c r="G463" s="58">
        <f>IF(AND(BANCO_OK_1,B463&lt;=MESES),IF(OR(B463=MESES,E463-F463&gt;H462),H462,E463-F463),0)</f>
        <v/>
      </c>
      <c r="H463" s="58">
        <f>H462-G463</f>
        <v/>
      </c>
      <c r="I463" s="58">
        <f>IF(AND(BANCO_OK_1,B463&lt;=MESES),F463+G463+VINC_MES_1,0)</f>
        <v/>
      </c>
      <c r="J463" s="52">
        <f>IF(AND(BANCO_OK_2,B463&lt;=MESES),IF(OR(OF_TIPO_2="Fija",C463&lt;=OF_ANIOS_INI_2),OF_TIN_2,MAX(0,EURIBOR+OF_DIF_2)),0)</f>
        <v/>
      </c>
      <c r="K463" s="58">
        <f>IF(AND(BANCO_OK_2,B463&lt;=MESES),IF(OR(B463=1,J463&lt;&gt;J462),PMT(J463/1200,MESES-B463+1,-N462),K462),0)</f>
        <v/>
      </c>
      <c r="L463" s="58">
        <f>N462*J463/1200</f>
        <v/>
      </c>
      <c r="M463" s="58">
        <f>IF(AND(BANCO_OK_2,B463&lt;=MESES),IF(OR(B463=MESES,K463-L463&gt;N462),N462,K463-L463),0)</f>
        <v/>
      </c>
      <c r="N463" s="58">
        <f>N462-M463</f>
        <v/>
      </c>
      <c r="O463" s="58">
        <f>IF(AND(BANCO_OK_2,B463&lt;=MESES),L463+M463+VINC_MES_2,0)</f>
        <v/>
      </c>
      <c r="P463" s="52">
        <f>IF(AND(BANCO_OK_3,B463&lt;=MESES),IF(OR(OF_TIPO_3="Fija",C463&lt;=OF_ANIOS_INI_3),OF_TIN_3,MAX(0,EURIBOR+OF_DIF_3)),0)</f>
        <v/>
      </c>
      <c r="Q463" s="58">
        <f>IF(AND(BANCO_OK_3,B463&lt;=MESES),IF(OR(B463=1,P463&lt;&gt;P462),PMT(P463/1200,MESES-B463+1,-T462),Q462),0)</f>
        <v/>
      </c>
      <c r="R463" s="58">
        <f>T462*P463/1200</f>
        <v/>
      </c>
      <c r="S463" s="58">
        <f>IF(AND(BANCO_OK_3,B463&lt;=MESES),IF(OR(B463=MESES,Q463-R463&gt;T462),T462,Q463-R463),0)</f>
        <v/>
      </c>
      <c r="T463" s="58">
        <f>T462-S463</f>
        <v/>
      </c>
      <c r="U463" s="58">
        <f>IF(AND(BANCO_OK_3,B463&lt;=MESES),R463+S463+VINC_MES_3,0)</f>
        <v/>
      </c>
      <c r="V463" s="52">
        <f>IF(AND(BANCO_OK_4,B463&lt;=MESES),IF(OR(OF_TIPO_4="Fija",C463&lt;=OF_ANIOS_INI_4),OF_TIN_4,MAX(0,EURIBOR+OF_DIF_4)),0)</f>
        <v/>
      </c>
      <c r="W463" s="58">
        <f>IF(AND(BANCO_OK_4,B463&lt;=MESES),IF(OR(B463=1,V463&lt;&gt;V462),PMT(V463/1200,MESES-B463+1,-Z462),W462),0)</f>
        <v/>
      </c>
      <c r="X463" s="58">
        <f>Z462*V463/1200</f>
        <v/>
      </c>
      <c r="Y463" s="58">
        <f>IF(AND(BANCO_OK_4,B463&lt;=MESES),IF(OR(B463=MESES,W463-X463&gt;Z462),Z462,W463-X463),0)</f>
        <v/>
      </c>
      <c r="Z463" s="58">
        <f>Z462-Y463</f>
        <v/>
      </c>
      <c r="AA463" s="58">
        <f>IF(AND(BANCO_OK_4,B463&lt;=MESES),X463+Y463+VINC_MES_4,0)</f>
        <v/>
      </c>
    </row>
    <row r="464">
      <c r="B464" s="56" t="n">
        <v>456</v>
      </c>
      <c r="C464" s="56">
        <f>ROUNDUP(B464/12,0)</f>
        <v/>
      </c>
      <c r="D464" s="52">
        <f>IF(AND(BANCO_OK_1,B464&lt;=MESES),IF(OR(OF_TIPO_1="Fija",C464&lt;=OF_ANIOS_INI_1),OF_TIN_1,MAX(0,EURIBOR+OF_DIF_1)),0)</f>
        <v/>
      </c>
      <c r="E464" s="58">
        <f>IF(AND(BANCO_OK_1,B464&lt;=MESES),IF(OR(B464=1,D464&lt;&gt;D463),PMT(D464/1200,MESES-B464+1,-H463),E463),0)</f>
        <v/>
      </c>
      <c r="F464" s="58">
        <f>H463*D464/1200</f>
        <v/>
      </c>
      <c r="G464" s="58">
        <f>IF(AND(BANCO_OK_1,B464&lt;=MESES),IF(OR(B464=MESES,E464-F464&gt;H463),H463,E464-F464),0)</f>
        <v/>
      </c>
      <c r="H464" s="58">
        <f>H463-G464</f>
        <v/>
      </c>
      <c r="I464" s="58">
        <f>IF(AND(BANCO_OK_1,B464&lt;=MESES),F464+G464+VINC_MES_1,0)</f>
        <v/>
      </c>
      <c r="J464" s="52">
        <f>IF(AND(BANCO_OK_2,B464&lt;=MESES),IF(OR(OF_TIPO_2="Fija",C464&lt;=OF_ANIOS_INI_2),OF_TIN_2,MAX(0,EURIBOR+OF_DIF_2)),0)</f>
        <v/>
      </c>
      <c r="K464" s="58">
        <f>IF(AND(BANCO_OK_2,B464&lt;=MESES),IF(OR(B464=1,J464&lt;&gt;J463),PMT(J464/1200,MESES-B464+1,-N463),K463),0)</f>
        <v/>
      </c>
      <c r="L464" s="58">
        <f>N463*J464/1200</f>
        <v/>
      </c>
      <c r="M464" s="58">
        <f>IF(AND(BANCO_OK_2,B464&lt;=MESES),IF(OR(B464=MESES,K464-L464&gt;N463),N463,K464-L464),0)</f>
        <v/>
      </c>
      <c r="N464" s="58">
        <f>N463-M464</f>
        <v/>
      </c>
      <c r="O464" s="58">
        <f>IF(AND(BANCO_OK_2,B464&lt;=MESES),L464+M464+VINC_MES_2,0)</f>
        <v/>
      </c>
      <c r="P464" s="52">
        <f>IF(AND(BANCO_OK_3,B464&lt;=MESES),IF(OR(OF_TIPO_3="Fija",C464&lt;=OF_ANIOS_INI_3),OF_TIN_3,MAX(0,EURIBOR+OF_DIF_3)),0)</f>
        <v/>
      </c>
      <c r="Q464" s="58">
        <f>IF(AND(BANCO_OK_3,B464&lt;=MESES),IF(OR(B464=1,P464&lt;&gt;P463),PMT(P464/1200,MESES-B464+1,-T463),Q463),0)</f>
        <v/>
      </c>
      <c r="R464" s="58">
        <f>T463*P464/1200</f>
        <v/>
      </c>
      <c r="S464" s="58">
        <f>IF(AND(BANCO_OK_3,B464&lt;=MESES),IF(OR(B464=MESES,Q464-R464&gt;T463),T463,Q464-R464),0)</f>
        <v/>
      </c>
      <c r="T464" s="58">
        <f>T463-S464</f>
        <v/>
      </c>
      <c r="U464" s="58">
        <f>IF(AND(BANCO_OK_3,B464&lt;=MESES),R464+S464+VINC_MES_3,0)</f>
        <v/>
      </c>
      <c r="V464" s="52">
        <f>IF(AND(BANCO_OK_4,B464&lt;=MESES),IF(OR(OF_TIPO_4="Fija",C464&lt;=OF_ANIOS_INI_4),OF_TIN_4,MAX(0,EURIBOR+OF_DIF_4)),0)</f>
        <v/>
      </c>
      <c r="W464" s="58">
        <f>IF(AND(BANCO_OK_4,B464&lt;=MESES),IF(OR(B464=1,V464&lt;&gt;V463),PMT(V464/1200,MESES-B464+1,-Z463),W463),0)</f>
        <v/>
      </c>
      <c r="X464" s="58">
        <f>Z463*V464/1200</f>
        <v/>
      </c>
      <c r="Y464" s="58">
        <f>IF(AND(BANCO_OK_4,B464&lt;=MESES),IF(OR(B464=MESES,W464-X464&gt;Z463),Z463,W464-X464),0)</f>
        <v/>
      </c>
      <c r="Z464" s="58">
        <f>Z463-Y464</f>
        <v/>
      </c>
      <c r="AA464" s="58">
        <f>IF(AND(BANCO_OK_4,B464&lt;=MESES),X464+Y464+VINC_MES_4,0)</f>
        <v/>
      </c>
    </row>
    <row r="465">
      <c r="B465" s="56" t="n">
        <v>457</v>
      </c>
      <c r="C465" s="56">
        <f>ROUNDUP(B465/12,0)</f>
        <v/>
      </c>
      <c r="D465" s="52">
        <f>IF(AND(BANCO_OK_1,B465&lt;=MESES),IF(OR(OF_TIPO_1="Fija",C465&lt;=OF_ANIOS_INI_1),OF_TIN_1,MAX(0,EURIBOR+OF_DIF_1)),0)</f>
        <v/>
      </c>
      <c r="E465" s="58">
        <f>IF(AND(BANCO_OK_1,B465&lt;=MESES),IF(OR(B465=1,D465&lt;&gt;D464),PMT(D465/1200,MESES-B465+1,-H464),E464),0)</f>
        <v/>
      </c>
      <c r="F465" s="58">
        <f>H464*D465/1200</f>
        <v/>
      </c>
      <c r="G465" s="58">
        <f>IF(AND(BANCO_OK_1,B465&lt;=MESES),IF(OR(B465=MESES,E465-F465&gt;H464),H464,E465-F465),0)</f>
        <v/>
      </c>
      <c r="H465" s="58">
        <f>H464-G465</f>
        <v/>
      </c>
      <c r="I465" s="58">
        <f>IF(AND(BANCO_OK_1,B465&lt;=MESES),F465+G465+VINC_MES_1,0)</f>
        <v/>
      </c>
      <c r="J465" s="52">
        <f>IF(AND(BANCO_OK_2,B465&lt;=MESES),IF(OR(OF_TIPO_2="Fija",C465&lt;=OF_ANIOS_INI_2),OF_TIN_2,MAX(0,EURIBOR+OF_DIF_2)),0)</f>
        <v/>
      </c>
      <c r="K465" s="58">
        <f>IF(AND(BANCO_OK_2,B465&lt;=MESES),IF(OR(B465=1,J465&lt;&gt;J464),PMT(J465/1200,MESES-B465+1,-N464),K464),0)</f>
        <v/>
      </c>
      <c r="L465" s="58">
        <f>N464*J465/1200</f>
        <v/>
      </c>
      <c r="M465" s="58">
        <f>IF(AND(BANCO_OK_2,B465&lt;=MESES),IF(OR(B465=MESES,K465-L465&gt;N464),N464,K465-L465),0)</f>
        <v/>
      </c>
      <c r="N465" s="58">
        <f>N464-M465</f>
        <v/>
      </c>
      <c r="O465" s="58">
        <f>IF(AND(BANCO_OK_2,B465&lt;=MESES),L465+M465+VINC_MES_2,0)</f>
        <v/>
      </c>
      <c r="P465" s="52">
        <f>IF(AND(BANCO_OK_3,B465&lt;=MESES),IF(OR(OF_TIPO_3="Fija",C465&lt;=OF_ANIOS_INI_3),OF_TIN_3,MAX(0,EURIBOR+OF_DIF_3)),0)</f>
        <v/>
      </c>
      <c r="Q465" s="58">
        <f>IF(AND(BANCO_OK_3,B465&lt;=MESES),IF(OR(B465=1,P465&lt;&gt;P464),PMT(P465/1200,MESES-B465+1,-T464),Q464),0)</f>
        <v/>
      </c>
      <c r="R465" s="58">
        <f>T464*P465/1200</f>
        <v/>
      </c>
      <c r="S465" s="58">
        <f>IF(AND(BANCO_OK_3,B465&lt;=MESES),IF(OR(B465=MESES,Q465-R465&gt;T464),T464,Q465-R465),0)</f>
        <v/>
      </c>
      <c r="T465" s="58">
        <f>T464-S465</f>
        <v/>
      </c>
      <c r="U465" s="58">
        <f>IF(AND(BANCO_OK_3,B465&lt;=MESES),R465+S465+VINC_MES_3,0)</f>
        <v/>
      </c>
      <c r="V465" s="52">
        <f>IF(AND(BANCO_OK_4,B465&lt;=MESES),IF(OR(OF_TIPO_4="Fija",C465&lt;=OF_ANIOS_INI_4),OF_TIN_4,MAX(0,EURIBOR+OF_DIF_4)),0)</f>
        <v/>
      </c>
      <c r="W465" s="58">
        <f>IF(AND(BANCO_OK_4,B465&lt;=MESES),IF(OR(B465=1,V465&lt;&gt;V464),PMT(V465/1200,MESES-B465+1,-Z464),W464),0)</f>
        <v/>
      </c>
      <c r="X465" s="58">
        <f>Z464*V465/1200</f>
        <v/>
      </c>
      <c r="Y465" s="58">
        <f>IF(AND(BANCO_OK_4,B465&lt;=MESES),IF(OR(B465=MESES,W465-X465&gt;Z464),Z464,W465-X465),0)</f>
        <v/>
      </c>
      <c r="Z465" s="58">
        <f>Z464-Y465</f>
        <v/>
      </c>
      <c r="AA465" s="58">
        <f>IF(AND(BANCO_OK_4,B465&lt;=MESES),X465+Y465+VINC_MES_4,0)</f>
        <v/>
      </c>
    </row>
    <row r="466">
      <c r="B466" s="56" t="n">
        <v>458</v>
      </c>
      <c r="C466" s="56">
        <f>ROUNDUP(B466/12,0)</f>
        <v/>
      </c>
      <c r="D466" s="52">
        <f>IF(AND(BANCO_OK_1,B466&lt;=MESES),IF(OR(OF_TIPO_1="Fija",C466&lt;=OF_ANIOS_INI_1),OF_TIN_1,MAX(0,EURIBOR+OF_DIF_1)),0)</f>
        <v/>
      </c>
      <c r="E466" s="58">
        <f>IF(AND(BANCO_OK_1,B466&lt;=MESES),IF(OR(B466=1,D466&lt;&gt;D465),PMT(D466/1200,MESES-B466+1,-H465),E465),0)</f>
        <v/>
      </c>
      <c r="F466" s="58">
        <f>H465*D466/1200</f>
        <v/>
      </c>
      <c r="G466" s="58">
        <f>IF(AND(BANCO_OK_1,B466&lt;=MESES),IF(OR(B466=MESES,E466-F466&gt;H465),H465,E466-F466),0)</f>
        <v/>
      </c>
      <c r="H466" s="58">
        <f>H465-G466</f>
        <v/>
      </c>
      <c r="I466" s="58">
        <f>IF(AND(BANCO_OK_1,B466&lt;=MESES),F466+G466+VINC_MES_1,0)</f>
        <v/>
      </c>
      <c r="J466" s="52">
        <f>IF(AND(BANCO_OK_2,B466&lt;=MESES),IF(OR(OF_TIPO_2="Fija",C466&lt;=OF_ANIOS_INI_2),OF_TIN_2,MAX(0,EURIBOR+OF_DIF_2)),0)</f>
        <v/>
      </c>
      <c r="K466" s="58">
        <f>IF(AND(BANCO_OK_2,B466&lt;=MESES),IF(OR(B466=1,J466&lt;&gt;J465),PMT(J466/1200,MESES-B466+1,-N465),K465),0)</f>
        <v/>
      </c>
      <c r="L466" s="58">
        <f>N465*J466/1200</f>
        <v/>
      </c>
      <c r="M466" s="58">
        <f>IF(AND(BANCO_OK_2,B466&lt;=MESES),IF(OR(B466=MESES,K466-L466&gt;N465),N465,K466-L466),0)</f>
        <v/>
      </c>
      <c r="N466" s="58">
        <f>N465-M466</f>
        <v/>
      </c>
      <c r="O466" s="58">
        <f>IF(AND(BANCO_OK_2,B466&lt;=MESES),L466+M466+VINC_MES_2,0)</f>
        <v/>
      </c>
      <c r="P466" s="52">
        <f>IF(AND(BANCO_OK_3,B466&lt;=MESES),IF(OR(OF_TIPO_3="Fija",C466&lt;=OF_ANIOS_INI_3),OF_TIN_3,MAX(0,EURIBOR+OF_DIF_3)),0)</f>
        <v/>
      </c>
      <c r="Q466" s="58">
        <f>IF(AND(BANCO_OK_3,B466&lt;=MESES),IF(OR(B466=1,P466&lt;&gt;P465),PMT(P466/1200,MESES-B466+1,-T465),Q465),0)</f>
        <v/>
      </c>
      <c r="R466" s="58">
        <f>T465*P466/1200</f>
        <v/>
      </c>
      <c r="S466" s="58">
        <f>IF(AND(BANCO_OK_3,B466&lt;=MESES),IF(OR(B466=MESES,Q466-R466&gt;T465),T465,Q466-R466),0)</f>
        <v/>
      </c>
      <c r="T466" s="58">
        <f>T465-S466</f>
        <v/>
      </c>
      <c r="U466" s="58">
        <f>IF(AND(BANCO_OK_3,B466&lt;=MESES),R466+S466+VINC_MES_3,0)</f>
        <v/>
      </c>
      <c r="V466" s="52">
        <f>IF(AND(BANCO_OK_4,B466&lt;=MESES),IF(OR(OF_TIPO_4="Fija",C466&lt;=OF_ANIOS_INI_4),OF_TIN_4,MAX(0,EURIBOR+OF_DIF_4)),0)</f>
        <v/>
      </c>
      <c r="W466" s="58">
        <f>IF(AND(BANCO_OK_4,B466&lt;=MESES),IF(OR(B466=1,V466&lt;&gt;V465),PMT(V466/1200,MESES-B466+1,-Z465),W465),0)</f>
        <v/>
      </c>
      <c r="X466" s="58">
        <f>Z465*V466/1200</f>
        <v/>
      </c>
      <c r="Y466" s="58">
        <f>IF(AND(BANCO_OK_4,B466&lt;=MESES),IF(OR(B466=MESES,W466-X466&gt;Z465),Z465,W466-X466),0)</f>
        <v/>
      </c>
      <c r="Z466" s="58">
        <f>Z465-Y466</f>
        <v/>
      </c>
      <c r="AA466" s="58">
        <f>IF(AND(BANCO_OK_4,B466&lt;=MESES),X466+Y466+VINC_MES_4,0)</f>
        <v/>
      </c>
    </row>
    <row r="467">
      <c r="B467" s="56" t="n">
        <v>459</v>
      </c>
      <c r="C467" s="56">
        <f>ROUNDUP(B467/12,0)</f>
        <v/>
      </c>
      <c r="D467" s="52">
        <f>IF(AND(BANCO_OK_1,B467&lt;=MESES),IF(OR(OF_TIPO_1="Fija",C467&lt;=OF_ANIOS_INI_1),OF_TIN_1,MAX(0,EURIBOR+OF_DIF_1)),0)</f>
        <v/>
      </c>
      <c r="E467" s="58">
        <f>IF(AND(BANCO_OK_1,B467&lt;=MESES),IF(OR(B467=1,D467&lt;&gt;D466),PMT(D467/1200,MESES-B467+1,-H466),E466),0)</f>
        <v/>
      </c>
      <c r="F467" s="58">
        <f>H466*D467/1200</f>
        <v/>
      </c>
      <c r="G467" s="58">
        <f>IF(AND(BANCO_OK_1,B467&lt;=MESES),IF(OR(B467=MESES,E467-F467&gt;H466),H466,E467-F467),0)</f>
        <v/>
      </c>
      <c r="H467" s="58">
        <f>H466-G467</f>
        <v/>
      </c>
      <c r="I467" s="58">
        <f>IF(AND(BANCO_OK_1,B467&lt;=MESES),F467+G467+VINC_MES_1,0)</f>
        <v/>
      </c>
      <c r="J467" s="52">
        <f>IF(AND(BANCO_OK_2,B467&lt;=MESES),IF(OR(OF_TIPO_2="Fija",C467&lt;=OF_ANIOS_INI_2),OF_TIN_2,MAX(0,EURIBOR+OF_DIF_2)),0)</f>
        <v/>
      </c>
      <c r="K467" s="58">
        <f>IF(AND(BANCO_OK_2,B467&lt;=MESES),IF(OR(B467=1,J467&lt;&gt;J466),PMT(J467/1200,MESES-B467+1,-N466),K466),0)</f>
        <v/>
      </c>
      <c r="L467" s="58">
        <f>N466*J467/1200</f>
        <v/>
      </c>
      <c r="M467" s="58">
        <f>IF(AND(BANCO_OK_2,B467&lt;=MESES),IF(OR(B467=MESES,K467-L467&gt;N466),N466,K467-L467),0)</f>
        <v/>
      </c>
      <c r="N467" s="58">
        <f>N466-M467</f>
        <v/>
      </c>
      <c r="O467" s="58">
        <f>IF(AND(BANCO_OK_2,B467&lt;=MESES),L467+M467+VINC_MES_2,0)</f>
        <v/>
      </c>
      <c r="P467" s="52">
        <f>IF(AND(BANCO_OK_3,B467&lt;=MESES),IF(OR(OF_TIPO_3="Fija",C467&lt;=OF_ANIOS_INI_3),OF_TIN_3,MAX(0,EURIBOR+OF_DIF_3)),0)</f>
        <v/>
      </c>
      <c r="Q467" s="58">
        <f>IF(AND(BANCO_OK_3,B467&lt;=MESES),IF(OR(B467=1,P467&lt;&gt;P466),PMT(P467/1200,MESES-B467+1,-T466),Q466),0)</f>
        <v/>
      </c>
      <c r="R467" s="58">
        <f>T466*P467/1200</f>
        <v/>
      </c>
      <c r="S467" s="58">
        <f>IF(AND(BANCO_OK_3,B467&lt;=MESES),IF(OR(B467=MESES,Q467-R467&gt;T466),T466,Q467-R467),0)</f>
        <v/>
      </c>
      <c r="T467" s="58">
        <f>T466-S467</f>
        <v/>
      </c>
      <c r="U467" s="58">
        <f>IF(AND(BANCO_OK_3,B467&lt;=MESES),R467+S467+VINC_MES_3,0)</f>
        <v/>
      </c>
      <c r="V467" s="52">
        <f>IF(AND(BANCO_OK_4,B467&lt;=MESES),IF(OR(OF_TIPO_4="Fija",C467&lt;=OF_ANIOS_INI_4),OF_TIN_4,MAX(0,EURIBOR+OF_DIF_4)),0)</f>
        <v/>
      </c>
      <c r="W467" s="58">
        <f>IF(AND(BANCO_OK_4,B467&lt;=MESES),IF(OR(B467=1,V467&lt;&gt;V466),PMT(V467/1200,MESES-B467+1,-Z466),W466),0)</f>
        <v/>
      </c>
      <c r="X467" s="58">
        <f>Z466*V467/1200</f>
        <v/>
      </c>
      <c r="Y467" s="58">
        <f>IF(AND(BANCO_OK_4,B467&lt;=MESES),IF(OR(B467=MESES,W467-X467&gt;Z466),Z466,W467-X467),0)</f>
        <v/>
      </c>
      <c r="Z467" s="58">
        <f>Z466-Y467</f>
        <v/>
      </c>
      <c r="AA467" s="58">
        <f>IF(AND(BANCO_OK_4,B467&lt;=MESES),X467+Y467+VINC_MES_4,0)</f>
        <v/>
      </c>
    </row>
    <row r="468">
      <c r="B468" s="56" t="n">
        <v>460</v>
      </c>
      <c r="C468" s="56">
        <f>ROUNDUP(B468/12,0)</f>
        <v/>
      </c>
      <c r="D468" s="52">
        <f>IF(AND(BANCO_OK_1,B468&lt;=MESES),IF(OR(OF_TIPO_1="Fija",C468&lt;=OF_ANIOS_INI_1),OF_TIN_1,MAX(0,EURIBOR+OF_DIF_1)),0)</f>
        <v/>
      </c>
      <c r="E468" s="58">
        <f>IF(AND(BANCO_OK_1,B468&lt;=MESES),IF(OR(B468=1,D468&lt;&gt;D467),PMT(D468/1200,MESES-B468+1,-H467),E467),0)</f>
        <v/>
      </c>
      <c r="F468" s="58">
        <f>H467*D468/1200</f>
        <v/>
      </c>
      <c r="G468" s="58">
        <f>IF(AND(BANCO_OK_1,B468&lt;=MESES),IF(OR(B468=MESES,E468-F468&gt;H467),H467,E468-F468),0)</f>
        <v/>
      </c>
      <c r="H468" s="58">
        <f>H467-G468</f>
        <v/>
      </c>
      <c r="I468" s="58">
        <f>IF(AND(BANCO_OK_1,B468&lt;=MESES),F468+G468+VINC_MES_1,0)</f>
        <v/>
      </c>
      <c r="J468" s="52">
        <f>IF(AND(BANCO_OK_2,B468&lt;=MESES),IF(OR(OF_TIPO_2="Fija",C468&lt;=OF_ANIOS_INI_2),OF_TIN_2,MAX(0,EURIBOR+OF_DIF_2)),0)</f>
        <v/>
      </c>
      <c r="K468" s="58">
        <f>IF(AND(BANCO_OK_2,B468&lt;=MESES),IF(OR(B468=1,J468&lt;&gt;J467),PMT(J468/1200,MESES-B468+1,-N467),K467),0)</f>
        <v/>
      </c>
      <c r="L468" s="58">
        <f>N467*J468/1200</f>
        <v/>
      </c>
      <c r="M468" s="58">
        <f>IF(AND(BANCO_OK_2,B468&lt;=MESES),IF(OR(B468=MESES,K468-L468&gt;N467),N467,K468-L468),0)</f>
        <v/>
      </c>
      <c r="N468" s="58">
        <f>N467-M468</f>
        <v/>
      </c>
      <c r="O468" s="58">
        <f>IF(AND(BANCO_OK_2,B468&lt;=MESES),L468+M468+VINC_MES_2,0)</f>
        <v/>
      </c>
      <c r="P468" s="52">
        <f>IF(AND(BANCO_OK_3,B468&lt;=MESES),IF(OR(OF_TIPO_3="Fija",C468&lt;=OF_ANIOS_INI_3),OF_TIN_3,MAX(0,EURIBOR+OF_DIF_3)),0)</f>
        <v/>
      </c>
      <c r="Q468" s="58">
        <f>IF(AND(BANCO_OK_3,B468&lt;=MESES),IF(OR(B468=1,P468&lt;&gt;P467),PMT(P468/1200,MESES-B468+1,-T467),Q467),0)</f>
        <v/>
      </c>
      <c r="R468" s="58">
        <f>T467*P468/1200</f>
        <v/>
      </c>
      <c r="S468" s="58">
        <f>IF(AND(BANCO_OK_3,B468&lt;=MESES),IF(OR(B468=MESES,Q468-R468&gt;T467),T467,Q468-R468),0)</f>
        <v/>
      </c>
      <c r="T468" s="58">
        <f>T467-S468</f>
        <v/>
      </c>
      <c r="U468" s="58">
        <f>IF(AND(BANCO_OK_3,B468&lt;=MESES),R468+S468+VINC_MES_3,0)</f>
        <v/>
      </c>
      <c r="V468" s="52">
        <f>IF(AND(BANCO_OK_4,B468&lt;=MESES),IF(OR(OF_TIPO_4="Fija",C468&lt;=OF_ANIOS_INI_4),OF_TIN_4,MAX(0,EURIBOR+OF_DIF_4)),0)</f>
        <v/>
      </c>
      <c r="W468" s="58">
        <f>IF(AND(BANCO_OK_4,B468&lt;=MESES),IF(OR(B468=1,V468&lt;&gt;V467),PMT(V468/1200,MESES-B468+1,-Z467),W467),0)</f>
        <v/>
      </c>
      <c r="X468" s="58">
        <f>Z467*V468/1200</f>
        <v/>
      </c>
      <c r="Y468" s="58">
        <f>IF(AND(BANCO_OK_4,B468&lt;=MESES),IF(OR(B468=MESES,W468-X468&gt;Z467),Z467,W468-X468),0)</f>
        <v/>
      </c>
      <c r="Z468" s="58">
        <f>Z467-Y468</f>
        <v/>
      </c>
      <c r="AA468" s="58">
        <f>IF(AND(BANCO_OK_4,B468&lt;=MESES),X468+Y468+VINC_MES_4,0)</f>
        <v/>
      </c>
    </row>
    <row r="469">
      <c r="B469" s="56" t="n">
        <v>461</v>
      </c>
      <c r="C469" s="56">
        <f>ROUNDUP(B469/12,0)</f>
        <v/>
      </c>
      <c r="D469" s="52">
        <f>IF(AND(BANCO_OK_1,B469&lt;=MESES),IF(OR(OF_TIPO_1="Fija",C469&lt;=OF_ANIOS_INI_1),OF_TIN_1,MAX(0,EURIBOR+OF_DIF_1)),0)</f>
        <v/>
      </c>
      <c r="E469" s="58">
        <f>IF(AND(BANCO_OK_1,B469&lt;=MESES),IF(OR(B469=1,D469&lt;&gt;D468),PMT(D469/1200,MESES-B469+1,-H468),E468),0)</f>
        <v/>
      </c>
      <c r="F469" s="58">
        <f>H468*D469/1200</f>
        <v/>
      </c>
      <c r="G469" s="58">
        <f>IF(AND(BANCO_OK_1,B469&lt;=MESES),IF(OR(B469=MESES,E469-F469&gt;H468),H468,E469-F469),0)</f>
        <v/>
      </c>
      <c r="H469" s="58">
        <f>H468-G469</f>
        <v/>
      </c>
      <c r="I469" s="58">
        <f>IF(AND(BANCO_OK_1,B469&lt;=MESES),F469+G469+VINC_MES_1,0)</f>
        <v/>
      </c>
      <c r="J469" s="52">
        <f>IF(AND(BANCO_OK_2,B469&lt;=MESES),IF(OR(OF_TIPO_2="Fija",C469&lt;=OF_ANIOS_INI_2),OF_TIN_2,MAX(0,EURIBOR+OF_DIF_2)),0)</f>
        <v/>
      </c>
      <c r="K469" s="58">
        <f>IF(AND(BANCO_OK_2,B469&lt;=MESES),IF(OR(B469=1,J469&lt;&gt;J468),PMT(J469/1200,MESES-B469+1,-N468),K468),0)</f>
        <v/>
      </c>
      <c r="L469" s="58">
        <f>N468*J469/1200</f>
        <v/>
      </c>
      <c r="M469" s="58">
        <f>IF(AND(BANCO_OK_2,B469&lt;=MESES),IF(OR(B469=MESES,K469-L469&gt;N468),N468,K469-L469),0)</f>
        <v/>
      </c>
      <c r="N469" s="58">
        <f>N468-M469</f>
        <v/>
      </c>
      <c r="O469" s="58">
        <f>IF(AND(BANCO_OK_2,B469&lt;=MESES),L469+M469+VINC_MES_2,0)</f>
        <v/>
      </c>
      <c r="P469" s="52">
        <f>IF(AND(BANCO_OK_3,B469&lt;=MESES),IF(OR(OF_TIPO_3="Fija",C469&lt;=OF_ANIOS_INI_3),OF_TIN_3,MAX(0,EURIBOR+OF_DIF_3)),0)</f>
        <v/>
      </c>
      <c r="Q469" s="58">
        <f>IF(AND(BANCO_OK_3,B469&lt;=MESES),IF(OR(B469=1,P469&lt;&gt;P468),PMT(P469/1200,MESES-B469+1,-T468),Q468),0)</f>
        <v/>
      </c>
      <c r="R469" s="58">
        <f>T468*P469/1200</f>
        <v/>
      </c>
      <c r="S469" s="58">
        <f>IF(AND(BANCO_OK_3,B469&lt;=MESES),IF(OR(B469=MESES,Q469-R469&gt;T468),T468,Q469-R469),0)</f>
        <v/>
      </c>
      <c r="T469" s="58">
        <f>T468-S469</f>
        <v/>
      </c>
      <c r="U469" s="58">
        <f>IF(AND(BANCO_OK_3,B469&lt;=MESES),R469+S469+VINC_MES_3,0)</f>
        <v/>
      </c>
      <c r="V469" s="52">
        <f>IF(AND(BANCO_OK_4,B469&lt;=MESES),IF(OR(OF_TIPO_4="Fija",C469&lt;=OF_ANIOS_INI_4),OF_TIN_4,MAX(0,EURIBOR+OF_DIF_4)),0)</f>
        <v/>
      </c>
      <c r="W469" s="58">
        <f>IF(AND(BANCO_OK_4,B469&lt;=MESES),IF(OR(B469=1,V469&lt;&gt;V468),PMT(V469/1200,MESES-B469+1,-Z468),W468),0)</f>
        <v/>
      </c>
      <c r="X469" s="58">
        <f>Z468*V469/1200</f>
        <v/>
      </c>
      <c r="Y469" s="58">
        <f>IF(AND(BANCO_OK_4,B469&lt;=MESES),IF(OR(B469=MESES,W469-X469&gt;Z468),Z468,W469-X469),0)</f>
        <v/>
      </c>
      <c r="Z469" s="58">
        <f>Z468-Y469</f>
        <v/>
      </c>
      <c r="AA469" s="58">
        <f>IF(AND(BANCO_OK_4,B469&lt;=MESES),X469+Y469+VINC_MES_4,0)</f>
        <v/>
      </c>
    </row>
    <row r="470">
      <c r="B470" s="56" t="n">
        <v>462</v>
      </c>
      <c r="C470" s="56">
        <f>ROUNDUP(B470/12,0)</f>
        <v/>
      </c>
      <c r="D470" s="52">
        <f>IF(AND(BANCO_OK_1,B470&lt;=MESES),IF(OR(OF_TIPO_1="Fija",C470&lt;=OF_ANIOS_INI_1),OF_TIN_1,MAX(0,EURIBOR+OF_DIF_1)),0)</f>
        <v/>
      </c>
      <c r="E470" s="58">
        <f>IF(AND(BANCO_OK_1,B470&lt;=MESES),IF(OR(B470=1,D470&lt;&gt;D469),PMT(D470/1200,MESES-B470+1,-H469),E469),0)</f>
        <v/>
      </c>
      <c r="F470" s="58">
        <f>H469*D470/1200</f>
        <v/>
      </c>
      <c r="G470" s="58">
        <f>IF(AND(BANCO_OK_1,B470&lt;=MESES),IF(OR(B470=MESES,E470-F470&gt;H469),H469,E470-F470),0)</f>
        <v/>
      </c>
      <c r="H470" s="58">
        <f>H469-G470</f>
        <v/>
      </c>
      <c r="I470" s="58">
        <f>IF(AND(BANCO_OK_1,B470&lt;=MESES),F470+G470+VINC_MES_1,0)</f>
        <v/>
      </c>
      <c r="J470" s="52">
        <f>IF(AND(BANCO_OK_2,B470&lt;=MESES),IF(OR(OF_TIPO_2="Fija",C470&lt;=OF_ANIOS_INI_2),OF_TIN_2,MAX(0,EURIBOR+OF_DIF_2)),0)</f>
        <v/>
      </c>
      <c r="K470" s="58">
        <f>IF(AND(BANCO_OK_2,B470&lt;=MESES),IF(OR(B470=1,J470&lt;&gt;J469),PMT(J470/1200,MESES-B470+1,-N469),K469),0)</f>
        <v/>
      </c>
      <c r="L470" s="58">
        <f>N469*J470/1200</f>
        <v/>
      </c>
      <c r="M470" s="58">
        <f>IF(AND(BANCO_OK_2,B470&lt;=MESES),IF(OR(B470=MESES,K470-L470&gt;N469),N469,K470-L470),0)</f>
        <v/>
      </c>
      <c r="N470" s="58">
        <f>N469-M470</f>
        <v/>
      </c>
      <c r="O470" s="58">
        <f>IF(AND(BANCO_OK_2,B470&lt;=MESES),L470+M470+VINC_MES_2,0)</f>
        <v/>
      </c>
      <c r="P470" s="52">
        <f>IF(AND(BANCO_OK_3,B470&lt;=MESES),IF(OR(OF_TIPO_3="Fija",C470&lt;=OF_ANIOS_INI_3),OF_TIN_3,MAX(0,EURIBOR+OF_DIF_3)),0)</f>
        <v/>
      </c>
      <c r="Q470" s="58">
        <f>IF(AND(BANCO_OK_3,B470&lt;=MESES),IF(OR(B470=1,P470&lt;&gt;P469),PMT(P470/1200,MESES-B470+1,-T469),Q469),0)</f>
        <v/>
      </c>
      <c r="R470" s="58">
        <f>T469*P470/1200</f>
        <v/>
      </c>
      <c r="S470" s="58">
        <f>IF(AND(BANCO_OK_3,B470&lt;=MESES),IF(OR(B470=MESES,Q470-R470&gt;T469),T469,Q470-R470),0)</f>
        <v/>
      </c>
      <c r="T470" s="58">
        <f>T469-S470</f>
        <v/>
      </c>
      <c r="U470" s="58">
        <f>IF(AND(BANCO_OK_3,B470&lt;=MESES),R470+S470+VINC_MES_3,0)</f>
        <v/>
      </c>
      <c r="V470" s="52">
        <f>IF(AND(BANCO_OK_4,B470&lt;=MESES),IF(OR(OF_TIPO_4="Fija",C470&lt;=OF_ANIOS_INI_4),OF_TIN_4,MAX(0,EURIBOR+OF_DIF_4)),0)</f>
        <v/>
      </c>
      <c r="W470" s="58">
        <f>IF(AND(BANCO_OK_4,B470&lt;=MESES),IF(OR(B470=1,V470&lt;&gt;V469),PMT(V470/1200,MESES-B470+1,-Z469),W469),0)</f>
        <v/>
      </c>
      <c r="X470" s="58">
        <f>Z469*V470/1200</f>
        <v/>
      </c>
      <c r="Y470" s="58">
        <f>IF(AND(BANCO_OK_4,B470&lt;=MESES),IF(OR(B470=MESES,W470-X470&gt;Z469),Z469,W470-X470),0)</f>
        <v/>
      </c>
      <c r="Z470" s="58">
        <f>Z469-Y470</f>
        <v/>
      </c>
      <c r="AA470" s="58">
        <f>IF(AND(BANCO_OK_4,B470&lt;=MESES),X470+Y470+VINC_MES_4,0)</f>
        <v/>
      </c>
    </row>
    <row r="471">
      <c r="B471" s="56" t="n">
        <v>463</v>
      </c>
      <c r="C471" s="56">
        <f>ROUNDUP(B471/12,0)</f>
        <v/>
      </c>
      <c r="D471" s="52">
        <f>IF(AND(BANCO_OK_1,B471&lt;=MESES),IF(OR(OF_TIPO_1="Fija",C471&lt;=OF_ANIOS_INI_1),OF_TIN_1,MAX(0,EURIBOR+OF_DIF_1)),0)</f>
        <v/>
      </c>
      <c r="E471" s="58">
        <f>IF(AND(BANCO_OK_1,B471&lt;=MESES),IF(OR(B471=1,D471&lt;&gt;D470),PMT(D471/1200,MESES-B471+1,-H470),E470),0)</f>
        <v/>
      </c>
      <c r="F471" s="58">
        <f>H470*D471/1200</f>
        <v/>
      </c>
      <c r="G471" s="58">
        <f>IF(AND(BANCO_OK_1,B471&lt;=MESES),IF(OR(B471=MESES,E471-F471&gt;H470),H470,E471-F471),0)</f>
        <v/>
      </c>
      <c r="H471" s="58">
        <f>H470-G471</f>
        <v/>
      </c>
      <c r="I471" s="58">
        <f>IF(AND(BANCO_OK_1,B471&lt;=MESES),F471+G471+VINC_MES_1,0)</f>
        <v/>
      </c>
      <c r="J471" s="52">
        <f>IF(AND(BANCO_OK_2,B471&lt;=MESES),IF(OR(OF_TIPO_2="Fija",C471&lt;=OF_ANIOS_INI_2),OF_TIN_2,MAX(0,EURIBOR+OF_DIF_2)),0)</f>
        <v/>
      </c>
      <c r="K471" s="58">
        <f>IF(AND(BANCO_OK_2,B471&lt;=MESES),IF(OR(B471=1,J471&lt;&gt;J470),PMT(J471/1200,MESES-B471+1,-N470),K470),0)</f>
        <v/>
      </c>
      <c r="L471" s="58">
        <f>N470*J471/1200</f>
        <v/>
      </c>
      <c r="M471" s="58">
        <f>IF(AND(BANCO_OK_2,B471&lt;=MESES),IF(OR(B471=MESES,K471-L471&gt;N470),N470,K471-L471),0)</f>
        <v/>
      </c>
      <c r="N471" s="58">
        <f>N470-M471</f>
        <v/>
      </c>
      <c r="O471" s="58">
        <f>IF(AND(BANCO_OK_2,B471&lt;=MESES),L471+M471+VINC_MES_2,0)</f>
        <v/>
      </c>
      <c r="P471" s="52">
        <f>IF(AND(BANCO_OK_3,B471&lt;=MESES),IF(OR(OF_TIPO_3="Fija",C471&lt;=OF_ANIOS_INI_3),OF_TIN_3,MAX(0,EURIBOR+OF_DIF_3)),0)</f>
        <v/>
      </c>
      <c r="Q471" s="58">
        <f>IF(AND(BANCO_OK_3,B471&lt;=MESES),IF(OR(B471=1,P471&lt;&gt;P470),PMT(P471/1200,MESES-B471+1,-T470),Q470),0)</f>
        <v/>
      </c>
      <c r="R471" s="58">
        <f>T470*P471/1200</f>
        <v/>
      </c>
      <c r="S471" s="58">
        <f>IF(AND(BANCO_OK_3,B471&lt;=MESES),IF(OR(B471=MESES,Q471-R471&gt;T470),T470,Q471-R471),0)</f>
        <v/>
      </c>
      <c r="T471" s="58">
        <f>T470-S471</f>
        <v/>
      </c>
      <c r="U471" s="58">
        <f>IF(AND(BANCO_OK_3,B471&lt;=MESES),R471+S471+VINC_MES_3,0)</f>
        <v/>
      </c>
      <c r="V471" s="52">
        <f>IF(AND(BANCO_OK_4,B471&lt;=MESES),IF(OR(OF_TIPO_4="Fija",C471&lt;=OF_ANIOS_INI_4),OF_TIN_4,MAX(0,EURIBOR+OF_DIF_4)),0)</f>
        <v/>
      </c>
      <c r="W471" s="58">
        <f>IF(AND(BANCO_OK_4,B471&lt;=MESES),IF(OR(B471=1,V471&lt;&gt;V470),PMT(V471/1200,MESES-B471+1,-Z470),W470),0)</f>
        <v/>
      </c>
      <c r="X471" s="58">
        <f>Z470*V471/1200</f>
        <v/>
      </c>
      <c r="Y471" s="58">
        <f>IF(AND(BANCO_OK_4,B471&lt;=MESES),IF(OR(B471=MESES,W471-X471&gt;Z470),Z470,W471-X471),0)</f>
        <v/>
      </c>
      <c r="Z471" s="58">
        <f>Z470-Y471</f>
        <v/>
      </c>
      <c r="AA471" s="58">
        <f>IF(AND(BANCO_OK_4,B471&lt;=MESES),X471+Y471+VINC_MES_4,0)</f>
        <v/>
      </c>
    </row>
    <row r="472">
      <c r="B472" s="56" t="n">
        <v>464</v>
      </c>
      <c r="C472" s="56">
        <f>ROUNDUP(B472/12,0)</f>
        <v/>
      </c>
      <c r="D472" s="52">
        <f>IF(AND(BANCO_OK_1,B472&lt;=MESES),IF(OR(OF_TIPO_1="Fija",C472&lt;=OF_ANIOS_INI_1),OF_TIN_1,MAX(0,EURIBOR+OF_DIF_1)),0)</f>
        <v/>
      </c>
      <c r="E472" s="58">
        <f>IF(AND(BANCO_OK_1,B472&lt;=MESES),IF(OR(B472=1,D472&lt;&gt;D471),PMT(D472/1200,MESES-B472+1,-H471),E471),0)</f>
        <v/>
      </c>
      <c r="F472" s="58">
        <f>H471*D472/1200</f>
        <v/>
      </c>
      <c r="G472" s="58">
        <f>IF(AND(BANCO_OK_1,B472&lt;=MESES),IF(OR(B472=MESES,E472-F472&gt;H471),H471,E472-F472),0)</f>
        <v/>
      </c>
      <c r="H472" s="58">
        <f>H471-G472</f>
        <v/>
      </c>
      <c r="I472" s="58">
        <f>IF(AND(BANCO_OK_1,B472&lt;=MESES),F472+G472+VINC_MES_1,0)</f>
        <v/>
      </c>
      <c r="J472" s="52">
        <f>IF(AND(BANCO_OK_2,B472&lt;=MESES),IF(OR(OF_TIPO_2="Fija",C472&lt;=OF_ANIOS_INI_2),OF_TIN_2,MAX(0,EURIBOR+OF_DIF_2)),0)</f>
        <v/>
      </c>
      <c r="K472" s="58">
        <f>IF(AND(BANCO_OK_2,B472&lt;=MESES),IF(OR(B472=1,J472&lt;&gt;J471),PMT(J472/1200,MESES-B472+1,-N471),K471),0)</f>
        <v/>
      </c>
      <c r="L472" s="58">
        <f>N471*J472/1200</f>
        <v/>
      </c>
      <c r="M472" s="58">
        <f>IF(AND(BANCO_OK_2,B472&lt;=MESES),IF(OR(B472=MESES,K472-L472&gt;N471),N471,K472-L472),0)</f>
        <v/>
      </c>
      <c r="N472" s="58">
        <f>N471-M472</f>
        <v/>
      </c>
      <c r="O472" s="58">
        <f>IF(AND(BANCO_OK_2,B472&lt;=MESES),L472+M472+VINC_MES_2,0)</f>
        <v/>
      </c>
      <c r="P472" s="52">
        <f>IF(AND(BANCO_OK_3,B472&lt;=MESES),IF(OR(OF_TIPO_3="Fija",C472&lt;=OF_ANIOS_INI_3),OF_TIN_3,MAX(0,EURIBOR+OF_DIF_3)),0)</f>
        <v/>
      </c>
      <c r="Q472" s="58">
        <f>IF(AND(BANCO_OK_3,B472&lt;=MESES),IF(OR(B472=1,P472&lt;&gt;P471),PMT(P472/1200,MESES-B472+1,-T471),Q471),0)</f>
        <v/>
      </c>
      <c r="R472" s="58">
        <f>T471*P472/1200</f>
        <v/>
      </c>
      <c r="S472" s="58">
        <f>IF(AND(BANCO_OK_3,B472&lt;=MESES),IF(OR(B472=MESES,Q472-R472&gt;T471),T471,Q472-R472),0)</f>
        <v/>
      </c>
      <c r="T472" s="58">
        <f>T471-S472</f>
        <v/>
      </c>
      <c r="U472" s="58">
        <f>IF(AND(BANCO_OK_3,B472&lt;=MESES),R472+S472+VINC_MES_3,0)</f>
        <v/>
      </c>
      <c r="V472" s="52">
        <f>IF(AND(BANCO_OK_4,B472&lt;=MESES),IF(OR(OF_TIPO_4="Fija",C472&lt;=OF_ANIOS_INI_4),OF_TIN_4,MAX(0,EURIBOR+OF_DIF_4)),0)</f>
        <v/>
      </c>
      <c r="W472" s="58">
        <f>IF(AND(BANCO_OK_4,B472&lt;=MESES),IF(OR(B472=1,V472&lt;&gt;V471),PMT(V472/1200,MESES-B472+1,-Z471),W471),0)</f>
        <v/>
      </c>
      <c r="X472" s="58">
        <f>Z471*V472/1200</f>
        <v/>
      </c>
      <c r="Y472" s="58">
        <f>IF(AND(BANCO_OK_4,B472&lt;=MESES),IF(OR(B472=MESES,W472-X472&gt;Z471),Z471,W472-X472),0)</f>
        <v/>
      </c>
      <c r="Z472" s="58">
        <f>Z471-Y472</f>
        <v/>
      </c>
      <c r="AA472" s="58">
        <f>IF(AND(BANCO_OK_4,B472&lt;=MESES),X472+Y472+VINC_MES_4,0)</f>
        <v/>
      </c>
    </row>
    <row r="473">
      <c r="B473" s="56" t="n">
        <v>465</v>
      </c>
      <c r="C473" s="56">
        <f>ROUNDUP(B473/12,0)</f>
        <v/>
      </c>
      <c r="D473" s="52">
        <f>IF(AND(BANCO_OK_1,B473&lt;=MESES),IF(OR(OF_TIPO_1="Fija",C473&lt;=OF_ANIOS_INI_1),OF_TIN_1,MAX(0,EURIBOR+OF_DIF_1)),0)</f>
        <v/>
      </c>
      <c r="E473" s="58">
        <f>IF(AND(BANCO_OK_1,B473&lt;=MESES),IF(OR(B473=1,D473&lt;&gt;D472),PMT(D473/1200,MESES-B473+1,-H472),E472),0)</f>
        <v/>
      </c>
      <c r="F473" s="58">
        <f>H472*D473/1200</f>
        <v/>
      </c>
      <c r="G473" s="58">
        <f>IF(AND(BANCO_OK_1,B473&lt;=MESES),IF(OR(B473=MESES,E473-F473&gt;H472),H472,E473-F473),0)</f>
        <v/>
      </c>
      <c r="H473" s="58">
        <f>H472-G473</f>
        <v/>
      </c>
      <c r="I473" s="58">
        <f>IF(AND(BANCO_OK_1,B473&lt;=MESES),F473+G473+VINC_MES_1,0)</f>
        <v/>
      </c>
      <c r="J473" s="52">
        <f>IF(AND(BANCO_OK_2,B473&lt;=MESES),IF(OR(OF_TIPO_2="Fija",C473&lt;=OF_ANIOS_INI_2),OF_TIN_2,MAX(0,EURIBOR+OF_DIF_2)),0)</f>
        <v/>
      </c>
      <c r="K473" s="58">
        <f>IF(AND(BANCO_OK_2,B473&lt;=MESES),IF(OR(B473=1,J473&lt;&gt;J472),PMT(J473/1200,MESES-B473+1,-N472),K472),0)</f>
        <v/>
      </c>
      <c r="L473" s="58">
        <f>N472*J473/1200</f>
        <v/>
      </c>
      <c r="M473" s="58">
        <f>IF(AND(BANCO_OK_2,B473&lt;=MESES),IF(OR(B473=MESES,K473-L473&gt;N472),N472,K473-L473),0)</f>
        <v/>
      </c>
      <c r="N473" s="58">
        <f>N472-M473</f>
        <v/>
      </c>
      <c r="O473" s="58">
        <f>IF(AND(BANCO_OK_2,B473&lt;=MESES),L473+M473+VINC_MES_2,0)</f>
        <v/>
      </c>
      <c r="P473" s="52">
        <f>IF(AND(BANCO_OK_3,B473&lt;=MESES),IF(OR(OF_TIPO_3="Fija",C473&lt;=OF_ANIOS_INI_3),OF_TIN_3,MAX(0,EURIBOR+OF_DIF_3)),0)</f>
        <v/>
      </c>
      <c r="Q473" s="58">
        <f>IF(AND(BANCO_OK_3,B473&lt;=MESES),IF(OR(B473=1,P473&lt;&gt;P472),PMT(P473/1200,MESES-B473+1,-T472),Q472),0)</f>
        <v/>
      </c>
      <c r="R473" s="58">
        <f>T472*P473/1200</f>
        <v/>
      </c>
      <c r="S473" s="58">
        <f>IF(AND(BANCO_OK_3,B473&lt;=MESES),IF(OR(B473=MESES,Q473-R473&gt;T472),T472,Q473-R473),0)</f>
        <v/>
      </c>
      <c r="T473" s="58">
        <f>T472-S473</f>
        <v/>
      </c>
      <c r="U473" s="58">
        <f>IF(AND(BANCO_OK_3,B473&lt;=MESES),R473+S473+VINC_MES_3,0)</f>
        <v/>
      </c>
      <c r="V473" s="52">
        <f>IF(AND(BANCO_OK_4,B473&lt;=MESES),IF(OR(OF_TIPO_4="Fija",C473&lt;=OF_ANIOS_INI_4),OF_TIN_4,MAX(0,EURIBOR+OF_DIF_4)),0)</f>
        <v/>
      </c>
      <c r="W473" s="58">
        <f>IF(AND(BANCO_OK_4,B473&lt;=MESES),IF(OR(B473=1,V473&lt;&gt;V472),PMT(V473/1200,MESES-B473+1,-Z472),W472),0)</f>
        <v/>
      </c>
      <c r="X473" s="58">
        <f>Z472*V473/1200</f>
        <v/>
      </c>
      <c r="Y473" s="58">
        <f>IF(AND(BANCO_OK_4,B473&lt;=MESES),IF(OR(B473=MESES,W473-X473&gt;Z472),Z472,W473-X473),0)</f>
        <v/>
      </c>
      <c r="Z473" s="58">
        <f>Z472-Y473</f>
        <v/>
      </c>
      <c r="AA473" s="58">
        <f>IF(AND(BANCO_OK_4,B473&lt;=MESES),X473+Y473+VINC_MES_4,0)</f>
        <v/>
      </c>
    </row>
    <row r="474">
      <c r="B474" s="56" t="n">
        <v>466</v>
      </c>
      <c r="C474" s="56">
        <f>ROUNDUP(B474/12,0)</f>
        <v/>
      </c>
      <c r="D474" s="52">
        <f>IF(AND(BANCO_OK_1,B474&lt;=MESES),IF(OR(OF_TIPO_1="Fija",C474&lt;=OF_ANIOS_INI_1),OF_TIN_1,MAX(0,EURIBOR+OF_DIF_1)),0)</f>
        <v/>
      </c>
      <c r="E474" s="58">
        <f>IF(AND(BANCO_OK_1,B474&lt;=MESES),IF(OR(B474=1,D474&lt;&gt;D473),PMT(D474/1200,MESES-B474+1,-H473),E473),0)</f>
        <v/>
      </c>
      <c r="F474" s="58">
        <f>H473*D474/1200</f>
        <v/>
      </c>
      <c r="G474" s="58">
        <f>IF(AND(BANCO_OK_1,B474&lt;=MESES),IF(OR(B474=MESES,E474-F474&gt;H473),H473,E474-F474),0)</f>
        <v/>
      </c>
      <c r="H474" s="58">
        <f>H473-G474</f>
        <v/>
      </c>
      <c r="I474" s="58">
        <f>IF(AND(BANCO_OK_1,B474&lt;=MESES),F474+G474+VINC_MES_1,0)</f>
        <v/>
      </c>
      <c r="J474" s="52">
        <f>IF(AND(BANCO_OK_2,B474&lt;=MESES),IF(OR(OF_TIPO_2="Fija",C474&lt;=OF_ANIOS_INI_2),OF_TIN_2,MAX(0,EURIBOR+OF_DIF_2)),0)</f>
        <v/>
      </c>
      <c r="K474" s="58">
        <f>IF(AND(BANCO_OK_2,B474&lt;=MESES),IF(OR(B474=1,J474&lt;&gt;J473),PMT(J474/1200,MESES-B474+1,-N473),K473),0)</f>
        <v/>
      </c>
      <c r="L474" s="58">
        <f>N473*J474/1200</f>
        <v/>
      </c>
      <c r="M474" s="58">
        <f>IF(AND(BANCO_OK_2,B474&lt;=MESES),IF(OR(B474=MESES,K474-L474&gt;N473),N473,K474-L474),0)</f>
        <v/>
      </c>
      <c r="N474" s="58">
        <f>N473-M474</f>
        <v/>
      </c>
      <c r="O474" s="58">
        <f>IF(AND(BANCO_OK_2,B474&lt;=MESES),L474+M474+VINC_MES_2,0)</f>
        <v/>
      </c>
      <c r="P474" s="52">
        <f>IF(AND(BANCO_OK_3,B474&lt;=MESES),IF(OR(OF_TIPO_3="Fija",C474&lt;=OF_ANIOS_INI_3),OF_TIN_3,MAX(0,EURIBOR+OF_DIF_3)),0)</f>
        <v/>
      </c>
      <c r="Q474" s="58">
        <f>IF(AND(BANCO_OK_3,B474&lt;=MESES),IF(OR(B474=1,P474&lt;&gt;P473),PMT(P474/1200,MESES-B474+1,-T473),Q473),0)</f>
        <v/>
      </c>
      <c r="R474" s="58">
        <f>T473*P474/1200</f>
        <v/>
      </c>
      <c r="S474" s="58">
        <f>IF(AND(BANCO_OK_3,B474&lt;=MESES),IF(OR(B474=MESES,Q474-R474&gt;T473),T473,Q474-R474),0)</f>
        <v/>
      </c>
      <c r="T474" s="58">
        <f>T473-S474</f>
        <v/>
      </c>
      <c r="U474" s="58">
        <f>IF(AND(BANCO_OK_3,B474&lt;=MESES),R474+S474+VINC_MES_3,0)</f>
        <v/>
      </c>
      <c r="V474" s="52">
        <f>IF(AND(BANCO_OK_4,B474&lt;=MESES),IF(OR(OF_TIPO_4="Fija",C474&lt;=OF_ANIOS_INI_4),OF_TIN_4,MAX(0,EURIBOR+OF_DIF_4)),0)</f>
        <v/>
      </c>
      <c r="W474" s="58">
        <f>IF(AND(BANCO_OK_4,B474&lt;=MESES),IF(OR(B474=1,V474&lt;&gt;V473),PMT(V474/1200,MESES-B474+1,-Z473),W473),0)</f>
        <v/>
      </c>
      <c r="X474" s="58">
        <f>Z473*V474/1200</f>
        <v/>
      </c>
      <c r="Y474" s="58">
        <f>IF(AND(BANCO_OK_4,B474&lt;=MESES),IF(OR(B474=MESES,W474-X474&gt;Z473),Z473,W474-X474),0)</f>
        <v/>
      </c>
      <c r="Z474" s="58">
        <f>Z473-Y474</f>
        <v/>
      </c>
      <c r="AA474" s="58">
        <f>IF(AND(BANCO_OK_4,B474&lt;=MESES),X474+Y474+VINC_MES_4,0)</f>
        <v/>
      </c>
    </row>
    <row r="475">
      <c r="B475" s="56" t="n">
        <v>467</v>
      </c>
      <c r="C475" s="56">
        <f>ROUNDUP(B475/12,0)</f>
        <v/>
      </c>
      <c r="D475" s="52">
        <f>IF(AND(BANCO_OK_1,B475&lt;=MESES),IF(OR(OF_TIPO_1="Fija",C475&lt;=OF_ANIOS_INI_1),OF_TIN_1,MAX(0,EURIBOR+OF_DIF_1)),0)</f>
        <v/>
      </c>
      <c r="E475" s="58">
        <f>IF(AND(BANCO_OK_1,B475&lt;=MESES),IF(OR(B475=1,D475&lt;&gt;D474),PMT(D475/1200,MESES-B475+1,-H474),E474),0)</f>
        <v/>
      </c>
      <c r="F475" s="58">
        <f>H474*D475/1200</f>
        <v/>
      </c>
      <c r="G475" s="58">
        <f>IF(AND(BANCO_OK_1,B475&lt;=MESES),IF(OR(B475=MESES,E475-F475&gt;H474),H474,E475-F475),0)</f>
        <v/>
      </c>
      <c r="H475" s="58">
        <f>H474-G475</f>
        <v/>
      </c>
      <c r="I475" s="58">
        <f>IF(AND(BANCO_OK_1,B475&lt;=MESES),F475+G475+VINC_MES_1,0)</f>
        <v/>
      </c>
      <c r="J475" s="52">
        <f>IF(AND(BANCO_OK_2,B475&lt;=MESES),IF(OR(OF_TIPO_2="Fija",C475&lt;=OF_ANIOS_INI_2),OF_TIN_2,MAX(0,EURIBOR+OF_DIF_2)),0)</f>
        <v/>
      </c>
      <c r="K475" s="58">
        <f>IF(AND(BANCO_OK_2,B475&lt;=MESES),IF(OR(B475=1,J475&lt;&gt;J474),PMT(J475/1200,MESES-B475+1,-N474),K474),0)</f>
        <v/>
      </c>
      <c r="L475" s="58">
        <f>N474*J475/1200</f>
        <v/>
      </c>
      <c r="M475" s="58">
        <f>IF(AND(BANCO_OK_2,B475&lt;=MESES),IF(OR(B475=MESES,K475-L475&gt;N474),N474,K475-L475),0)</f>
        <v/>
      </c>
      <c r="N475" s="58">
        <f>N474-M475</f>
        <v/>
      </c>
      <c r="O475" s="58">
        <f>IF(AND(BANCO_OK_2,B475&lt;=MESES),L475+M475+VINC_MES_2,0)</f>
        <v/>
      </c>
      <c r="P475" s="52">
        <f>IF(AND(BANCO_OK_3,B475&lt;=MESES),IF(OR(OF_TIPO_3="Fija",C475&lt;=OF_ANIOS_INI_3),OF_TIN_3,MAX(0,EURIBOR+OF_DIF_3)),0)</f>
        <v/>
      </c>
      <c r="Q475" s="58">
        <f>IF(AND(BANCO_OK_3,B475&lt;=MESES),IF(OR(B475=1,P475&lt;&gt;P474),PMT(P475/1200,MESES-B475+1,-T474),Q474),0)</f>
        <v/>
      </c>
      <c r="R475" s="58">
        <f>T474*P475/1200</f>
        <v/>
      </c>
      <c r="S475" s="58">
        <f>IF(AND(BANCO_OK_3,B475&lt;=MESES),IF(OR(B475=MESES,Q475-R475&gt;T474),T474,Q475-R475),0)</f>
        <v/>
      </c>
      <c r="T475" s="58">
        <f>T474-S475</f>
        <v/>
      </c>
      <c r="U475" s="58">
        <f>IF(AND(BANCO_OK_3,B475&lt;=MESES),R475+S475+VINC_MES_3,0)</f>
        <v/>
      </c>
      <c r="V475" s="52">
        <f>IF(AND(BANCO_OK_4,B475&lt;=MESES),IF(OR(OF_TIPO_4="Fija",C475&lt;=OF_ANIOS_INI_4),OF_TIN_4,MAX(0,EURIBOR+OF_DIF_4)),0)</f>
        <v/>
      </c>
      <c r="W475" s="58">
        <f>IF(AND(BANCO_OK_4,B475&lt;=MESES),IF(OR(B475=1,V475&lt;&gt;V474),PMT(V475/1200,MESES-B475+1,-Z474),W474),0)</f>
        <v/>
      </c>
      <c r="X475" s="58">
        <f>Z474*V475/1200</f>
        <v/>
      </c>
      <c r="Y475" s="58">
        <f>IF(AND(BANCO_OK_4,B475&lt;=MESES),IF(OR(B475=MESES,W475-X475&gt;Z474),Z474,W475-X475),0)</f>
        <v/>
      </c>
      <c r="Z475" s="58">
        <f>Z474-Y475</f>
        <v/>
      </c>
      <c r="AA475" s="58">
        <f>IF(AND(BANCO_OK_4,B475&lt;=MESES),X475+Y475+VINC_MES_4,0)</f>
        <v/>
      </c>
    </row>
    <row r="476">
      <c r="B476" s="56" t="n">
        <v>468</v>
      </c>
      <c r="C476" s="56">
        <f>ROUNDUP(B476/12,0)</f>
        <v/>
      </c>
      <c r="D476" s="52">
        <f>IF(AND(BANCO_OK_1,B476&lt;=MESES),IF(OR(OF_TIPO_1="Fija",C476&lt;=OF_ANIOS_INI_1),OF_TIN_1,MAX(0,EURIBOR+OF_DIF_1)),0)</f>
        <v/>
      </c>
      <c r="E476" s="58">
        <f>IF(AND(BANCO_OK_1,B476&lt;=MESES),IF(OR(B476=1,D476&lt;&gt;D475),PMT(D476/1200,MESES-B476+1,-H475),E475),0)</f>
        <v/>
      </c>
      <c r="F476" s="58">
        <f>H475*D476/1200</f>
        <v/>
      </c>
      <c r="G476" s="58">
        <f>IF(AND(BANCO_OK_1,B476&lt;=MESES),IF(OR(B476=MESES,E476-F476&gt;H475),H475,E476-F476),0)</f>
        <v/>
      </c>
      <c r="H476" s="58">
        <f>H475-G476</f>
        <v/>
      </c>
      <c r="I476" s="58">
        <f>IF(AND(BANCO_OK_1,B476&lt;=MESES),F476+G476+VINC_MES_1,0)</f>
        <v/>
      </c>
      <c r="J476" s="52">
        <f>IF(AND(BANCO_OK_2,B476&lt;=MESES),IF(OR(OF_TIPO_2="Fija",C476&lt;=OF_ANIOS_INI_2),OF_TIN_2,MAX(0,EURIBOR+OF_DIF_2)),0)</f>
        <v/>
      </c>
      <c r="K476" s="58">
        <f>IF(AND(BANCO_OK_2,B476&lt;=MESES),IF(OR(B476=1,J476&lt;&gt;J475),PMT(J476/1200,MESES-B476+1,-N475),K475),0)</f>
        <v/>
      </c>
      <c r="L476" s="58">
        <f>N475*J476/1200</f>
        <v/>
      </c>
      <c r="M476" s="58">
        <f>IF(AND(BANCO_OK_2,B476&lt;=MESES),IF(OR(B476=MESES,K476-L476&gt;N475),N475,K476-L476),0)</f>
        <v/>
      </c>
      <c r="N476" s="58">
        <f>N475-M476</f>
        <v/>
      </c>
      <c r="O476" s="58">
        <f>IF(AND(BANCO_OK_2,B476&lt;=MESES),L476+M476+VINC_MES_2,0)</f>
        <v/>
      </c>
      <c r="P476" s="52">
        <f>IF(AND(BANCO_OK_3,B476&lt;=MESES),IF(OR(OF_TIPO_3="Fija",C476&lt;=OF_ANIOS_INI_3),OF_TIN_3,MAX(0,EURIBOR+OF_DIF_3)),0)</f>
        <v/>
      </c>
      <c r="Q476" s="58">
        <f>IF(AND(BANCO_OK_3,B476&lt;=MESES),IF(OR(B476=1,P476&lt;&gt;P475),PMT(P476/1200,MESES-B476+1,-T475),Q475),0)</f>
        <v/>
      </c>
      <c r="R476" s="58">
        <f>T475*P476/1200</f>
        <v/>
      </c>
      <c r="S476" s="58">
        <f>IF(AND(BANCO_OK_3,B476&lt;=MESES),IF(OR(B476=MESES,Q476-R476&gt;T475),T475,Q476-R476),0)</f>
        <v/>
      </c>
      <c r="T476" s="58">
        <f>T475-S476</f>
        <v/>
      </c>
      <c r="U476" s="58">
        <f>IF(AND(BANCO_OK_3,B476&lt;=MESES),R476+S476+VINC_MES_3,0)</f>
        <v/>
      </c>
      <c r="V476" s="52">
        <f>IF(AND(BANCO_OK_4,B476&lt;=MESES),IF(OR(OF_TIPO_4="Fija",C476&lt;=OF_ANIOS_INI_4),OF_TIN_4,MAX(0,EURIBOR+OF_DIF_4)),0)</f>
        <v/>
      </c>
      <c r="W476" s="58">
        <f>IF(AND(BANCO_OK_4,B476&lt;=MESES),IF(OR(B476=1,V476&lt;&gt;V475),PMT(V476/1200,MESES-B476+1,-Z475),W475),0)</f>
        <v/>
      </c>
      <c r="X476" s="58">
        <f>Z475*V476/1200</f>
        <v/>
      </c>
      <c r="Y476" s="58">
        <f>IF(AND(BANCO_OK_4,B476&lt;=MESES),IF(OR(B476=MESES,W476-X476&gt;Z475),Z475,W476-X476),0)</f>
        <v/>
      </c>
      <c r="Z476" s="58">
        <f>Z475-Y476</f>
        <v/>
      </c>
      <c r="AA476" s="58">
        <f>IF(AND(BANCO_OK_4,B476&lt;=MESES),X476+Y476+VINC_MES_4,0)</f>
        <v/>
      </c>
    </row>
    <row r="477">
      <c r="B477" s="56" t="n">
        <v>469</v>
      </c>
      <c r="C477" s="56">
        <f>ROUNDUP(B477/12,0)</f>
        <v/>
      </c>
      <c r="D477" s="52">
        <f>IF(AND(BANCO_OK_1,B477&lt;=MESES),IF(OR(OF_TIPO_1="Fija",C477&lt;=OF_ANIOS_INI_1),OF_TIN_1,MAX(0,EURIBOR+OF_DIF_1)),0)</f>
        <v/>
      </c>
      <c r="E477" s="58">
        <f>IF(AND(BANCO_OK_1,B477&lt;=MESES),IF(OR(B477=1,D477&lt;&gt;D476),PMT(D477/1200,MESES-B477+1,-H476),E476),0)</f>
        <v/>
      </c>
      <c r="F477" s="58">
        <f>H476*D477/1200</f>
        <v/>
      </c>
      <c r="G477" s="58">
        <f>IF(AND(BANCO_OK_1,B477&lt;=MESES),IF(OR(B477=MESES,E477-F477&gt;H476),H476,E477-F477),0)</f>
        <v/>
      </c>
      <c r="H477" s="58">
        <f>H476-G477</f>
        <v/>
      </c>
      <c r="I477" s="58">
        <f>IF(AND(BANCO_OK_1,B477&lt;=MESES),F477+G477+VINC_MES_1,0)</f>
        <v/>
      </c>
      <c r="J477" s="52">
        <f>IF(AND(BANCO_OK_2,B477&lt;=MESES),IF(OR(OF_TIPO_2="Fija",C477&lt;=OF_ANIOS_INI_2),OF_TIN_2,MAX(0,EURIBOR+OF_DIF_2)),0)</f>
        <v/>
      </c>
      <c r="K477" s="58">
        <f>IF(AND(BANCO_OK_2,B477&lt;=MESES),IF(OR(B477=1,J477&lt;&gt;J476),PMT(J477/1200,MESES-B477+1,-N476),K476),0)</f>
        <v/>
      </c>
      <c r="L477" s="58">
        <f>N476*J477/1200</f>
        <v/>
      </c>
      <c r="M477" s="58">
        <f>IF(AND(BANCO_OK_2,B477&lt;=MESES),IF(OR(B477=MESES,K477-L477&gt;N476),N476,K477-L477),0)</f>
        <v/>
      </c>
      <c r="N477" s="58">
        <f>N476-M477</f>
        <v/>
      </c>
      <c r="O477" s="58">
        <f>IF(AND(BANCO_OK_2,B477&lt;=MESES),L477+M477+VINC_MES_2,0)</f>
        <v/>
      </c>
      <c r="P477" s="52">
        <f>IF(AND(BANCO_OK_3,B477&lt;=MESES),IF(OR(OF_TIPO_3="Fija",C477&lt;=OF_ANIOS_INI_3),OF_TIN_3,MAX(0,EURIBOR+OF_DIF_3)),0)</f>
        <v/>
      </c>
      <c r="Q477" s="58">
        <f>IF(AND(BANCO_OK_3,B477&lt;=MESES),IF(OR(B477=1,P477&lt;&gt;P476),PMT(P477/1200,MESES-B477+1,-T476),Q476),0)</f>
        <v/>
      </c>
      <c r="R477" s="58">
        <f>T476*P477/1200</f>
        <v/>
      </c>
      <c r="S477" s="58">
        <f>IF(AND(BANCO_OK_3,B477&lt;=MESES),IF(OR(B477=MESES,Q477-R477&gt;T476),T476,Q477-R477),0)</f>
        <v/>
      </c>
      <c r="T477" s="58">
        <f>T476-S477</f>
        <v/>
      </c>
      <c r="U477" s="58">
        <f>IF(AND(BANCO_OK_3,B477&lt;=MESES),R477+S477+VINC_MES_3,0)</f>
        <v/>
      </c>
      <c r="V477" s="52">
        <f>IF(AND(BANCO_OK_4,B477&lt;=MESES),IF(OR(OF_TIPO_4="Fija",C477&lt;=OF_ANIOS_INI_4),OF_TIN_4,MAX(0,EURIBOR+OF_DIF_4)),0)</f>
        <v/>
      </c>
      <c r="W477" s="58">
        <f>IF(AND(BANCO_OK_4,B477&lt;=MESES),IF(OR(B477=1,V477&lt;&gt;V476),PMT(V477/1200,MESES-B477+1,-Z476),W476),0)</f>
        <v/>
      </c>
      <c r="X477" s="58">
        <f>Z476*V477/1200</f>
        <v/>
      </c>
      <c r="Y477" s="58">
        <f>IF(AND(BANCO_OK_4,B477&lt;=MESES),IF(OR(B477=MESES,W477-X477&gt;Z476),Z476,W477-X477),0)</f>
        <v/>
      </c>
      <c r="Z477" s="58">
        <f>Z476-Y477</f>
        <v/>
      </c>
      <c r="AA477" s="58">
        <f>IF(AND(BANCO_OK_4,B477&lt;=MESES),X477+Y477+VINC_MES_4,0)</f>
        <v/>
      </c>
    </row>
    <row r="478">
      <c r="B478" s="56" t="n">
        <v>470</v>
      </c>
      <c r="C478" s="56">
        <f>ROUNDUP(B478/12,0)</f>
        <v/>
      </c>
      <c r="D478" s="52">
        <f>IF(AND(BANCO_OK_1,B478&lt;=MESES),IF(OR(OF_TIPO_1="Fija",C478&lt;=OF_ANIOS_INI_1),OF_TIN_1,MAX(0,EURIBOR+OF_DIF_1)),0)</f>
        <v/>
      </c>
      <c r="E478" s="58">
        <f>IF(AND(BANCO_OK_1,B478&lt;=MESES),IF(OR(B478=1,D478&lt;&gt;D477),PMT(D478/1200,MESES-B478+1,-H477),E477),0)</f>
        <v/>
      </c>
      <c r="F478" s="58">
        <f>H477*D478/1200</f>
        <v/>
      </c>
      <c r="G478" s="58">
        <f>IF(AND(BANCO_OK_1,B478&lt;=MESES),IF(OR(B478=MESES,E478-F478&gt;H477),H477,E478-F478),0)</f>
        <v/>
      </c>
      <c r="H478" s="58">
        <f>H477-G478</f>
        <v/>
      </c>
      <c r="I478" s="58">
        <f>IF(AND(BANCO_OK_1,B478&lt;=MESES),F478+G478+VINC_MES_1,0)</f>
        <v/>
      </c>
      <c r="J478" s="52">
        <f>IF(AND(BANCO_OK_2,B478&lt;=MESES),IF(OR(OF_TIPO_2="Fija",C478&lt;=OF_ANIOS_INI_2),OF_TIN_2,MAX(0,EURIBOR+OF_DIF_2)),0)</f>
        <v/>
      </c>
      <c r="K478" s="58">
        <f>IF(AND(BANCO_OK_2,B478&lt;=MESES),IF(OR(B478=1,J478&lt;&gt;J477),PMT(J478/1200,MESES-B478+1,-N477),K477),0)</f>
        <v/>
      </c>
      <c r="L478" s="58">
        <f>N477*J478/1200</f>
        <v/>
      </c>
      <c r="M478" s="58">
        <f>IF(AND(BANCO_OK_2,B478&lt;=MESES),IF(OR(B478=MESES,K478-L478&gt;N477),N477,K478-L478),0)</f>
        <v/>
      </c>
      <c r="N478" s="58">
        <f>N477-M478</f>
        <v/>
      </c>
      <c r="O478" s="58">
        <f>IF(AND(BANCO_OK_2,B478&lt;=MESES),L478+M478+VINC_MES_2,0)</f>
        <v/>
      </c>
      <c r="P478" s="52">
        <f>IF(AND(BANCO_OK_3,B478&lt;=MESES),IF(OR(OF_TIPO_3="Fija",C478&lt;=OF_ANIOS_INI_3),OF_TIN_3,MAX(0,EURIBOR+OF_DIF_3)),0)</f>
        <v/>
      </c>
      <c r="Q478" s="58">
        <f>IF(AND(BANCO_OK_3,B478&lt;=MESES),IF(OR(B478=1,P478&lt;&gt;P477),PMT(P478/1200,MESES-B478+1,-T477),Q477),0)</f>
        <v/>
      </c>
      <c r="R478" s="58">
        <f>T477*P478/1200</f>
        <v/>
      </c>
      <c r="S478" s="58">
        <f>IF(AND(BANCO_OK_3,B478&lt;=MESES),IF(OR(B478=MESES,Q478-R478&gt;T477),T477,Q478-R478),0)</f>
        <v/>
      </c>
      <c r="T478" s="58">
        <f>T477-S478</f>
        <v/>
      </c>
      <c r="U478" s="58">
        <f>IF(AND(BANCO_OK_3,B478&lt;=MESES),R478+S478+VINC_MES_3,0)</f>
        <v/>
      </c>
      <c r="V478" s="52">
        <f>IF(AND(BANCO_OK_4,B478&lt;=MESES),IF(OR(OF_TIPO_4="Fija",C478&lt;=OF_ANIOS_INI_4),OF_TIN_4,MAX(0,EURIBOR+OF_DIF_4)),0)</f>
        <v/>
      </c>
      <c r="W478" s="58">
        <f>IF(AND(BANCO_OK_4,B478&lt;=MESES),IF(OR(B478=1,V478&lt;&gt;V477),PMT(V478/1200,MESES-B478+1,-Z477),W477),0)</f>
        <v/>
      </c>
      <c r="X478" s="58">
        <f>Z477*V478/1200</f>
        <v/>
      </c>
      <c r="Y478" s="58">
        <f>IF(AND(BANCO_OK_4,B478&lt;=MESES),IF(OR(B478=MESES,W478-X478&gt;Z477),Z477,W478-X478),0)</f>
        <v/>
      </c>
      <c r="Z478" s="58">
        <f>Z477-Y478</f>
        <v/>
      </c>
      <c r="AA478" s="58">
        <f>IF(AND(BANCO_OK_4,B478&lt;=MESES),X478+Y478+VINC_MES_4,0)</f>
        <v/>
      </c>
    </row>
    <row r="479">
      <c r="B479" s="56" t="n">
        <v>471</v>
      </c>
      <c r="C479" s="56">
        <f>ROUNDUP(B479/12,0)</f>
        <v/>
      </c>
      <c r="D479" s="52">
        <f>IF(AND(BANCO_OK_1,B479&lt;=MESES),IF(OR(OF_TIPO_1="Fija",C479&lt;=OF_ANIOS_INI_1),OF_TIN_1,MAX(0,EURIBOR+OF_DIF_1)),0)</f>
        <v/>
      </c>
      <c r="E479" s="58">
        <f>IF(AND(BANCO_OK_1,B479&lt;=MESES),IF(OR(B479=1,D479&lt;&gt;D478),PMT(D479/1200,MESES-B479+1,-H478),E478),0)</f>
        <v/>
      </c>
      <c r="F479" s="58">
        <f>H478*D479/1200</f>
        <v/>
      </c>
      <c r="G479" s="58">
        <f>IF(AND(BANCO_OK_1,B479&lt;=MESES),IF(OR(B479=MESES,E479-F479&gt;H478),H478,E479-F479),0)</f>
        <v/>
      </c>
      <c r="H479" s="58">
        <f>H478-G479</f>
        <v/>
      </c>
      <c r="I479" s="58">
        <f>IF(AND(BANCO_OK_1,B479&lt;=MESES),F479+G479+VINC_MES_1,0)</f>
        <v/>
      </c>
      <c r="J479" s="52">
        <f>IF(AND(BANCO_OK_2,B479&lt;=MESES),IF(OR(OF_TIPO_2="Fija",C479&lt;=OF_ANIOS_INI_2),OF_TIN_2,MAX(0,EURIBOR+OF_DIF_2)),0)</f>
        <v/>
      </c>
      <c r="K479" s="58">
        <f>IF(AND(BANCO_OK_2,B479&lt;=MESES),IF(OR(B479=1,J479&lt;&gt;J478),PMT(J479/1200,MESES-B479+1,-N478),K478),0)</f>
        <v/>
      </c>
      <c r="L479" s="58">
        <f>N478*J479/1200</f>
        <v/>
      </c>
      <c r="M479" s="58">
        <f>IF(AND(BANCO_OK_2,B479&lt;=MESES),IF(OR(B479=MESES,K479-L479&gt;N478),N478,K479-L479),0)</f>
        <v/>
      </c>
      <c r="N479" s="58">
        <f>N478-M479</f>
        <v/>
      </c>
      <c r="O479" s="58">
        <f>IF(AND(BANCO_OK_2,B479&lt;=MESES),L479+M479+VINC_MES_2,0)</f>
        <v/>
      </c>
      <c r="P479" s="52">
        <f>IF(AND(BANCO_OK_3,B479&lt;=MESES),IF(OR(OF_TIPO_3="Fija",C479&lt;=OF_ANIOS_INI_3),OF_TIN_3,MAX(0,EURIBOR+OF_DIF_3)),0)</f>
        <v/>
      </c>
      <c r="Q479" s="58">
        <f>IF(AND(BANCO_OK_3,B479&lt;=MESES),IF(OR(B479=1,P479&lt;&gt;P478),PMT(P479/1200,MESES-B479+1,-T478),Q478),0)</f>
        <v/>
      </c>
      <c r="R479" s="58">
        <f>T478*P479/1200</f>
        <v/>
      </c>
      <c r="S479" s="58">
        <f>IF(AND(BANCO_OK_3,B479&lt;=MESES),IF(OR(B479=MESES,Q479-R479&gt;T478),T478,Q479-R479),0)</f>
        <v/>
      </c>
      <c r="T479" s="58">
        <f>T478-S479</f>
        <v/>
      </c>
      <c r="U479" s="58">
        <f>IF(AND(BANCO_OK_3,B479&lt;=MESES),R479+S479+VINC_MES_3,0)</f>
        <v/>
      </c>
      <c r="V479" s="52">
        <f>IF(AND(BANCO_OK_4,B479&lt;=MESES),IF(OR(OF_TIPO_4="Fija",C479&lt;=OF_ANIOS_INI_4),OF_TIN_4,MAX(0,EURIBOR+OF_DIF_4)),0)</f>
        <v/>
      </c>
      <c r="W479" s="58">
        <f>IF(AND(BANCO_OK_4,B479&lt;=MESES),IF(OR(B479=1,V479&lt;&gt;V478),PMT(V479/1200,MESES-B479+1,-Z478),W478),0)</f>
        <v/>
      </c>
      <c r="X479" s="58">
        <f>Z478*V479/1200</f>
        <v/>
      </c>
      <c r="Y479" s="58">
        <f>IF(AND(BANCO_OK_4,B479&lt;=MESES),IF(OR(B479=MESES,W479-X479&gt;Z478),Z478,W479-X479),0)</f>
        <v/>
      </c>
      <c r="Z479" s="58">
        <f>Z478-Y479</f>
        <v/>
      </c>
      <c r="AA479" s="58">
        <f>IF(AND(BANCO_OK_4,B479&lt;=MESES),X479+Y479+VINC_MES_4,0)</f>
        <v/>
      </c>
    </row>
    <row r="480">
      <c r="B480" s="56" t="n">
        <v>472</v>
      </c>
      <c r="C480" s="56">
        <f>ROUNDUP(B480/12,0)</f>
        <v/>
      </c>
      <c r="D480" s="52">
        <f>IF(AND(BANCO_OK_1,B480&lt;=MESES),IF(OR(OF_TIPO_1="Fija",C480&lt;=OF_ANIOS_INI_1),OF_TIN_1,MAX(0,EURIBOR+OF_DIF_1)),0)</f>
        <v/>
      </c>
      <c r="E480" s="58">
        <f>IF(AND(BANCO_OK_1,B480&lt;=MESES),IF(OR(B480=1,D480&lt;&gt;D479),PMT(D480/1200,MESES-B480+1,-H479),E479),0)</f>
        <v/>
      </c>
      <c r="F480" s="58">
        <f>H479*D480/1200</f>
        <v/>
      </c>
      <c r="G480" s="58">
        <f>IF(AND(BANCO_OK_1,B480&lt;=MESES),IF(OR(B480=MESES,E480-F480&gt;H479),H479,E480-F480),0)</f>
        <v/>
      </c>
      <c r="H480" s="58">
        <f>H479-G480</f>
        <v/>
      </c>
      <c r="I480" s="58">
        <f>IF(AND(BANCO_OK_1,B480&lt;=MESES),F480+G480+VINC_MES_1,0)</f>
        <v/>
      </c>
      <c r="J480" s="52">
        <f>IF(AND(BANCO_OK_2,B480&lt;=MESES),IF(OR(OF_TIPO_2="Fija",C480&lt;=OF_ANIOS_INI_2),OF_TIN_2,MAX(0,EURIBOR+OF_DIF_2)),0)</f>
        <v/>
      </c>
      <c r="K480" s="58">
        <f>IF(AND(BANCO_OK_2,B480&lt;=MESES),IF(OR(B480=1,J480&lt;&gt;J479),PMT(J480/1200,MESES-B480+1,-N479),K479),0)</f>
        <v/>
      </c>
      <c r="L480" s="58">
        <f>N479*J480/1200</f>
        <v/>
      </c>
      <c r="M480" s="58">
        <f>IF(AND(BANCO_OK_2,B480&lt;=MESES),IF(OR(B480=MESES,K480-L480&gt;N479),N479,K480-L480),0)</f>
        <v/>
      </c>
      <c r="N480" s="58">
        <f>N479-M480</f>
        <v/>
      </c>
      <c r="O480" s="58">
        <f>IF(AND(BANCO_OK_2,B480&lt;=MESES),L480+M480+VINC_MES_2,0)</f>
        <v/>
      </c>
      <c r="P480" s="52">
        <f>IF(AND(BANCO_OK_3,B480&lt;=MESES),IF(OR(OF_TIPO_3="Fija",C480&lt;=OF_ANIOS_INI_3),OF_TIN_3,MAX(0,EURIBOR+OF_DIF_3)),0)</f>
        <v/>
      </c>
      <c r="Q480" s="58">
        <f>IF(AND(BANCO_OK_3,B480&lt;=MESES),IF(OR(B480=1,P480&lt;&gt;P479),PMT(P480/1200,MESES-B480+1,-T479),Q479),0)</f>
        <v/>
      </c>
      <c r="R480" s="58">
        <f>T479*P480/1200</f>
        <v/>
      </c>
      <c r="S480" s="58">
        <f>IF(AND(BANCO_OK_3,B480&lt;=MESES),IF(OR(B480=MESES,Q480-R480&gt;T479),T479,Q480-R480),0)</f>
        <v/>
      </c>
      <c r="T480" s="58">
        <f>T479-S480</f>
        <v/>
      </c>
      <c r="U480" s="58">
        <f>IF(AND(BANCO_OK_3,B480&lt;=MESES),R480+S480+VINC_MES_3,0)</f>
        <v/>
      </c>
      <c r="V480" s="52">
        <f>IF(AND(BANCO_OK_4,B480&lt;=MESES),IF(OR(OF_TIPO_4="Fija",C480&lt;=OF_ANIOS_INI_4),OF_TIN_4,MAX(0,EURIBOR+OF_DIF_4)),0)</f>
        <v/>
      </c>
      <c r="W480" s="58">
        <f>IF(AND(BANCO_OK_4,B480&lt;=MESES),IF(OR(B480=1,V480&lt;&gt;V479),PMT(V480/1200,MESES-B480+1,-Z479),W479),0)</f>
        <v/>
      </c>
      <c r="X480" s="58">
        <f>Z479*V480/1200</f>
        <v/>
      </c>
      <c r="Y480" s="58">
        <f>IF(AND(BANCO_OK_4,B480&lt;=MESES),IF(OR(B480=MESES,W480-X480&gt;Z479),Z479,W480-X480),0)</f>
        <v/>
      </c>
      <c r="Z480" s="58">
        <f>Z479-Y480</f>
        <v/>
      </c>
      <c r="AA480" s="58">
        <f>IF(AND(BANCO_OK_4,B480&lt;=MESES),X480+Y480+VINC_MES_4,0)</f>
        <v/>
      </c>
    </row>
    <row r="481">
      <c r="B481" s="56" t="n">
        <v>473</v>
      </c>
      <c r="C481" s="56">
        <f>ROUNDUP(B481/12,0)</f>
        <v/>
      </c>
      <c r="D481" s="52">
        <f>IF(AND(BANCO_OK_1,B481&lt;=MESES),IF(OR(OF_TIPO_1="Fija",C481&lt;=OF_ANIOS_INI_1),OF_TIN_1,MAX(0,EURIBOR+OF_DIF_1)),0)</f>
        <v/>
      </c>
      <c r="E481" s="58">
        <f>IF(AND(BANCO_OK_1,B481&lt;=MESES),IF(OR(B481=1,D481&lt;&gt;D480),PMT(D481/1200,MESES-B481+1,-H480),E480),0)</f>
        <v/>
      </c>
      <c r="F481" s="58">
        <f>H480*D481/1200</f>
        <v/>
      </c>
      <c r="G481" s="58">
        <f>IF(AND(BANCO_OK_1,B481&lt;=MESES),IF(OR(B481=MESES,E481-F481&gt;H480),H480,E481-F481),0)</f>
        <v/>
      </c>
      <c r="H481" s="58">
        <f>H480-G481</f>
        <v/>
      </c>
      <c r="I481" s="58">
        <f>IF(AND(BANCO_OK_1,B481&lt;=MESES),F481+G481+VINC_MES_1,0)</f>
        <v/>
      </c>
      <c r="J481" s="52">
        <f>IF(AND(BANCO_OK_2,B481&lt;=MESES),IF(OR(OF_TIPO_2="Fija",C481&lt;=OF_ANIOS_INI_2),OF_TIN_2,MAX(0,EURIBOR+OF_DIF_2)),0)</f>
        <v/>
      </c>
      <c r="K481" s="58">
        <f>IF(AND(BANCO_OK_2,B481&lt;=MESES),IF(OR(B481=1,J481&lt;&gt;J480),PMT(J481/1200,MESES-B481+1,-N480),K480),0)</f>
        <v/>
      </c>
      <c r="L481" s="58">
        <f>N480*J481/1200</f>
        <v/>
      </c>
      <c r="M481" s="58">
        <f>IF(AND(BANCO_OK_2,B481&lt;=MESES),IF(OR(B481=MESES,K481-L481&gt;N480),N480,K481-L481),0)</f>
        <v/>
      </c>
      <c r="N481" s="58">
        <f>N480-M481</f>
        <v/>
      </c>
      <c r="O481" s="58">
        <f>IF(AND(BANCO_OK_2,B481&lt;=MESES),L481+M481+VINC_MES_2,0)</f>
        <v/>
      </c>
      <c r="P481" s="52">
        <f>IF(AND(BANCO_OK_3,B481&lt;=MESES),IF(OR(OF_TIPO_3="Fija",C481&lt;=OF_ANIOS_INI_3),OF_TIN_3,MAX(0,EURIBOR+OF_DIF_3)),0)</f>
        <v/>
      </c>
      <c r="Q481" s="58">
        <f>IF(AND(BANCO_OK_3,B481&lt;=MESES),IF(OR(B481=1,P481&lt;&gt;P480),PMT(P481/1200,MESES-B481+1,-T480),Q480),0)</f>
        <v/>
      </c>
      <c r="R481" s="58">
        <f>T480*P481/1200</f>
        <v/>
      </c>
      <c r="S481" s="58">
        <f>IF(AND(BANCO_OK_3,B481&lt;=MESES),IF(OR(B481=MESES,Q481-R481&gt;T480),T480,Q481-R481),0)</f>
        <v/>
      </c>
      <c r="T481" s="58">
        <f>T480-S481</f>
        <v/>
      </c>
      <c r="U481" s="58">
        <f>IF(AND(BANCO_OK_3,B481&lt;=MESES),R481+S481+VINC_MES_3,0)</f>
        <v/>
      </c>
      <c r="V481" s="52">
        <f>IF(AND(BANCO_OK_4,B481&lt;=MESES),IF(OR(OF_TIPO_4="Fija",C481&lt;=OF_ANIOS_INI_4),OF_TIN_4,MAX(0,EURIBOR+OF_DIF_4)),0)</f>
        <v/>
      </c>
      <c r="W481" s="58">
        <f>IF(AND(BANCO_OK_4,B481&lt;=MESES),IF(OR(B481=1,V481&lt;&gt;V480),PMT(V481/1200,MESES-B481+1,-Z480),W480),0)</f>
        <v/>
      </c>
      <c r="X481" s="58">
        <f>Z480*V481/1200</f>
        <v/>
      </c>
      <c r="Y481" s="58">
        <f>IF(AND(BANCO_OK_4,B481&lt;=MESES),IF(OR(B481=MESES,W481-X481&gt;Z480),Z480,W481-X481),0)</f>
        <v/>
      </c>
      <c r="Z481" s="58">
        <f>Z480-Y481</f>
        <v/>
      </c>
      <c r="AA481" s="58">
        <f>IF(AND(BANCO_OK_4,B481&lt;=MESES),X481+Y481+VINC_MES_4,0)</f>
        <v/>
      </c>
    </row>
    <row r="482">
      <c r="B482" s="56" t="n">
        <v>474</v>
      </c>
      <c r="C482" s="56">
        <f>ROUNDUP(B482/12,0)</f>
        <v/>
      </c>
      <c r="D482" s="52">
        <f>IF(AND(BANCO_OK_1,B482&lt;=MESES),IF(OR(OF_TIPO_1="Fija",C482&lt;=OF_ANIOS_INI_1),OF_TIN_1,MAX(0,EURIBOR+OF_DIF_1)),0)</f>
        <v/>
      </c>
      <c r="E482" s="58">
        <f>IF(AND(BANCO_OK_1,B482&lt;=MESES),IF(OR(B482=1,D482&lt;&gt;D481),PMT(D482/1200,MESES-B482+1,-H481),E481),0)</f>
        <v/>
      </c>
      <c r="F482" s="58">
        <f>H481*D482/1200</f>
        <v/>
      </c>
      <c r="G482" s="58">
        <f>IF(AND(BANCO_OK_1,B482&lt;=MESES),IF(OR(B482=MESES,E482-F482&gt;H481),H481,E482-F482),0)</f>
        <v/>
      </c>
      <c r="H482" s="58">
        <f>H481-G482</f>
        <v/>
      </c>
      <c r="I482" s="58">
        <f>IF(AND(BANCO_OK_1,B482&lt;=MESES),F482+G482+VINC_MES_1,0)</f>
        <v/>
      </c>
      <c r="J482" s="52">
        <f>IF(AND(BANCO_OK_2,B482&lt;=MESES),IF(OR(OF_TIPO_2="Fija",C482&lt;=OF_ANIOS_INI_2),OF_TIN_2,MAX(0,EURIBOR+OF_DIF_2)),0)</f>
        <v/>
      </c>
      <c r="K482" s="58">
        <f>IF(AND(BANCO_OK_2,B482&lt;=MESES),IF(OR(B482=1,J482&lt;&gt;J481),PMT(J482/1200,MESES-B482+1,-N481),K481),0)</f>
        <v/>
      </c>
      <c r="L482" s="58">
        <f>N481*J482/1200</f>
        <v/>
      </c>
      <c r="M482" s="58">
        <f>IF(AND(BANCO_OK_2,B482&lt;=MESES),IF(OR(B482=MESES,K482-L482&gt;N481),N481,K482-L482),0)</f>
        <v/>
      </c>
      <c r="N482" s="58">
        <f>N481-M482</f>
        <v/>
      </c>
      <c r="O482" s="58">
        <f>IF(AND(BANCO_OK_2,B482&lt;=MESES),L482+M482+VINC_MES_2,0)</f>
        <v/>
      </c>
      <c r="P482" s="52">
        <f>IF(AND(BANCO_OK_3,B482&lt;=MESES),IF(OR(OF_TIPO_3="Fija",C482&lt;=OF_ANIOS_INI_3),OF_TIN_3,MAX(0,EURIBOR+OF_DIF_3)),0)</f>
        <v/>
      </c>
      <c r="Q482" s="58">
        <f>IF(AND(BANCO_OK_3,B482&lt;=MESES),IF(OR(B482=1,P482&lt;&gt;P481),PMT(P482/1200,MESES-B482+1,-T481),Q481),0)</f>
        <v/>
      </c>
      <c r="R482" s="58">
        <f>T481*P482/1200</f>
        <v/>
      </c>
      <c r="S482" s="58">
        <f>IF(AND(BANCO_OK_3,B482&lt;=MESES),IF(OR(B482=MESES,Q482-R482&gt;T481),T481,Q482-R482),0)</f>
        <v/>
      </c>
      <c r="T482" s="58">
        <f>T481-S482</f>
        <v/>
      </c>
      <c r="U482" s="58">
        <f>IF(AND(BANCO_OK_3,B482&lt;=MESES),R482+S482+VINC_MES_3,0)</f>
        <v/>
      </c>
      <c r="V482" s="52">
        <f>IF(AND(BANCO_OK_4,B482&lt;=MESES),IF(OR(OF_TIPO_4="Fija",C482&lt;=OF_ANIOS_INI_4),OF_TIN_4,MAX(0,EURIBOR+OF_DIF_4)),0)</f>
        <v/>
      </c>
      <c r="W482" s="58">
        <f>IF(AND(BANCO_OK_4,B482&lt;=MESES),IF(OR(B482=1,V482&lt;&gt;V481),PMT(V482/1200,MESES-B482+1,-Z481),W481),0)</f>
        <v/>
      </c>
      <c r="X482" s="58">
        <f>Z481*V482/1200</f>
        <v/>
      </c>
      <c r="Y482" s="58">
        <f>IF(AND(BANCO_OK_4,B482&lt;=MESES),IF(OR(B482=MESES,W482-X482&gt;Z481),Z481,W482-X482),0)</f>
        <v/>
      </c>
      <c r="Z482" s="58">
        <f>Z481-Y482</f>
        <v/>
      </c>
      <c r="AA482" s="58">
        <f>IF(AND(BANCO_OK_4,B482&lt;=MESES),X482+Y482+VINC_MES_4,0)</f>
        <v/>
      </c>
    </row>
    <row r="483">
      <c r="B483" s="56" t="n">
        <v>475</v>
      </c>
      <c r="C483" s="56">
        <f>ROUNDUP(B483/12,0)</f>
        <v/>
      </c>
      <c r="D483" s="52">
        <f>IF(AND(BANCO_OK_1,B483&lt;=MESES),IF(OR(OF_TIPO_1="Fija",C483&lt;=OF_ANIOS_INI_1),OF_TIN_1,MAX(0,EURIBOR+OF_DIF_1)),0)</f>
        <v/>
      </c>
      <c r="E483" s="58">
        <f>IF(AND(BANCO_OK_1,B483&lt;=MESES),IF(OR(B483=1,D483&lt;&gt;D482),PMT(D483/1200,MESES-B483+1,-H482),E482),0)</f>
        <v/>
      </c>
      <c r="F483" s="58">
        <f>H482*D483/1200</f>
        <v/>
      </c>
      <c r="G483" s="58">
        <f>IF(AND(BANCO_OK_1,B483&lt;=MESES),IF(OR(B483=MESES,E483-F483&gt;H482),H482,E483-F483),0)</f>
        <v/>
      </c>
      <c r="H483" s="58">
        <f>H482-G483</f>
        <v/>
      </c>
      <c r="I483" s="58">
        <f>IF(AND(BANCO_OK_1,B483&lt;=MESES),F483+G483+VINC_MES_1,0)</f>
        <v/>
      </c>
      <c r="J483" s="52">
        <f>IF(AND(BANCO_OK_2,B483&lt;=MESES),IF(OR(OF_TIPO_2="Fija",C483&lt;=OF_ANIOS_INI_2),OF_TIN_2,MAX(0,EURIBOR+OF_DIF_2)),0)</f>
        <v/>
      </c>
      <c r="K483" s="58">
        <f>IF(AND(BANCO_OK_2,B483&lt;=MESES),IF(OR(B483=1,J483&lt;&gt;J482),PMT(J483/1200,MESES-B483+1,-N482),K482),0)</f>
        <v/>
      </c>
      <c r="L483" s="58">
        <f>N482*J483/1200</f>
        <v/>
      </c>
      <c r="M483" s="58">
        <f>IF(AND(BANCO_OK_2,B483&lt;=MESES),IF(OR(B483=MESES,K483-L483&gt;N482),N482,K483-L483),0)</f>
        <v/>
      </c>
      <c r="N483" s="58">
        <f>N482-M483</f>
        <v/>
      </c>
      <c r="O483" s="58">
        <f>IF(AND(BANCO_OK_2,B483&lt;=MESES),L483+M483+VINC_MES_2,0)</f>
        <v/>
      </c>
      <c r="P483" s="52">
        <f>IF(AND(BANCO_OK_3,B483&lt;=MESES),IF(OR(OF_TIPO_3="Fija",C483&lt;=OF_ANIOS_INI_3),OF_TIN_3,MAX(0,EURIBOR+OF_DIF_3)),0)</f>
        <v/>
      </c>
      <c r="Q483" s="58">
        <f>IF(AND(BANCO_OK_3,B483&lt;=MESES),IF(OR(B483=1,P483&lt;&gt;P482),PMT(P483/1200,MESES-B483+1,-T482),Q482),0)</f>
        <v/>
      </c>
      <c r="R483" s="58">
        <f>T482*P483/1200</f>
        <v/>
      </c>
      <c r="S483" s="58">
        <f>IF(AND(BANCO_OK_3,B483&lt;=MESES),IF(OR(B483=MESES,Q483-R483&gt;T482),T482,Q483-R483),0)</f>
        <v/>
      </c>
      <c r="T483" s="58">
        <f>T482-S483</f>
        <v/>
      </c>
      <c r="U483" s="58">
        <f>IF(AND(BANCO_OK_3,B483&lt;=MESES),R483+S483+VINC_MES_3,0)</f>
        <v/>
      </c>
      <c r="V483" s="52">
        <f>IF(AND(BANCO_OK_4,B483&lt;=MESES),IF(OR(OF_TIPO_4="Fija",C483&lt;=OF_ANIOS_INI_4),OF_TIN_4,MAX(0,EURIBOR+OF_DIF_4)),0)</f>
        <v/>
      </c>
      <c r="W483" s="58">
        <f>IF(AND(BANCO_OK_4,B483&lt;=MESES),IF(OR(B483=1,V483&lt;&gt;V482),PMT(V483/1200,MESES-B483+1,-Z482),W482),0)</f>
        <v/>
      </c>
      <c r="X483" s="58">
        <f>Z482*V483/1200</f>
        <v/>
      </c>
      <c r="Y483" s="58">
        <f>IF(AND(BANCO_OK_4,B483&lt;=MESES),IF(OR(B483=MESES,W483-X483&gt;Z482),Z482,W483-X483),0)</f>
        <v/>
      </c>
      <c r="Z483" s="58">
        <f>Z482-Y483</f>
        <v/>
      </c>
      <c r="AA483" s="58">
        <f>IF(AND(BANCO_OK_4,B483&lt;=MESES),X483+Y483+VINC_MES_4,0)</f>
        <v/>
      </c>
    </row>
    <row r="484">
      <c r="B484" s="56" t="n">
        <v>476</v>
      </c>
      <c r="C484" s="56">
        <f>ROUNDUP(B484/12,0)</f>
        <v/>
      </c>
      <c r="D484" s="52">
        <f>IF(AND(BANCO_OK_1,B484&lt;=MESES),IF(OR(OF_TIPO_1="Fija",C484&lt;=OF_ANIOS_INI_1),OF_TIN_1,MAX(0,EURIBOR+OF_DIF_1)),0)</f>
        <v/>
      </c>
      <c r="E484" s="58">
        <f>IF(AND(BANCO_OK_1,B484&lt;=MESES),IF(OR(B484=1,D484&lt;&gt;D483),PMT(D484/1200,MESES-B484+1,-H483),E483),0)</f>
        <v/>
      </c>
      <c r="F484" s="58">
        <f>H483*D484/1200</f>
        <v/>
      </c>
      <c r="G484" s="58">
        <f>IF(AND(BANCO_OK_1,B484&lt;=MESES),IF(OR(B484=MESES,E484-F484&gt;H483),H483,E484-F484),0)</f>
        <v/>
      </c>
      <c r="H484" s="58">
        <f>H483-G484</f>
        <v/>
      </c>
      <c r="I484" s="58">
        <f>IF(AND(BANCO_OK_1,B484&lt;=MESES),F484+G484+VINC_MES_1,0)</f>
        <v/>
      </c>
      <c r="J484" s="52">
        <f>IF(AND(BANCO_OK_2,B484&lt;=MESES),IF(OR(OF_TIPO_2="Fija",C484&lt;=OF_ANIOS_INI_2),OF_TIN_2,MAX(0,EURIBOR+OF_DIF_2)),0)</f>
        <v/>
      </c>
      <c r="K484" s="58">
        <f>IF(AND(BANCO_OK_2,B484&lt;=MESES),IF(OR(B484=1,J484&lt;&gt;J483),PMT(J484/1200,MESES-B484+1,-N483),K483),0)</f>
        <v/>
      </c>
      <c r="L484" s="58">
        <f>N483*J484/1200</f>
        <v/>
      </c>
      <c r="M484" s="58">
        <f>IF(AND(BANCO_OK_2,B484&lt;=MESES),IF(OR(B484=MESES,K484-L484&gt;N483),N483,K484-L484),0)</f>
        <v/>
      </c>
      <c r="N484" s="58">
        <f>N483-M484</f>
        <v/>
      </c>
      <c r="O484" s="58">
        <f>IF(AND(BANCO_OK_2,B484&lt;=MESES),L484+M484+VINC_MES_2,0)</f>
        <v/>
      </c>
      <c r="P484" s="52">
        <f>IF(AND(BANCO_OK_3,B484&lt;=MESES),IF(OR(OF_TIPO_3="Fija",C484&lt;=OF_ANIOS_INI_3),OF_TIN_3,MAX(0,EURIBOR+OF_DIF_3)),0)</f>
        <v/>
      </c>
      <c r="Q484" s="58">
        <f>IF(AND(BANCO_OK_3,B484&lt;=MESES),IF(OR(B484=1,P484&lt;&gt;P483),PMT(P484/1200,MESES-B484+1,-T483),Q483),0)</f>
        <v/>
      </c>
      <c r="R484" s="58">
        <f>T483*P484/1200</f>
        <v/>
      </c>
      <c r="S484" s="58">
        <f>IF(AND(BANCO_OK_3,B484&lt;=MESES),IF(OR(B484=MESES,Q484-R484&gt;T483),T483,Q484-R484),0)</f>
        <v/>
      </c>
      <c r="T484" s="58">
        <f>T483-S484</f>
        <v/>
      </c>
      <c r="U484" s="58">
        <f>IF(AND(BANCO_OK_3,B484&lt;=MESES),R484+S484+VINC_MES_3,0)</f>
        <v/>
      </c>
      <c r="V484" s="52">
        <f>IF(AND(BANCO_OK_4,B484&lt;=MESES),IF(OR(OF_TIPO_4="Fija",C484&lt;=OF_ANIOS_INI_4),OF_TIN_4,MAX(0,EURIBOR+OF_DIF_4)),0)</f>
        <v/>
      </c>
      <c r="W484" s="58">
        <f>IF(AND(BANCO_OK_4,B484&lt;=MESES),IF(OR(B484=1,V484&lt;&gt;V483),PMT(V484/1200,MESES-B484+1,-Z483),W483),0)</f>
        <v/>
      </c>
      <c r="X484" s="58">
        <f>Z483*V484/1200</f>
        <v/>
      </c>
      <c r="Y484" s="58">
        <f>IF(AND(BANCO_OK_4,B484&lt;=MESES),IF(OR(B484=MESES,W484-X484&gt;Z483),Z483,W484-X484),0)</f>
        <v/>
      </c>
      <c r="Z484" s="58">
        <f>Z483-Y484</f>
        <v/>
      </c>
      <c r="AA484" s="58">
        <f>IF(AND(BANCO_OK_4,B484&lt;=MESES),X484+Y484+VINC_MES_4,0)</f>
        <v/>
      </c>
    </row>
    <row r="485">
      <c r="B485" s="56" t="n">
        <v>477</v>
      </c>
      <c r="C485" s="56">
        <f>ROUNDUP(B485/12,0)</f>
        <v/>
      </c>
      <c r="D485" s="52">
        <f>IF(AND(BANCO_OK_1,B485&lt;=MESES),IF(OR(OF_TIPO_1="Fija",C485&lt;=OF_ANIOS_INI_1),OF_TIN_1,MAX(0,EURIBOR+OF_DIF_1)),0)</f>
        <v/>
      </c>
      <c r="E485" s="58">
        <f>IF(AND(BANCO_OK_1,B485&lt;=MESES),IF(OR(B485=1,D485&lt;&gt;D484),PMT(D485/1200,MESES-B485+1,-H484),E484),0)</f>
        <v/>
      </c>
      <c r="F485" s="58">
        <f>H484*D485/1200</f>
        <v/>
      </c>
      <c r="G485" s="58">
        <f>IF(AND(BANCO_OK_1,B485&lt;=MESES),IF(OR(B485=MESES,E485-F485&gt;H484),H484,E485-F485),0)</f>
        <v/>
      </c>
      <c r="H485" s="58">
        <f>H484-G485</f>
        <v/>
      </c>
      <c r="I485" s="58">
        <f>IF(AND(BANCO_OK_1,B485&lt;=MESES),F485+G485+VINC_MES_1,0)</f>
        <v/>
      </c>
      <c r="J485" s="52">
        <f>IF(AND(BANCO_OK_2,B485&lt;=MESES),IF(OR(OF_TIPO_2="Fija",C485&lt;=OF_ANIOS_INI_2),OF_TIN_2,MAX(0,EURIBOR+OF_DIF_2)),0)</f>
        <v/>
      </c>
      <c r="K485" s="58">
        <f>IF(AND(BANCO_OK_2,B485&lt;=MESES),IF(OR(B485=1,J485&lt;&gt;J484),PMT(J485/1200,MESES-B485+1,-N484),K484),0)</f>
        <v/>
      </c>
      <c r="L485" s="58">
        <f>N484*J485/1200</f>
        <v/>
      </c>
      <c r="M485" s="58">
        <f>IF(AND(BANCO_OK_2,B485&lt;=MESES),IF(OR(B485=MESES,K485-L485&gt;N484),N484,K485-L485),0)</f>
        <v/>
      </c>
      <c r="N485" s="58">
        <f>N484-M485</f>
        <v/>
      </c>
      <c r="O485" s="58">
        <f>IF(AND(BANCO_OK_2,B485&lt;=MESES),L485+M485+VINC_MES_2,0)</f>
        <v/>
      </c>
      <c r="P485" s="52">
        <f>IF(AND(BANCO_OK_3,B485&lt;=MESES),IF(OR(OF_TIPO_3="Fija",C485&lt;=OF_ANIOS_INI_3),OF_TIN_3,MAX(0,EURIBOR+OF_DIF_3)),0)</f>
        <v/>
      </c>
      <c r="Q485" s="58">
        <f>IF(AND(BANCO_OK_3,B485&lt;=MESES),IF(OR(B485=1,P485&lt;&gt;P484),PMT(P485/1200,MESES-B485+1,-T484),Q484),0)</f>
        <v/>
      </c>
      <c r="R485" s="58">
        <f>T484*P485/1200</f>
        <v/>
      </c>
      <c r="S485" s="58">
        <f>IF(AND(BANCO_OK_3,B485&lt;=MESES),IF(OR(B485=MESES,Q485-R485&gt;T484),T484,Q485-R485),0)</f>
        <v/>
      </c>
      <c r="T485" s="58">
        <f>T484-S485</f>
        <v/>
      </c>
      <c r="U485" s="58">
        <f>IF(AND(BANCO_OK_3,B485&lt;=MESES),R485+S485+VINC_MES_3,0)</f>
        <v/>
      </c>
      <c r="V485" s="52">
        <f>IF(AND(BANCO_OK_4,B485&lt;=MESES),IF(OR(OF_TIPO_4="Fija",C485&lt;=OF_ANIOS_INI_4),OF_TIN_4,MAX(0,EURIBOR+OF_DIF_4)),0)</f>
        <v/>
      </c>
      <c r="W485" s="58">
        <f>IF(AND(BANCO_OK_4,B485&lt;=MESES),IF(OR(B485=1,V485&lt;&gt;V484),PMT(V485/1200,MESES-B485+1,-Z484),W484),0)</f>
        <v/>
      </c>
      <c r="X485" s="58">
        <f>Z484*V485/1200</f>
        <v/>
      </c>
      <c r="Y485" s="58">
        <f>IF(AND(BANCO_OK_4,B485&lt;=MESES),IF(OR(B485=MESES,W485-X485&gt;Z484),Z484,W485-X485),0)</f>
        <v/>
      </c>
      <c r="Z485" s="58">
        <f>Z484-Y485</f>
        <v/>
      </c>
      <c r="AA485" s="58">
        <f>IF(AND(BANCO_OK_4,B485&lt;=MESES),X485+Y485+VINC_MES_4,0)</f>
        <v/>
      </c>
    </row>
    <row r="486">
      <c r="B486" s="56" t="n">
        <v>478</v>
      </c>
      <c r="C486" s="56">
        <f>ROUNDUP(B486/12,0)</f>
        <v/>
      </c>
      <c r="D486" s="52">
        <f>IF(AND(BANCO_OK_1,B486&lt;=MESES),IF(OR(OF_TIPO_1="Fija",C486&lt;=OF_ANIOS_INI_1),OF_TIN_1,MAX(0,EURIBOR+OF_DIF_1)),0)</f>
        <v/>
      </c>
      <c r="E486" s="58">
        <f>IF(AND(BANCO_OK_1,B486&lt;=MESES),IF(OR(B486=1,D486&lt;&gt;D485),PMT(D486/1200,MESES-B486+1,-H485),E485),0)</f>
        <v/>
      </c>
      <c r="F486" s="58">
        <f>H485*D486/1200</f>
        <v/>
      </c>
      <c r="G486" s="58">
        <f>IF(AND(BANCO_OK_1,B486&lt;=MESES),IF(OR(B486=MESES,E486-F486&gt;H485),H485,E486-F486),0)</f>
        <v/>
      </c>
      <c r="H486" s="58">
        <f>H485-G486</f>
        <v/>
      </c>
      <c r="I486" s="58">
        <f>IF(AND(BANCO_OK_1,B486&lt;=MESES),F486+G486+VINC_MES_1,0)</f>
        <v/>
      </c>
      <c r="J486" s="52">
        <f>IF(AND(BANCO_OK_2,B486&lt;=MESES),IF(OR(OF_TIPO_2="Fija",C486&lt;=OF_ANIOS_INI_2),OF_TIN_2,MAX(0,EURIBOR+OF_DIF_2)),0)</f>
        <v/>
      </c>
      <c r="K486" s="58">
        <f>IF(AND(BANCO_OK_2,B486&lt;=MESES),IF(OR(B486=1,J486&lt;&gt;J485),PMT(J486/1200,MESES-B486+1,-N485),K485),0)</f>
        <v/>
      </c>
      <c r="L486" s="58">
        <f>N485*J486/1200</f>
        <v/>
      </c>
      <c r="M486" s="58">
        <f>IF(AND(BANCO_OK_2,B486&lt;=MESES),IF(OR(B486=MESES,K486-L486&gt;N485),N485,K486-L486),0)</f>
        <v/>
      </c>
      <c r="N486" s="58">
        <f>N485-M486</f>
        <v/>
      </c>
      <c r="O486" s="58">
        <f>IF(AND(BANCO_OK_2,B486&lt;=MESES),L486+M486+VINC_MES_2,0)</f>
        <v/>
      </c>
      <c r="P486" s="52">
        <f>IF(AND(BANCO_OK_3,B486&lt;=MESES),IF(OR(OF_TIPO_3="Fija",C486&lt;=OF_ANIOS_INI_3),OF_TIN_3,MAX(0,EURIBOR+OF_DIF_3)),0)</f>
        <v/>
      </c>
      <c r="Q486" s="58">
        <f>IF(AND(BANCO_OK_3,B486&lt;=MESES),IF(OR(B486=1,P486&lt;&gt;P485),PMT(P486/1200,MESES-B486+1,-T485),Q485),0)</f>
        <v/>
      </c>
      <c r="R486" s="58">
        <f>T485*P486/1200</f>
        <v/>
      </c>
      <c r="S486" s="58">
        <f>IF(AND(BANCO_OK_3,B486&lt;=MESES),IF(OR(B486=MESES,Q486-R486&gt;T485),T485,Q486-R486),0)</f>
        <v/>
      </c>
      <c r="T486" s="58">
        <f>T485-S486</f>
        <v/>
      </c>
      <c r="U486" s="58">
        <f>IF(AND(BANCO_OK_3,B486&lt;=MESES),R486+S486+VINC_MES_3,0)</f>
        <v/>
      </c>
      <c r="V486" s="52">
        <f>IF(AND(BANCO_OK_4,B486&lt;=MESES),IF(OR(OF_TIPO_4="Fija",C486&lt;=OF_ANIOS_INI_4),OF_TIN_4,MAX(0,EURIBOR+OF_DIF_4)),0)</f>
        <v/>
      </c>
      <c r="W486" s="58">
        <f>IF(AND(BANCO_OK_4,B486&lt;=MESES),IF(OR(B486=1,V486&lt;&gt;V485),PMT(V486/1200,MESES-B486+1,-Z485),W485),0)</f>
        <v/>
      </c>
      <c r="X486" s="58">
        <f>Z485*V486/1200</f>
        <v/>
      </c>
      <c r="Y486" s="58">
        <f>IF(AND(BANCO_OK_4,B486&lt;=MESES),IF(OR(B486=MESES,W486-X486&gt;Z485),Z485,W486-X486),0)</f>
        <v/>
      </c>
      <c r="Z486" s="58">
        <f>Z485-Y486</f>
        <v/>
      </c>
      <c r="AA486" s="58">
        <f>IF(AND(BANCO_OK_4,B486&lt;=MESES),X486+Y486+VINC_MES_4,0)</f>
        <v/>
      </c>
    </row>
    <row r="487">
      <c r="B487" s="56" t="n">
        <v>479</v>
      </c>
      <c r="C487" s="56">
        <f>ROUNDUP(B487/12,0)</f>
        <v/>
      </c>
      <c r="D487" s="52">
        <f>IF(AND(BANCO_OK_1,B487&lt;=MESES),IF(OR(OF_TIPO_1="Fija",C487&lt;=OF_ANIOS_INI_1),OF_TIN_1,MAX(0,EURIBOR+OF_DIF_1)),0)</f>
        <v/>
      </c>
      <c r="E487" s="58">
        <f>IF(AND(BANCO_OK_1,B487&lt;=MESES),IF(OR(B487=1,D487&lt;&gt;D486),PMT(D487/1200,MESES-B487+1,-H486),E486),0)</f>
        <v/>
      </c>
      <c r="F487" s="58">
        <f>H486*D487/1200</f>
        <v/>
      </c>
      <c r="G487" s="58">
        <f>IF(AND(BANCO_OK_1,B487&lt;=MESES),IF(OR(B487=MESES,E487-F487&gt;H486),H486,E487-F487),0)</f>
        <v/>
      </c>
      <c r="H487" s="58">
        <f>H486-G487</f>
        <v/>
      </c>
      <c r="I487" s="58">
        <f>IF(AND(BANCO_OK_1,B487&lt;=MESES),F487+G487+VINC_MES_1,0)</f>
        <v/>
      </c>
      <c r="J487" s="52">
        <f>IF(AND(BANCO_OK_2,B487&lt;=MESES),IF(OR(OF_TIPO_2="Fija",C487&lt;=OF_ANIOS_INI_2),OF_TIN_2,MAX(0,EURIBOR+OF_DIF_2)),0)</f>
        <v/>
      </c>
      <c r="K487" s="58">
        <f>IF(AND(BANCO_OK_2,B487&lt;=MESES),IF(OR(B487=1,J487&lt;&gt;J486),PMT(J487/1200,MESES-B487+1,-N486),K486),0)</f>
        <v/>
      </c>
      <c r="L487" s="58">
        <f>N486*J487/1200</f>
        <v/>
      </c>
      <c r="M487" s="58">
        <f>IF(AND(BANCO_OK_2,B487&lt;=MESES),IF(OR(B487=MESES,K487-L487&gt;N486),N486,K487-L487),0)</f>
        <v/>
      </c>
      <c r="N487" s="58">
        <f>N486-M487</f>
        <v/>
      </c>
      <c r="O487" s="58">
        <f>IF(AND(BANCO_OK_2,B487&lt;=MESES),L487+M487+VINC_MES_2,0)</f>
        <v/>
      </c>
      <c r="P487" s="52">
        <f>IF(AND(BANCO_OK_3,B487&lt;=MESES),IF(OR(OF_TIPO_3="Fija",C487&lt;=OF_ANIOS_INI_3),OF_TIN_3,MAX(0,EURIBOR+OF_DIF_3)),0)</f>
        <v/>
      </c>
      <c r="Q487" s="58">
        <f>IF(AND(BANCO_OK_3,B487&lt;=MESES),IF(OR(B487=1,P487&lt;&gt;P486),PMT(P487/1200,MESES-B487+1,-T486),Q486),0)</f>
        <v/>
      </c>
      <c r="R487" s="58">
        <f>T486*P487/1200</f>
        <v/>
      </c>
      <c r="S487" s="58">
        <f>IF(AND(BANCO_OK_3,B487&lt;=MESES),IF(OR(B487=MESES,Q487-R487&gt;T486),T486,Q487-R487),0)</f>
        <v/>
      </c>
      <c r="T487" s="58">
        <f>T486-S487</f>
        <v/>
      </c>
      <c r="U487" s="58">
        <f>IF(AND(BANCO_OK_3,B487&lt;=MESES),R487+S487+VINC_MES_3,0)</f>
        <v/>
      </c>
      <c r="V487" s="52">
        <f>IF(AND(BANCO_OK_4,B487&lt;=MESES),IF(OR(OF_TIPO_4="Fija",C487&lt;=OF_ANIOS_INI_4),OF_TIN_4,MAX(0,EURIBOR+OF_DIF_4)),0)</f>
        <v/>
      </c>
      <c r="W487" s="58">
        <f>IF(AND(BANCO_OK_4,B487&lt;=MESES),IF(OR(B487=1,V487&lt;&gt;V486),PMT(V487/1200,MESES-B487+1,-Z486),W486),0)</f>
        <v/>
      </c>
      <c r="X487" s="58">
        <f>Z486*V487/1200</f>
        <v/>
      </c>
      <c r="Y487" s="58">
        <f>IF(AND(BANCO_OK_4,B487&lt;=MESES),IF(OR(B487=MESES,W487-X487&gt;Z486),Z486,W487-X487),0)</f>
        <v/>
      </c>
      <c r="Z487" s="58">
        <f>Z486-Y487</f>
        <v/>
      </c>
      <c r="AA487" s="58">
        <f>IF(AND(BANCO_OK_4,B487&lt;=MESES),X487+Y487+VINC_MES_4,0)</f>
        <v/>
      </c>
    </row>
    <row r="488">
      <c r="B488" s="56" t="n">
        <v>480</v>
      </c>
      <c r="C488" s="56">
        <f>ROUNDUP(B488/12,0)</f>
        <v/>
      </c>
      <c r="D488" s="52">
        <f>IF(AND(BANCO_OK_1,B488&lt;=MESES),IF(OR(OF_TIPO_1="Fija",C488&lt;=OF_ANIOS_INI_1),OF_TIN_1,MAX(0,EURIBOR+OF_DIF_1)),0)</f>
        <v/>
      </c>
      <c r="E488" s="58">
        <f>IF(AND(BANCO_OK_1,B488&lt;=MESES),IF(OR(B488=1,D488&lt;&gt;D487),PMT(D488/1200,MESES-B488+1,-H487),E487),0)</f>
        <v/>
      </c>
      <c r="F488" s="58">
        <f>H487*D488/1200</f>
        <v/>
      </c>
      <c r="G488" s="58">
        <f>IF(AND(BANCO_OK_1,B488&lt;=MESES),IF(OR(B488=MESES,E488-F488&gt;H487),H487,E488-F488),0)</f>
        <v/>
      </c>
      <c r="H488" s="58">
        <f>H487-G488</f>
        <v/>
      </c>
      <c r="I488" s="58">
        <f>IF(AND(BANCO_OK_1,B488&lt;=MESES),F488+G488+VINC_MES_1,0)</f>
        <v/>
      </c>
      <c r="J488" s="52">
        <f>IF(AND(BANCO_OK_2,B488&lt;=MESES),IF(OR(OF_TIPO_2="Fija",C488&lt;=OF_ANIOS_INI_2),OF_TIN_2,MAX(0,EURIBOR+OF_DIF_2)),0)</f>
        <v/>
      </c>
      <c r="K488" s="58">
        <f>IF(AND(BANCO_OK_2,B488&lt;=MESES),IF(OR(B488=1,J488&lt;&gt;J487),PMT(J488/1200,MESES-B488+1,-N487),K487),0)</f>
        <v/>
      </c>
      <c r="L488" s="58">
        <f>N487*J488/1200</f>
        <v/>
      </c>
      <c r="M488" s="58">
        <f>IF(AND(BANCO_OK_2,B488&lt;=MESES),IF(OR(B488=MESES,K488-L488&gt;N487),N487,K488-L488),0)</f>
        <v/>
      </c>
      <c r="N488" s="58">
        <f>N487-M488</f>
        <v/>
      </c>
      <c r="O488" s="58">
        <f>IF(AND(BANCO_OK_2,B488&lt;=MESES),L488+M488+VINC_MES_2,0)</f>
        <v/>
      </c>
      <c r="P488" s="52">
        <f>IF(AND(BANCO_OK_3,B488&lt;=MESES),IF(OR(OF_TIPO_3="Fija",C488&lt;=OF_ANIOS_INI_3),OF_TIN_3,MAX(0,EURIBOR+OF_DIF_3)),0)</f>
        <v/>
      </c>
      <c r="Q488" s="58">
        <f>IF(AND(BANCO_OK_3,B488&lt;=MESES),IF(OR(B488=1,P488&lt;&gt;P487),PMT(P488/1200,MESES-B488+1,-T487),Q487),0)</f>
        <v/>
      </c>
      <c r="R488" s="58">
        <f>T487*P488/1200</f>
        <v/>
      </c>
      <c r="S488" s="58">
        <f>IF(AND(BANCO_OK_3,B488&lt;=MESES),IF(OR(B488=MESES,Q488-R488&gt;T487),T487,Q488-R488),0)</f>
        <v/>
      </c>
      <c r="T488" s="58">
        <f>T487-S488</f>
        <v/>
      </c>
      <c r="U488" s="58">
        <f>IF(AND(BANCO_OK_3,B488&lt;=MESES),R488+S488+VINC_MES_3,0)</f>
        <v/>
      </c>
      <c r="V488" s="52">
        <f>IF(AND(BANCO_OK_4,B488&lt;=MESES),IF(OR(OF_TIPO_4="Fija",C488&lt;=OF_ANIOS_INI_4),OF_TIN_4,MAX(0,EURIBOR+OF_DIF_4)),0)</f>
        <v/>
      </c>
      <c r="W488" s="58">
        <f>IF(AND(BANCO_OK_4,B488&lt;=MESES),IF(OR(B488=1,V488&lt;&gt;V487),PMT(V488/1200,MESES-B488+1,-Z487),W487),0)</f>
        <v/>
      </c>
      <c r="X488" s="58">
        <f>Z487*V488/1200</f>
        <v/>
      </c>
      <c r="Y488" s="58">
        <f>IF(AND(BANCO_OK_4,B488&lt;=MESES),IF(OR(B488=MESES,W488-X488&gt;Z487),Z487,W488-X488),0)</f>
        <v/>
      </c>
      <c r="Z488" s="58">
        <f>Z487-Y488</f>
        <v/>
      </c>
      <c r="AA488" s="58">
        <f>IF(AND(BANCO_OK_4,B488&lt;=MESES),X488+Y488+VINC_MES_4,0)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P6:U6"/>
    <mergeCell ref="V6:AA6"/>
    <mergeCell ref="J6:O6"/>
    <mergeCell ref="D6:I6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HogarClaro · &amp;A · &amp;P/&amp;N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4A5A5E"/>
    <outlinePr summaryBelow="1" summaryRight="1"/>
    <pageSetUpPr fitToPage="1"/>
  </sheetPr>
  <dimension ref="A1:D18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58" customWidth="1" min="4" max="4"/>
    <col width="3" customWidth="1" min="5" max="5"/>
  </cols>
  <sheetData>
    <row r="1" ht="8" customHeight="1">
      <c r="A1" s="1" t="n"/>
      <c r="B1" s="1" t="n"/>
      <c r="C1" s="1" t="n"/>
      <c r="D1" s="1" t="n"/>
    </row>
    <row r="2" ht="34" customHeight="1">
      <c r="A2" s="1" t="n"/>
      <c r="B2" s="14" t="inlineStr">
        <is>
          <t>Parámetros</t>
        </is>
      </c>
      <c r="C2" s="1" t="n"/>
      <c r="D2" s="15" t="inlineStr">
        <is>
          <t>HogarClaro</t>
        </is>
      </c>
    </row>
    <row r="3" ht="20" customHeight="1">
      <c r="A3" s="1" t="n"/>
      <c r="B3" s="16" t="inlineStr">
        <is>
          <t>Cifras de params/es/2027/vivienda.json a 2026-10-30.</t>
        </is>
      </c>
      <c r="C3" s="1" t="n"/>
      <c r="D3" s="1" t="n"/>
    </row>
    <row r="4" ht="4" customHeight="1">
      <c r="A4" s="6" t="n"/>
      <c r="B4" s="6" t="n"/>
      <c r="C4" s="6" t="n"/>
      <c r="D4" s="6" t="n"/>
    </row>
    <row r="6" ht="30" customHeight="1">
      <c r="B6" s="21" t="inlineStr">
        <is>
          <t>Concepto</t>
        </is>
      </c>
      <c r="C6" s="21" t="inlineStr">
        <is>
          <t>Valor</t>
        </is>
      </c>
      <c r="D6" s="21" t="inlineStr">
        <is>
          <t>Fuente oficial</t>
        </is>
      </c>
    </row>
    <row r="7" ht="22" customHeight="1">
      <c r="B7" s="17" t="inlineStr">
        <is>
          <t>Euríbor a 12 meses</t>
        </is>
      </c>
      <c r="C7" s="18" t="n"/>
      <c r="D7" s="18" t="n"/>
    </row>
    <row r="8" ht="24" customHeight="1">
      <c r="B8" s="59" t="inlineStr">
        <is>
          <t>Media mensual de septiembre de 2026 (%)</t>
        </is>
      </c>
      <c r="C8" s="52" t="n">
        <v>3.247</v>
      </c>
      <c r="D8" s="60" t="inlineStr">
        <is>
          <t>Banco de España · Tipos de interés de referencia oficiales del mercado hipotecario (publicación mensual en el BOE)</t>
        </is>
      </c>
    </row>
    <row r="9" ht="22" customHeight="1">
      <c r="B9" s="17" t="inlineStr">
        <is>
          <t>Comisión por amortización anticipada (topes legales)</t>
        </is>
      </c>
      <c r="C9" s="18" t="n"/>
      <c r="D9" s="18" t="n"/>
    </row>
    <row r="10" ht="24" customHeight="1">
      <c r="B10" s="59" t="inlineStr">
        <is>
          <t>Tipo fijo: primeros 10 años (% del capital amortizado)</t>
        </is>
      </c>
      <c r="C10" s="54" t="n">
        <v>2</v>
      </c>
      <c r="D10" s="60" t="inlineStr">
        <is>
          <t>BOE · Ley 5/2019, art. 23</t>
        </is>
      </c>
    </row>
    <row r="11" ht="16" customHeight="1">
      <c r="B11" s="59" t="inlineStr">
        <is>
          <t>Tipo fijo: después de 10 años (%)</t>
        </is>
      </c>
      <c r="C11" s="54" t="n">
        <v>1.5</v>
      </c>
      <c r="D11" s="60" t="inlineStr">
        <is>
          <t>BOE · Ley 5/2019, art. 23</t>
        </is>
      </c>
    </row>
    <row r="12" ht="16" customHeight="1">
      <c r="B12" s="59" t="inlineStr">
        <is>
          <t>Variable, opción A: tope (%)</t>
        </is>
      </c>
      <c r="C12" s="54" t="n">
        <v>0.25</v>
      </c>
      <c r="D12" s="60" t="inlineStr">
        <is>
          <t>BOE · Ley 5/2019, art. 23</t>
        </is>
      </c>
    </row>
    <row r="13" ht="16" customHeight="1">
      <c r="B13" s="59" t="inlineStr">
        <is>
          <t>Variable, opción A: durante los primeros (años)</t>
        </is>
      </c>
      <c r="C13" s="45" t="n">
        <v>3</v>
      </c>
      <c r="D13" s="60" t="inlineStr">
        <is>
          <t>BOE · Ley 5/2019, art. 23</t>
        </is>
      </c>
    </row>
    <row r="14" ht="16" customHeight="1">
      <c r="B14" s="59" t="inlineStr">
        <is>
          <t>Variable, opción B: tope (%)</t>
        </is>
      </c>
      <c r="C14" s="54" t="n">
        <v>0.15</v>
      </c>
      <c r="D14" s="60" t="inlineStr">
        <is>
          <t>BOE · Ley 5/2019, art. 23</t>
        </is>
      </c>
    </row>
    <row r="15" ht="16" customHeight="1">
      <c r="B15" s="59" t="inlineStr">
        <is>
          <t>Variable, opción B: durante los primeros (años)</t>
        </is>
      </c>
      <c r="C15" s="45" t="n">
        <v>5</v>
      </c>
      <c r="D15" s="60" t="inlineStr">
        <is>
          <t>BOE · Ley 5/2019, art. 23</t>
        </is>
      </c>
    </row>
    <row r="16" ht="16" customHeight="1">
      <c r="B16" s="59" t="inlineStr">
        <is>
          <t>Variable: después (%)</t>
        </is>
      </c>
      <c r="C16" s="54" t="n">
        <v>0</v>
      </c>
      <c r="D16" s="60" t="inlineStr">
        <is>
          <t>BOE · Ley 5/2019, art. 23</t>
        </is>
      </c>
    </row>
    <row r="17" ht="22" customHeight="1">
      <c r="B17" s="17" t="inlineStr">
        <is>
          <t>Criterio de los bancos (no es una norma)</t>
        </is>
      </c>
      <c r="C17" s="18" t="n"/>
      <c r="D17" s="18" t="n"/>
    </row>
    <row r="18" ht="24" customHeight="1">
      <c r="B18" s="59" t="inlineStr">
        <is>
          <t>Esfuerzo máximo habitual: cuota sobre ingresos netos (%)</t>
        </is>
      </c>
      <c r="C18" s="45" t="n">
        <v>35</v>
      </c>
      <c r="D18" s="61" t="inlineStr">
        <is>
          <t>Práctica habitual de la banca; no lo fija ninguna norma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hyperlinks>
    <hyperlink xmlns:r="http://schemas.openxmlformats.org/officeDocument/2006/relationships" ref="D8" r:id="rId1"/>
    <hyperlink xmlns:r="http://schemas.openxmlformats.org/officeDocument/2006/relationships" ref="D10" r:id="rId2"/>
    <hyperlink xmlns:r="http://schemas.openxmlformats.org/officeDocument/2006/relationships" ref="D11" r:id="rId3"/>
    <hyperlink xmlns:r="http://schemas.openxmlformats.org/officeDocument/2006/relationships" ref="D12" r:id="rId4"/>
    <hyperlink xmlns:r="http://schemas.openxmlformats.org/officeDocument/2006/relationships" ref="D13" r:id="rId5"/>
    <hyperlink xmlns:r="http://schemas.openxmlformats.org/officeDocument/2006/relationships" ref="D14" r:id="rId6"/>
    <hyperlink xmlns:r="http://schemas.openxmlformats.org/officeDocument/2006/relationships" ref="D15" r:id="rId7"/>
    <hyperlink xmlns:r="http://schemas.openxmlformats.org/officeDocument/2006/relationships" ref="D16" r:id="rId8"/>
  </hyperlinks>
  <printOptions horizontalCentered="1"/>
  <pageMargins left="0.4" right="0.4" top="0.5" bottom="0.5" header="0.5" footer="0.5"/>
  <pageSetup orientation="landscape" paperSize="9" fitToHeight="0" fitToWidth="1"/>
  <headerFooter>
    <oddHeader/>
    <oddFooter>&amp;C&amp;8 HogarClaro · &amp;A ·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Familia Claro</dc:creator>
  <dcterms:created xmlns:dcterms="http://purl.org/dc/terms/" xmlns:xsi="http://www.w3.org/2001/XMLSchema-instance" xsi:type="dcterms:W3CDTF">2026-10-31T04:19:22Z</dcterms:created>
  <dcterms:modified xmlns:dcterms="http://purl.org/dc/terms/" xmlns:xsi="http://www.w3.org/2001/XMLSchema-instance" xsi:type="dcterms:W3CDTF">2026-10-31T04:19:24Z</dcterms:modified>
  <cp:lastModifiedBy>Familia Claro</cp:lastModifiedBy>
</cp:coreProperties>
</file>