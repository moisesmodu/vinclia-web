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Panel" sheetId="3" state="visible" r:id="rId3"/>
    <sheet xmlns:r="http://schemas.openxmlformats.org/officeDocument/2006/relationships" name="Mis datos" sheetId="4" state="visible" r:id="rId4"/>
    <sheet xmlns:r="http://schemas.openxmlformats.org/officeDocument/2006/relationships" name="Ingresos" sheetId="5" state="visible" r:id="rId5"/>
    <sheet xmlns:r="http://schemas.openxmlformats.org/officeDocument/2006/relationships" name="Gastos" sheetId="6" state="visible" r:id="rId6"/>
    <sheet xmlns:r="http://schemas.openxmlformats.org/officeDocument/2006/relationships" name="Modelo 303" sheetId="7" state="visible" r:id="rId7"/>
    <sheet xmlns:r="http://schemas.openxmlformats.org/officeDocument/2006/relationships" name="Modelo 130" sheetId="8" state="visible" r:id="rId8"/>
    <sheet xmlns:r="http://schemas.openxmlformats.org/officeDocument/2006/relationships" name="Cuota autónomos" sheetId="9" state="visible" r:id="rId9"/>
    <sheet xmlns:r="http://schemas.openxmlformats.org/officeDocument/2006/relationships" name="Renta 2027" sheetId="10" state="visible" r:id="rId10"/>
    <sheet xmlns:r="http://schemas.openxmlformats.org/officeDocument/2006/relationships" name="Calendario 2027" sheetId="11" state="visible" r:id="rId11"/>
    <sheet xmlns:r="http://schemas.openxmlformats.org/officeDocument/2006/relationships" name="Parámetros" sheetId="12" state="visible" r:id="rId12"/>
    <sheet xmlns:r="http://schemas.openxmlformats.org/officeDocument/2006/relationships" name="Escalas IRPF" sheetId="13" state="visible" r:id="rId13"/>
  </sheets>
  <definedNames>
    <definedName name="ANIO">'Parámetros'!$C$8</definedName>
    <definedName name="IVA_GENERAL">'Parámetros'!$C$10</definedName>
    <definedName name="IVA_REDUCIDO">'Parámetros'!$C$11</definedName>
    <definedName name="IVA_SUPERREDUCIDO">'Parámetros'!$C$12</definedName>
    <definedName name="PCT_130">'Parámetros'!$C$14</definedName>
    <definedName name="MIN130_H1">'Parámetros'!$C$15</definedName>
    <definedName name="MIN130_E1">'Parámetros'!$C$16</definedName>
    <definedName name="MIN130_H2">'Parámetros'!$C$17</definedName>
    <definedName name="MIN130_E2">'Parámetros'!$C$18</definedName>
    <definedName name="MIN130_H3">'Parámetros'!$C$19</definedName>
    <definedName name="MIN130_E3">'Parámetros'!$C$20</definedName>
    <definedName name="MIN130_H4">'Parámetros'!$C$21</definedName>
    <definedName name="MIN130_E4">'Parámetros'!$C$22</definedName>
    <definedName name="TIPO_RETA">'Parámetros'!$C$24</definedName>
    <definedName name="TARIFA_PLANA_EUR">'Parámetros'!$C$25</definedName>
    <definedName name="GASTOS_GENERICOS">'Parámetros'!$C$26</definedName>
    <definedName name="DJ_PCT">'Parámetros'!$C$28</definedName>
    <definedName name="DJ_MAX">'Parámetros'!$C$29</definedName>
    <definedName name="MIN_PERSONAL">'Parámetros'!$C$31</definedName>
    <definedName name="MIN_65">'Parámetros'!$C$32</definedName>
    <definedName name="MIN_75">'Parámetros'!$C$33</definedName>
    <definedName name="MIN_DESC1">'Parámetros'!$C$34</definedName>
    <definedName name="MIN_DESC2">'Parámetros'!$C$35</definedName>
    <definedName name="MIN_DESC3">'Parámetros'!$C$36</definedName>
    <definedName name="MIN_DESC4">'Parámetros'!$C$37</definedName>
    <definedName name="MIN_MENOR3">'Parámetros'!$C$38</definedName>
    <definedName name="ESC_COD">'Escalas IRPF'!$B$7:$B$123</definedName>
    <definedName name="ESC_DESDE">'Escalas IRPF'!$D$7:$D$123</definedName>
    <definedName name="ESC_DELTA">'Escalas IRPF'!$F$7:$F$123</definedName>
    <definedName name="CCAA_COD">'Escalas IRPF'!$H$7:$H$22</definedName>
    <definedName name="CCAA_NOM">'Escalas IRPF'!$I$7:$I$22</definedName>
    <definedName name="CCAA_MINP">'Escalas IRPF'!$J$7:$J$22</definedName>
    <definedName name="CCAA_BONIF">'Escalas IRPF'!$K$7:$K$22</definedName>
    <definedName name="TITULAR">'Mis datos'!$C$9</definedName>
    <definedName name="NIF_TITULAR">'Mis datos'!$C$10</definedName>
    <definedName name="CCAA_NOMBRE">'Mis datos'!$C$12</definedName>
    <definedName name="EDAD">'Mis datos'!$C$13</definedName>
    <definedName name="HIJOS">'Mis datos'!$C$14</definedName>
    <definedName name="HIJOS3">'Mis datos'!$C$15</definedName>
    <definedName name="HIJOS100">'Mis datos'!$C$16</definedName>
    <definedName name="TARIFA_PLANA">'Mis datos'!$C$19</definedName>
    <definedName name="PRESENTA_130">'Mis datos'!$C$20</definedName>
    <definedName name="REND_ANTERIOR">'Mis datos'!$C$21</definedName>
    <definedName name="COMPENSAR_INICIAL">'Mis datos'!$C$22</definedName>
    <definedName name="CCAA">'Mis datos'!$C$24</definedName>
    <definedName name="REND_PREVISTO">'Cuota autónomos'!$C$9</definedName>
    <definedName name="COMPUTABLE_MES">'Cuota autónomos'!$C$10</definedName>
    <definedName name="TRAMO">'Cuota autónomos'!$C$11</definedName>
    <definedName name="BASE_MIN">'Cuota autónomos'!$C$12</definedName>
    <definedName name="CUOTA_PREVISTA">'Cuota autónomos'!$C$14</definedName>
    <definedName name="CUOTA_MES">'Cuota autónomos'!$E$18:$E$29</definedName>
    <definedName name="CUOTA_TRIM">'Cuota autónomos'!$F$18:$F$29</definedName>
    <definedName name="CUOTA_ANUAL">'Cuota autónomos'!$E$30</definedName>
    <definedName name="T_RMIN">'Cuota autónomos'!$C$44:$C$58</definedName>
    <definedName name="T_RMAX">'Cuota autónomos'!$D$44:$D$58</definedName>
    <definedName name="T_BMIN">'Cuota autónomos'!$E$44:$E$58</definedName>
    <definedName name="T_BMAX">'Cuota autónomos'!$F$44:$F$58</definedName>
    <definedName name="RES303_1">'Modelo 303'!$D$19</definedName>
    <definedName name="PAGO303_1">'Modelo 303'!$D$21</definedName>
    <definedName name="RES303_2">'Modelo 303'!$E$19</definedName>
    <definedName name="PAGO303_2">'Modelo 303'!$E$21</definedName>
    <definedName name="RES303_3">'Modelo 303'!$F$19</definedName>
    <definedName name="PAGO303_3">'Modelo 303'!$F$21</definedName>
    <definedName name="RES303_4">'Modelo 303'!$G$19</definedName>
    <definedName name="PAGO303_4">'Modelo 303'!$G$21</definedName>
    <definedName name="RES130_1">'Modelo 130'!$D$16</definedName>
    <definedName name="PAGO130_1">'Modelo 130'!$D$17</definedName>
    <definedName name="RES130_2">'Modelo 130'!$E$16</definedName>
    <definedName name="PAGO130_2">'Modelo 130'!$E$17</definedName>
    <definedName name="RES130_3">'Modelo 130'!$F$16</definedName>
    <definedName name="PAGO130_3">'Modelo 130'!$F$17</definedName>
    <definedName name="RES130_4">'Modelo 130'!$G$16</definedName>
    <definedName name="PAGO130_4">'Modelo 130'!$G$17</definedName>
    <definedName name="RENTA_TOTAL">'Renta 2027'!$C$25</definedName>
    <definedName name="RENTA_RESULTADO">'Renta 2027'!$C$31</definedName>
    <definedName name="RENTA_BASE">'Renta 2027'!$C$14</definedName>
    <definedName name="RENTA_NETO">'Renta 2027'!$C$12</definedName>
    <definedName name="_xlnm._FilterDatabase" localSheetId="4" hidden="1">'Ingresos'!$B$7:$N$407</definedName>
    <definedName name="_xlnm._FilterDatabase" localSheetId="5" hidden="1">'Gastos'!$B$7:$P$407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 &quot;€&quot;"/>
    <numFmt numFmtId="165" formatCode="#,##0.00 &quot;€&quot;"/>
    <numFmt numFmtId="166" formatCode="dd/mm/yyyy"/>
    <numFmt numFmtId="167" formatCode="yyyy-mm-dd"/>
    <numFmt numFmtId="168" formatCode="0&quot; %&quot;"/>
    <numFmt numFmtId="169" formatCode="0.00&quot; %&quot;"/>
    <numFmt numFmtId="170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D166"/>
      <sz val="11"/>
    </font>
    <font>
      <name val="Arial"/>
      <b val="1"/>
      <color rgb="00FFFFFF"/>
      <sz val="26"/>
    </font>
    <font>
      <name val="Arial"/>
      <color rgb="00A1DAD1"/>
      <sz val="12"/>
    </font>
    <font>
      <name val="Arial"/>
      <b val="1"/>
      <color rgb="00FFD166"/>
      <sz val="10"/>
    </font>
    <font>
      <name val="Arial"/>
      <b val="1"/>
      <color rgb="000C6E60"/>
      <sz val="13"/>
    </font>
    <font>
      <name val="Arial"/>
      <b val="1"/>
      <color rgb="00FFFFFF"/>
      <sz val="12"/>
    </font>
    <font>
      <name val="Arial"/>
      <color rgb="000B1F17"/>
      <sz val="10"/>
    </font>
    <font>
      <name val="Arial"/>
      <b val="1"/>
      <color rgb="000C6E60"/>
      <sz val="10"/>
      <u val="single"/>
    </font>
    <font>
      <name val="Arial"/>
      <color rgb="004A5C58"/>
      <sz val="10"/>
    </font>
    <font>
      <name val="Arial"/>
      <color rgb="004A5C58"/>
      <sz val="9"/>
    </font>
    <font>
      <name val="Arial"/>
      <b val="1"/>
      <color rgb="00FFFFFF"/>
      <sz val="18"/>
    </font>
    <font>
      <name val="Arial"/>
      <color rgb="0095D6CB"/>
      <sz val="10"/>
    </font>
    <font>
      <name val="Arial"/>
      <b val="1"/>
      <color rgb="000C6E60"/>
      <sz val="12"/>
    </font>
    <font>
      <name val="Arial"/>
      <b val="1"/>
      <color rgb="0014A38B"/>
      <sz val="10"/>
    </font>
    <font>
      <name val="Arial"/>
      <b val="1"/>
      <color rgb="00FFFFFF"/>
      <sz val="9"/>
    </font>
    <font>
      <name val="Arial"/>
      <color rgb="004A5C58"/>
      <sz val="8"/>
    </font>
    <font>
      <name val="Arial"/>
      <color rgb="000C6E60"/>
      <sz val="8"/>
      <u val="single"/>
    </font>
    <font>
      <name val="Arial"/>
      <b val="1"/>
      <color rgb="001F3B57"/>
      <sz val="10"/>
    </font>
    <font>
      <name val="Arial"/>
      <b val="1"/>
      <color rgb="000B1F17"/>
      <sz val="10"/>
    </font>
    <font>
      <name val="Arial"/>
      <b val="1"/>
      <color rgb="000C6E60"/>
      <sz val="10"/>
    </font>
    <font>
      <name val="Arial"/>
      <color rgb="000B1F17"/>
      <sz val="9"/>
    </font>
    <font>
      <name val="Arial"/>
      <i val="1"/>
      <color rgb="004A5C58"/>
      <sz val="9"/>
    </font>
  </fonts>
  <fills count="7">
    <fill>
      <patternFill/>
    </fill>
    <fill>
      <patternFill patternType="gray125"/>
    </fill>
    <fill>
      <patternFill patternType="solid">
        <fgColor rgb="0009564B"/>
        <bgColor rgb="0009564B"/>
      </patternFill>
    </fill>
    <fill>
      <patternFill patternType="solid">
        <fgColor rgb="000C6E60"/>
        <bgColor rgb="000C6E60"/>
      </patternFill>
    </fill>
    <fill>
      <patternFill patternType="solid">
        <fgColor rgb="0014A38B"/>
        <bgColor rgb="0014A38B"/>
      </patternFill>
    </fill>
    <fill>
      <patternFill patternType="solid">
        <fgColor rgb="00F1F7F6"/>
        <bgColor rgb="00F1F7F6"/>
      </patternFill>
    </fill>
    <fill>
      <patternFill patternType="solid">
        <fgColor rgb="00FFF2D4"/>
        <bgColor rgb="00FFF2D4"/>
      </patternFill>
    </fill>
  </fills>
  <borders count="9">
    <border>
      <left/>
      <right/>
      <top/>
      <bottom/>
      <diagonal/>
    </border>
    <border>
      <bottom style="medium">
        <color rgb="0014A38B"/>
      </bottom>
    </border>
    <border>
      <left style="thin">
        <color rgb="00D7E4E1"/>
      </left>
      <right style="thin">
        <color rgb="00D7E4E1"/>
      </right>
      <top style="thin">
        <color rgb="00D7E4E1"/>
      </top>
      <bottom style="thin">
        <color rgb="00D7E4E1"/>
      </bottom>
    </border>
    <border>
      <left style="thin">
        <color rgb="0014A38B"/>
      </left>
      <right style="thin">
        <color rgb="0014A38B"/>
      </right>
      <top style="thin">
        <color rgb="0014A38B"/>
      </top>
      <bottom style="thin">
        <color rgb="0014A38B"/>
      </bottom>
    </border>
    <border>
      <left style="medium">
        <color rgb="000C6E60"/>
      </left>
      <right style="medium">
        <color rgb="000C6E60"/>
      </right>
      <top style="medium">
        <color rgb="000C6E60"/>
      </top>
      <bottom style="medium">
        <color rgb="000C6E60"/>
      </bottom>
    </border>
    <border>
      <left/>
      <right/>
      <top style="thin">
        <color rgb="00D7E4E1"/>
      </top>
      <bottom/>
      <diagonal/>
    </border>
    <border>
      <left/>
      <right style="thin">
        <color rgb="00D7E4E1"/>
      </right>
      <top style="thin">
        <color rgb="00D7E4E1"/>
      </top>
      <bottom/>
      <diagonal/>
    </border>
    <border>
      <left/>
      <right/>
      <top style="thin">
        <color rgb="00D7E4E1"/>
      </top>
      <bottom style="thin">
        <color rgb="00D7E4E1"/>
      </bottom>
      <diagonal/>
    </border>
    <border>
      <left/>
      <right style="thin">
        <color rgb="00D7E4E1"/>
      </right>
      <top style="thin">
        <color rgb="00D7E4E1"/>
      </top>
      <bottom style="thin">
        <color rgb="00D7E4E1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0" fillId="5" borderId="1" pivotButton="0" quotePrefix="0" xfId="0"/>
    <xf numFmtId="0" fontId="14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15" fillId="3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right" vertical="center"/>
    </xf>
    <xf numFmtId="165" fontId="19" fillId="0" borderId="2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 wrapText="1"/>
    </xf>
    <xf numFmtId="165" fontId="13" fillId="5" borderId="4" applyAlignment="1" pivotButton="0" quotePrefix="0" xfId="0">
      <alignment horizontal="right" vertical="center"/>
    </xf>
    <xf numFmtId="166" fontId="7" fillId="0" borderId="2" applyAlignment="1" pivotButton="0" quotePrefix="0" xfId="0">
      <alignment horizontal="center" vertical="center"/>
    </xf>
    <xf numFmtId="9" fontId="7" fillId="0" borderId="2" applyAlignment="1" pivotButton="0" quotePrefix="0" xfId="0">
      <alignment horizontal="right" vertical="center"/>
    </xf>
    <xf numFmtId="170" fontId="13" fillId="5" borderId="4" applyAlignment="1" pivotButton="0" quotePrefix="0" xfId="0">
      <alignment horizontal="right" vertical="center"/>
    </xf>
    <xf numFmtId="0" fontId="22" fillId="0" borderId="0" applyAlignment="1" pivotButton="0" quotePrefix="0" xfId="0">
      <alignment vertical="top" wrapText="1"/>
    </xf>
    <xf numFmtId="0" fontId="18" fillId="6" borderId="3" applyAlignment="1" applyProtection="1" pivotButton="0" quotePrefix="0" xfId="0">
      <alignment horizontal="center" vertical="center"/>
      <protection locked="0" hidden="0"/>
    </xf>
    <xf numFmtId="0" fontId="18" fillId="6" borderId="3" applyAlignment="1" applyProtection="1" pivotButton="0" quotePrefix="0" xfId="0">
      <alignment horizontal="left" vertical="center"/>
      <protection locked="0" hidden="0"/>
    </xf>
    <xf numFmtId="0" fontId="18" fillId="6" borderId="3" applyAlignment="1" applyProtection="1" pivotButton="0" quotePrefix="0" xfId="0">
      <alignment horizontal="right" vertical="center"/>
      <protection locked="0" hidden="0"/>
    </xf>
    <xf numFmtId="165" fontId="18" fillId="6" borderId="3" applyAlignment="1" applyProtection="1" pivotButton="0" quotePrefix="0" xfId="0">
      <alignment horizontal="right" vertical="center"/>
      <protection locked="0" hidden="0"/>
    </xf>
    <xf numFmtId="0" fontId="10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6" fontId="18" fillId="6" borderId="3" applyAlignment="1" applyProtection="1" pivotButton="0" quotePrefix="0" xfId="0">
      <alignment horizontal="right" vertical="center"/>
      <protection locked="0" hidden="0"/>
    </xf>
    <xf numFmtId="166" fontId="19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" fontId="13" fillId="5" borderId="4" applyAlignment="1" pivotButton="0" quotePrefix="0" xfId="0">
      <alignment horizontal="right" vertical="center"/>
    </xf>
    <xf numFmtId="0" fontId="19" fillId="0" borderId="2" applyAlignment="1" pivotButton="0" quotePrefix="0" xfId="0">
      <alignment horizontal="left" vertical="center"/>
    </xf>
    <xf numFmtId="168" fontId="7" fillId="0" borderId="2" applyAlignment="1" pivotButton="0" quotePrefix="0" xfId="0">
      <alignment horizontal="right" vertical="center"/>
    </xf>
    <xf numFmtId="169" fontId="7" fillId="0" borderId="2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7">
    <dxf>
      <fill>
        <patternFill patternType="solid">
          <fgColor rgb="00F8D1D2"/>
          <bgColor rgb="00F8D1D2"/>
        </patternFill>
      </fill>
    </dxf>
    <dxf>
      <fill>
        <patternFill patternType="solid">
          <fgColor rgb="00EEEEEE"/>
          <bgColor rgb="00EEEEEE"/>
        </patternFill>
      </fill>
    </dxf>
    <dxf>
      <fill>
        <patternFill patternType="solid">
          <fgColor rgb="00D0EDE8"/>
          <bgColor rgb="00D0EDE8"/>
        </patternFill>
      </fill>
    </dxf>
    <dxf>
      <font>
        <name val="Arial"/>
        <b val="1"/>
      </font>
      <fill>
        <patternFill patternType="solid">
          <fgColor rgb="00FFEDC2"/>
          <bgColor rgb="00FFEDC2"/>
        </patternFill>
      </fill>
    </dxf>
    <dxf>
      <font>
        <name val="Arial"/>
        <color rgb="006B7B74"/>
      </font>
      <fill>
        <patternFill patternType="solid">
          <fgColor rgb="00E9F5EE"/>
          <bgColor rgb="00E9F5EE"/>
        </patternFill>
      </fill>
    </dxf>
    <dxf>
      <fill>
        <patternFill patternType="solid">
          <fgColor rgb="00FADEDF"/>
          <bgColor rgb="00FADEDF"/>
        </patternFill>
      </fill>
    </dxf>
    <dxf>
      <font>
        <name val="Arial"/>
        <b val="1"/>
      </font>
      <fill>
        <patternFill patternType="solid">
          <fgColor rgb="00FFE8B2"/>
          <bgColor rgb="00FF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nel'!A1" TargetMode="External" Id="rId1"/><Relationship Type="http://schemas.openxmlformats.org/officeDocument/2006/relationships/hyperlink" Target="#'Mis datos'!A1" TargetMode="External" Id="rId2"/><Relationship Type="http://schemas.openxmlformats.org/officeDocument/2006/relationships/hyperlink" Target="#'Ingresos'!A1" TargetMode="External" Id="rId3"/><Relationship Type="http://schemas.openxmlformats.org/officeDocument/2006/relationships/hyperlink" Target="#'Gastos'!A1" TargetMode="External" Id="rId4"/><Relationship Type="http://schemas.openxmlformats.org/officeDocument/2006/relationships/hyperlink" Target="#'Modelo 303'!A1" TargetMode="External" Id="rId5"/><Relationship Type="http://schemas.openxmlformats.org/officeDocument/2006/relationships/hyperlink" Target="#'Modelo 130'!A1" TargetMode="External" Id="rId6"/><Relationship Type="http://schemas.openxmlformats.org/officeDocument/2006/relationships/hyperlink" Target="#'Cuota aut&#243;nomos'!A1" TargetMode="External" Id="rId7"/><Relationship Type="http://schemas.openxmlformats.org/officeDocument/2006/relationships/hyperlink" Target="#'Renta 2027'!A1" TargetMode="External" Id="rId8"/><Relationship Type="http://schemas.openxmlformats.org/officeDocument/2006/relationships/hyperlink" Target="#'Calendario 2027'!A1" TargetMode="External" Id="rId9"/><Relationship Type="http://schemas.openxmlformats.org/officeDocument/2006/relationships/hyperlink" Target="#'Par&#225;metros'!A1" TargetMode="External" Id="rId10"/><Relationship Type="http://schemas.openxmlformats.org/officeDocument/2006/relationships/hyperlink" Target="#'Escalas IRPF'!A1" TargetMode="External" Id="rId11"/><Relationship Type="http://schemas.openxmlformats.org/officeDocument/2006/relationships/hyperlink" Target="https://impuestoclaro.vercel.app/kit-autonomo-2027/" TargetMode="External" Id="rId12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boe.es/buscar/act.php?id=BOE-A-1992-28740" TargetMode="External" Id="rId1"/><Relationship Type="http://schemas.openxmlformats.org/officeDocument/2006/relationships/hyperlink" Target="https://www.boe.es/buscar/act.php?id=BOE-A-1992-28740" TargetMode="External" Id="rId2"/><Relationship Type="http://schemas.openxmlformats.org/officeDocument/2006/relationships/hyperlink" Target="https://www.boe.es/buscar/act.php?id=BOE-A-1992-28740" TargetMode="External" Id="rId3"/><Relationship Type="http://schemas.openxmlformats.org/officeDocument/2006/relationships/hyperlink" Target="https://www.boe.es/buscar/act.php?id=BOE-A-2007-6820" TargetMode="External" Id="rId4"/><Relationship Type="http://schemas.openxmlformats.org/officeDocument/2006/relationships/hyperlink" Target="https://www.boe.es/buscar/act.php?id=BOE-A-2007-6820" TargetMode="External" Id="rId5"/><Relationship Type="http://schemas.openxmlformats.org/officeDocument/2006/relationships/hyperlink" Target="https://www.boe.es/buscar/act.php?id=BOE-A-2007-6820" TargetMode="External" Id="rId6"/><Relationship Type="http://schemas.openxmlformats.org/officeDocument/2006/relationships/hyperlink" Target="https://www.boe.es/buscar/act.php?id=BOE-A-2007-6820" TargetMode="External" Id="rId7"/><Relationship Type="http://schemas.openxmlformats.org/officeDocument/2006/relationships/hyperlink" Target="https://www.boe.es/buscar/act.php?id=BOE-A-2007-6820" TargetMode="External" Id="rId8"/><Relationship Type="http://schemas.openxmlformats.org/officeDocument/2006/relationships/hyperlink" Target="https://www.boe.es/buscar/act.php?id=BOE-A-2007-6820" TargetMode="External" Id="rId9"/><Relationship Type="http://schemas.openxmlformats.org/officeDocument/2006/relationships/hyperlink" Target="https://www.boe.es/buscar/act.php?id=BOE-A-2007-6820" TargetMode="External" Id="rId10"/><Relationship Type="http://schemas.openxmlformats.org/officeDocument/2006/relationships/hyperlink" Target="https://www.boe.es/buscar/act.php?id=BOE-A-2007-6820" TargetMode="External" Id="rId11"/><Relationship Type="http://schemas.openxmlformats.org/officeDocument/2006/relationships/hyperlink" Target="https://www.boe.es/buscar/act.php?id=BOE-A-2007-6820" TargetMode="External" Id="rId12"/><Relationship Type="http://schemas.openxmlformats.org/officeDocument/2006/relationships/hyperlink" Target="https://www.boe.es/buscar/act.php?id=BOE-A-2026-7296" TargetMode="External" Id="rId13"/><Relationship Type="http://schemas.openxmlformats.org/officeDocument/2006/relationships/hyperlink" Target="https://www.boe.es/buscar/act.php?id=BOE-A-2026-7296" TargetMode="External" Id="rId14"/><Relationship Type="http://schemas.openxmlformats.org/officeDocument/2006/relationships/hyperlink" Target="https://www.boe.es/buscar/act.php?id=BOE-A-2026-7296" TargetMode="External" Id="rId15"/><Relationship Type="http://schemas.openxmlformats.org/officeDocument/2006/relationships/hyperlink" Target="https://sede.agenciatributaria.gob.es/Sede/irpf/empresarios-individuales-profesionales/regimenes-determinar-rendimiento-actividad/estimacion-directa-simplificada.html" TargetMode="External" Id="rId16"/><Relationship Type="http://schemas.openxmlformats.org/officeDocument/2006/relationships/hyperlink" Target="https://sede.agenciatributaria.gob.es/Sede/irpf/empresarios-individuales-profesionales/regimenes-determinar-rendimiento-actividad/estimacion-directa-simplificada.html" TargetMode="External" Id="rId17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18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19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0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1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2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3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4"/><Relationship Type="http://schemas.openxmlformats.org/officeDocument/2006/relationships/hyperlink" Target="https://sede.agenciatributaria.gob.es/Sede/ayuda/manuales-videos-folletos/manuales-practicos/irpf-2025/c14-adecuacion-impuesto-circunstancias-personales/minimo-autonomico-personal-familiar/cuadro-minimos-personales-familiares-estatal-autonomicos.html" TargetMode="External" Id="rId25"/></Relationships>
</file>

<file path=xl/worksheets/sheet1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E38"/>
  <sheetViews>
    <sheetView showGridLines="0" tabSelected="1" zoomScale="11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4" customWidth="1" min="3" max="3"/>
    <col width="60" customWidth="1" min="4" max="4"/>
    <col width="4" customWidth="1" min="5" max="5"/>
  </cols>
  <sheetData>
    <row r="1" ht="18" customHeight="1">
      <c r="A1" s="1" t="n"/>
      <c r="B1" s="1" t="n"/>
      <c r="C1" s="1" t="n"/>
      <c r="D1" s="1" t="n"/>
      <c r="E1" s="1" t="n"/>
    </row>
    <row r="2" ht="18" customHeight="1">
      <c r="A2" s="1" t="n"/>
      <c r="B2" s="1" t="n"/>
      <c r="C2" s="1" t="n"/>
      <c r="D2" s="1" t="n"/>
      <c r="E2" s="1" t="n"/>
    </row>
    <row r="3" ht="18" customHeight="1">
      <c r="A3" s="1" t="n"/>
      <c r="B3" s="1" t="n"/>
      <c r="C3" s="2" t="inlineStr">
        <is>
          <t>IMPUESTOCLARO</t>
        </is>
      </c>
      <c r="D3" s="1" t="n"/>
      <c r="E3" s="1" t="n"/>
    </row>
    <row r="4" ht="18" customHeight="1">
      <c r="A4" s="1" t="n"/>
      <c r="B4" s="1" t="n"/>
      <c r="C4" s="1" t="n"/>
      <c r="D4" s="1" t="n"/>
      <c r="E4" s="1" t="n"/>
    </row>
    <row r="5" ht="40" customHeight="1">
      <c r="A5" s="1" t="n"/>
      <c r="B5" s="1" t="n"/>
      <c r="C5" s="3" t="inlineStr">
        <is>
          <t>Kit del autónomo 2027</t>
        </is>
      </c>
      <c r="D5" s="1" t="n"/>
      <c r="E5" s="1" t="n"/>
    </row>
    <row r="6" ht="18" customHeight="1">
      <c r="A6" s="1" t="n"/>
      <c r="B6" s="1" t="n"/>
      <c r="C6" s="1" t="n"/>
      <c r="D6" s="1" t="n"/>
      <c r="E6" s="1" t="n"/>
    </row>
    <row r="7" ht="18" customHeight="1">
      <c r="A7" s="1" t="n"/>
      <c r="B7" s="1" t="n"/>
      <c r="C7" s="4" t="inlineStr">
        <is>
          <t>Tu libro de ingresos y gastos, los modelos 303 y 130 de cada trimestre, la cuota de autónomos por tramos y la estimación de la renta: todo se calcula solo a partir de tus facturas.</t>
        </is>
      </c>
      <c r="E7" s="1" t="n"/>
    </row>
    <row r="8" ht="18" customHeight="1">
      <c r="A8" s="1" t="n"/>
      <c r="B8" s="1" t="n"/>
      <c r="E8" s="1" t="n"/>
    </row>
    <row r="9" ht="18" customHeight="1">
      <c r="A9" s="1" t="n"/>
      <c r="B9" s="1" t="n"/>
      <c r="C9" s="1" t="n"/>
      <c r="D9" s="1" t="n"/>
      <c r="E9" s="1" t="n"/>
    </row>
    <row r="10" ht="18" customHeight="1">
      <c r="A10" s="1" t="n"/>
      <c r="B10" s="1" t="n"/>
      <c r="C10" s="5" t="inlineStr">
        <is>
          <t>Edición 2027 · parámetros a 2026-10-27 (provisionales)</t>
        </is>
      </c>
      <c r="D10" s="1" t="n"/>
      <c r="E10" s="1" t="n"/>
    </row>
    <row r="11" ht="18" customHeight="1">
      <c r="A11" s="1" t="n"/>
      <c r="B11" s="1" t="n"/>
      <c r="C11" s="1" t="n"/>
      <c r="D11" s="1" t="n"/>
      <c r="E11" s="1" t="n"/>
    </row>
    <row r="12" ht="6" customHeight="1">
      <c r="A12" s="6" t="n"/>
      <c r="B12" s="6" t="n"/>
      <c r="C12" s="6" t="n"/>
      <c r="D12" s="6" t="n"/>
      <c r="E12" s="6" t="n"/>
    </row>
    <row r="14">
      <c r="C14" s="7" t="inlineStr">
        <is>
          <t>Empieza en tres pasos</t>
        </is>
      </c>
    </row>
    <row r="15" ht="30" customHeight="1">
      <c r="B15" s="8" t="n">
        <v>1</v>
      </c>
      <c r="C15" s="9" t="inlineStr">
        <is>
          <t>Rellena «Mis datos» (comunidad, tarifa plana, rendimiento de 2026).</t>
        </is>
      </c>
    </row>
    <row r="16" ht="30" customHeight="1">
      <c r="B16" s="8" t="n">
        <v>2</v>
      </c>
      <c r="C16" s="9" t="inlineStr">
        <is>
          <t>Apunta cada factura que emitas en «Ingresos» y cada gasto en «Gastos». Una fila por factura.</t>
        </is>
      </c>
    </row>
    <row r="17" ht="30" customHeight="1">
      <c r="B17" s="8" t="n">
        <v>3</v>
      </c>
      <c r="C17" s="9" t="inlineStr">
        <is>
          <t>Mira el «Panel»: cuánto pagar en cada trimestre, cuándo y cuánto apartar. Copia las cifras en los modelos de la AEAT.</t>
        </is>
      </c>
    </row>
    <row r="19">
      <c r="C19" s="7" t="inlineStr">
        <is>
          <t>Qué hay en este libro</t>
        </is>
      </c>
    </row>
    <row r="20" ht="28" customHeight="1">
      <c r="C20" s="10" t="inlineStr">
        <is>
          <t>→ Panel</t>
        </is>
      </c>
      <c r="D20" s="11" t="inlineStr">
        <is>
          <t>Resumen: a pagar en cada trimestre, renta estimada y cuánto apartar de cada factura</t>
        </is>
      </c>
    </row>
    <row r="21" ht="18" customHeight="1">
      <c r="C21" s="10" t="inlineStr">
        <is>
          <t>→ Mis datos</t>
        </is>
      </c>
      <c r="D21" s="11" t="inlineStr">
        <is>
          <t>Comunidad, familia, tarifa plana y datos de 2026</t>
        </is>
      </c>
    </row>
    <row r="22" ht="18" customHeight="1">
      <c r="C22" s="10" t="inlineStr">
        <is>
          <t>→ Ingresos</t>
        </is>
      </c>
      <c r="D22" s="11" t="inlineStr">
        <is>
          <t>Libro registro de facturas emitidas (400 filas)</t>
        </is>
      </c>
    </row>
    <row r="23" ht="28" customHeight="1">
      <c r="C23" s="10" t="inlineStr">
        <is>
          <t>→ Gastos</t>
        </is>
      </c>
      <c r="D23" s="11" t="inlineStr">
        <is>
          <t>Libro registro de facturas recibidas, con IVA deducible y % de afectación</t>
        </is>
      </c>
    </row>
    <row r="24" ht="28" customHeight="1">
      <c r="C24" s="10" t="inlineStr">
        <is>
          <t>→ Modelo 303</t>
        </is>
      </c>
      <c r="D24" s="11" t="inlineStr">
        <is>
          <t>IVA de cada trimestre, con compensación automática y devolución en el 4T</t>
        </is>
      </c>
    </row>
    <row r="25" ht="18" customHeight="1">
      <c r="C25" s="10" t="inlineStr">
        <is>
          <t>→ Modelo 130</t>
        </is>
      </c>
      <c r="D25" s="11" t="inlineStr">
        <is>
          <t>Pago fraccionado del IRPF acumulado, con retenciones y minoración</t>
        </is>
      </c>
    </row>
    <row r="26" ht="18" customHeight="1">
      <c r="C26" s="10" t="inlineStr">
        <is>
          <t>→ Cuota autónomos</t>
        </is>
      </c>
      <c r="D26" s="11" t="inlineStr">
        <is>
          <t>Tramo según rendimientos, cuota mes a mes y regularización estimada</t>
        </is>
      </c>
    </row>
    <row r="27" ht="28" customHeight="1">
      <c r="C27" s="10" t="inlineStr">
        <is>
          <t>→ Renta 2027</t>
        </is>
      </c>
      <c r="D27" s="11" t="inlineStr">
        <is>
          <t>Estimación de la declaración: cuota estatal y autonómica, mínimos y resultado</t>
        </is>
      </c>
    </row>
    <row r="28" ht="18" customHeight="1">
      <c r="C28" s="10" t="inlineStr">
        <is>
          <t>→ Calendario 2027</t>
        </is>
      </c>
      <c r="D28" s="11" t="inlineStr">
        <is>
          <t>Todas las fechas fiscales del año, con casilla de hecho</t>
        </is>
      </c>
    </row>
    <row r="29" ht="18" customHeight="1">
      <c r="C29" s="10" t="inlineStr">
        <is>
          <t>→ Parámetros</t>
        </is>
      </c>
      <c r="D29" s="11" t="inlineStr">
        <is>
          <t>Cifras oficiales que usan las fórmulas, con su fuente</t>
        </is>
      </c>
    </row>
    <row r="30" ht="18" customHeight="1">
      <c r="C30" s="10" t="inlineStr">
        <is>
          <t>→ Escalas IRPF</t>
        </is>
      </c>
      <c r="D30" s="11" t="inlineStr">
        <is>
          <t>Escala estatal y de cada comunidad</t>
        </is>
      </c>
    </row>
    <row r="32">
      <c r="C32" s="7" t="inlineStr">
        <is>
          <t>Antes de usarlo</t>
        </is>
      </c>
    </row>
    <row r="33" ht="45" customHeight="1">
      <c r="C33" s="12" t="inlineStr">
        <is>
          <t>Herramienta de cálculo orientativa para autónomos persona física en estimación directa simplificada. No es asesoramiento fiscal ni sustituye a los programas de la AEAT: revisa siempre el borrador oficial antes de presentar.</t>
        </is>
      </c>
    </row>
    <row r="34" ht="45" customHeight="1">
      <c r="C34" s="12" t="inlineStr">
        <is>
          <t>Los parámetros de 2027 son provisionales: lo que aún no se ha publicado (tramos de cotización, escalas) se copia de 2026 y se indica en «Parámetros». Cuando cambien, descarga de nuevo el kit desde el mismo enlace de tu compra.</t>
        </is>
      </c>
    </row>
    <row r="35" ht="30" customHeight="1">
      <c r="C35" s="12" t="inlineStr">
        <is>
          <t>Contenido preparado con ayuda de inteligencia artificial y revisado con las fuentes oficiales citadas (BOE, AEAT, Seguridad Social).</t>
        </is>
      </c>
    </row>
    <row r="36" ht="45" customHeight="1">
      <c r="C36" s="12" t="inlineStr">
        <is>
          <t>Funciona en Excel, LibreOffice y Google Sheets (Archivo → Importar). Las hojas de cálculo están protegidas sin contraseña para que no borres una fórmula sin querer: Revisar → Desproteger hoja.</t>
        </is>
      </c>
    </row>
    <row r="38">
      <c r="C38" s="10" t="inlineStr">
        <is>
          <t>https://impuestoclaro.vercel.app/kit-autonomo-2027/</t>
        </is>
      </c>
      <c r="D38" s="13" t="inlineStr">
        <is>
          <t>Contacto: hola@numimates.com</t>
        </is>
      </c>
    </row>
  </sheetData>
  <mergeCells count="8">
    <mergeCell ref="C34:D34"/>
    <mergeCell ref="C16:D16"/>
    <mergeCell ref="C7:D8"/>
    <mergeCell ref="C33:D33"/>
    <mergeCell ref="C15:D15"/>
    <mergeCell ref="C36:D36"/>
    <mergeCell ref="C17:D17"/>
    <mergeCell ref="C35:D35"/>
  </mergeCells>
  <hyperlinks>
    <hyperlink xmlns:r="http://schemas.openxmlformats.org/officeDocument/2006/relationships" ref="C20" r:id="rId1"/>
    <hyperlink xmlns:r="http://schemas.openxmlformats.org/officeDocument/2006/relationships" ref="C21" r:id="rId2"/>
    <hyperlink xmlns:r="http://schemas.openxmlformats.org/officeDocument/2006/relationships" ref="C22" r:id="rId3"/>
    <hyperlink xmlns:r="http://schemas.openxmlformats.org/officeDocument/2006/relationships" ref="C23" r:id="rId4"/>
    <hyperlink xmlns:r="http://schemas.openxmlformats.org/officeDocument/2006/relationships" ref="C24" r:id="rId5"/>
    <hyperlink xmlns:r="http://schemas.openxmlformats.org/officeDocument/2006/relationships" ref="C25" r:id="rId6"/>
    <hyperlink xmlns:r="http://schemas.openxmlformats.org/officeDocument/2006/relationships" ref="C26" r:id="rId7"/>
    <hyperlink xmlns:r="http://schemas.openxmlformats.org/officeDocument/2006/relationships" ref="C27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8" r:id="rId12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A38B"/>
    <outlinePr summaryBelow="1" summaryRight="1"/>
    <pageSetUpPr fitToPage="1"/>
  </sheetPr>
  <dimension ref="A1:C34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10" customWidth="1" min="3" max="3"/>
  </cols>
  <sheetData>
    <row r="1" ht="8" customHeight="1">
      <c r="A1" s="1" t="n"/>
      <c r="B1" s="1" t="n"/>
      <c r="C1" s="1" t="n"/>
    </row>
    <row r="2" ht="34" customHeight="1">
      <c r="A2" s="1" t="n"/>
      <c r="B2" s="14" t="inlineStr">
        <is>
          <t>Cómo se usa el kit</t>
        </is>
      </c>
      <c r="C2" s="15" t="inlineStr">
        <is>
          <t>ImpuestoClaro</t>
        </is>
      </c>
    </row>
    <row r="3" ht="20" customHeight="1">
      <c r="A3" s="1" t="n"/>
      <c r="B3" s="16" t="inlineStr">
        <is>
          <t>Léelo una vez: son cinco minutos</t>
        </is>
      </c>
      <c r="C3" s="1" t="n"/>
    </row>
    <row r="4" ht="4" customHeight="1">
      <c r="A4" s="6" t="n"/>
      <c r="B4" s="6" t="n"/>
      <c r="C4" s="6" t="n"/>
    </row>
    <row r="6" ht="22" customHeight="1">
      <c r="B6" s="17" t="inlineStr">
        <is>
          <t>1. Antes de empezar</t>
        </is>
      </c>
      <c r="C6" s="18" t="n"/>
    </row>
    <row r="7" ht="15" customHeight="1">
      <c r="B7" s="19" t="inlineStr">
        <is>
          <t>•</t>
        </is>
      </c>
      <c r="C7" s="20" t="inlineStr">
        <is>
          <t>Guarda una copia con tu nombre y el año (por ejemplo, «kit-2027-ana.xlsx»). Trabaja siempre sobre tu copia.</t>
        </is>
      </c>
    </row>
    <row r="8" ht="15" customHeight="1">
      <c r="B8" s="19" t="inlineStr">
        <is>
          <t>•</t>
        </is>
      </c>
      <c r="C8" s="20" t="inlineStr">
        <is>
          <t>En «Mis datos» elige tu comunidad autónoma: decide la escala autonómica de la renta. Si tienes tarifa plana, márcala.</t>
        </is>
      </c>
    </row>
    <row r="9" ht="15" customHeight="1">
      <c r="B9" s="19" t="inlineStr">
        <is>
          <t>•</t>
        </is>
      </c>
      <c r="C9" s="20" t="inlineStr">
        <is>
          <t>Si ya llevabas facturas este año en otro sitio, cópialas en «Ingresos» y «Gastos»: una fila por factura, con su fecha.</t>
        </is>
      </c>
    </row>
    <row r="11" ht="22" customHeight="1">
      <c r="B11" s="17" t="inlineStr">
        <is>
          <t>2. Cada vez que facturas o pagas un gasto</t>
        </is>
      </c>
      <c r="C11" s="18" t="n"/>
    </row>
    <row r="12" ht="30" customHeight="1">
      <c r="B12" s="19" t="inlineStr">
        <is>
          <t>•</t>
        </is>
      </c>
      <c r="C12" s="20" t="inlineStr">
        <is>
          <t>Ingresos: fecha, número, cliente, base imponible (sin IVA), tipo de IVA y retención de IRPF que pones en la factura. El total y el trimestre salen solos.</t>
        </is>
      </c>
    </row>
    <row r="13" ht="45" customHeight="1">
      <c r="B13" s="19" t="inlineStr">
        <is>
          <t>•</t>
        </is>
      </c>
      <c r="C13" s="20" t="inlineStr">
        <is>
          <t>Gastos: fecha, proveedor, base, tipo de IVA y categoría. Si el gasto solo es en parte de la actividad (móvil, coche), pon el % de afectación. Si la factura no te deja deducir el IVA (un ticket, por ejemplo), marca «No» en IVA deducible: entonces el IVA cuenta como gasto en el IRPF.</t>
        </is>
      </c>
    </row>
    <row r="14" ht="15" customHeight="1">
      <c r="B14" s="19" t="inlineStr">
        <is>
          <t>•</t>
        </is>
      </c>
      <c r="C14" s="20" t="inlineStr">
        <is>
          <t>La cuota de autónomos no se apunta como gasto: el kit la suma sola desde la hoja «Cuota autónomos».</t>
        </is>
      </c>
    </row>
    <row r="16" ht="22" customHeight="1">
      <c r="B16" s="17" t="inlineStr">
        <is>
          <t>3. Cada trimestre</t>
        </is>
      </c>
      <c r="C16" s="18" t="n"/>
    </row>
    <row r="17" ht="30" customHeight="1">
      <c r="B17" s="19" t="inlineStr">
        <is>
          <t>•</t>
        </is>
      </c>
      <c r="C17" s="20" t="inlineStr">
        <is>
          <t>Abre «Modelo 303» y «Modelo 130»: las cifras de la columna del trimestre son las que copias en el formulario de la AEAT. El IVA negativo se compensa solo en el trimestre siguiente; en el 4T puedes pedir la devolución.</t>
        </is>
      </c>
    </row>
    <row r="18" ht="30" customHeight="1">
      <c r="B18" s="19" t="inlineStr">
        <is>
          <t>•</t>
        </is>
      </c>
      <c r="C18" s="20" t="inlineStr">
        <is>
          <t>El 130 es acumulado desde enero: el kit ya resta lo que pagaste en los trimestres anteriores y las retenciones de tus facturas.</t>
        </is>
      </c>
    </row>
    <row r="19" ht="30" customHeight="1">
      <c r="B19" s="19" t="inlineStr">
        <is>
          <t>•</t>
        </is>
      </c>
      <c r="C19" s="20" t="inlineStr">
        <is>
          <t>Las fechas límite están en cada modelo y en «Calendario 2027». Si domicilias el pago, el plazo acaba antes (día 15; 25 de enero en el 4T).</t>
        </is>
      </c>
    </row>
    <row r="21" ht="22" customHeight="1">
      <c r="B21" s="17" t="inlineStr">
        <is>
          <t>4. La cuota de autónomos</t>
        </is>
      </c>
      <c r="C21" s="18" t="n"/>
    </row>
    <row r="22" ht="30" customHeight="1">
      <c r="B22" s="19" t="inlineStr">
        <is>
          <t>•</t>
        </is>
      </c>
      <c r="C22" s="20" t="inlineStr">
        <is>
          <t>Pon en «Cuota autónomos» tu previsión de rendimiento neto del año (ingresos menos gastos). El kit busca tu tramo y la cuota mínima. Si cotizas por una base más alta, cámbiala mes a mes.</t>
        </is>
      </c>
    </row>
    <row r="23" ht="30" customHeight="1">
      <c r="B23" s="19" t="inlineStr">
        <is>
          <t>•</t>
        </is>
      </c>
      <c r="C23" s="20" t="inlineStr">
        <is>
          <t>Al final, la hoja compara lo que has pagado con lo que corresponde a tus rendimientos reales: es la regularización que hará la Seguridad Social al año siguiente.</t>
        </is>
      </c>
    </row>
    <row r="25" ht="22" customHeight="1">
      <c r="B25" s="17" t="inlineStr">
        <is>
          <t>5. La renta</t>
        </is>
      </c>
      <c r="C25" s="18" t="n"/>
    </row>
    <row r="26" ht="30" customHeight="1">
      <c r="B26" s="19" t="inlineStr">
        <is>
          <t>•</t>
        </is>
      </c>
      <c r="C26" s="20" t="inlineStr">
        <is>
          <t>«Renta 2027» estima tu declaración con la escala estatal y la de tu comunidad, el mínimo personal y familiar y el 5 % de gastos de difícil justificación (máximo 2.000 €). Resta las retenciones y los pagos del 130.</t>
        </is>
      </c>
    </row>
    <row r="27" ht="30" customHeight="1">
      <c r="B27" s="19" t="inlineStr">
        <is>
          <t>•</t>
        </is>
      </c>
      <c r="C27" s="20" t="inlineStr">
        <is>
          <t>Es una estimación: no incluye deducciones autonómicas, planes de pensiones, alquileres ni otras rentas. Te sirve para saber cuánto apartar.</t>
        </is>
      </c>
    </row>
    <row r="29" ht="22" customHeight="1">
      <c r="B29" s="17" t="inlineStr">
        <is>
          <t>6. En Google Sheets o LibreOffice</t>
        </is>
      </c>
      <c r="C29" s="18" t="n"/>
    </row>
    <row r="30" ht="30" customHeight="1">
      <c r="B30" s="19" t="inlineStr">
        <is>
          <t>•</t>
        </is>
      </c>
      <c r="C30" s="20" t="inlineStr">
        <is>
          <t>Google Sheets: Archivo → Importar → Subir, y elige «Reemplazar hoja de cálculo». Todo funciona igual, también las listas desplegables.</t>
        </is>
      </c>
    </row>
    <row r="31" ht="15" customHeight="1">
      <c r="B31" s="19" t="inlineStr">
        <is>
          <t>•</t>
        </is>
      </c>
      <c r="C31" s="20" t="inlineStr">
        <is>
          <t>LibreOffice: ábrelo directamente. Si alguna cifra sale vacía, pulsa Ctrl+Mayús+F9 para recalcular.</t>
        </is>
      </c>
    </row>
    <row r="33" ht="22" customHeight="1">
      <c r="B33" s="17" t="inlineStr">
        <is>
          <t>Ayuda</t>
        </is>
      </c>
      <c r="C33" s="18" t="n"/>
    </row>
    <row r="34" ht="15" customHeight="1">
      <c r="B34" s="19" t="inlineStr">
        <is>
          <t>•</t>
        </is>
      </c>
      <c r="C34" s="20" t="inlineStr">
        <is>
          <t>¿Algo no cuadra? Escribe a hola@numimates.com con la hoja y la celda. Respondemos en días laborables.</t>
        </is>
      </c>
    </row>
  </sheetData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G26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14" t="inlineStr">
        <is>
          <t>Panel 2027</t>
        </is>
      </c>
      <c r="C2" s="1" t="n"/>
      <c r="D2" s="1" t="n"/>
      <c r="E2" s="1" t="n"/>
      <c r="F2" s="1" t="n"/>
      <c r="G2" s="15" t="inlineStr">
        <is>
          <t>ImpuestoClaro</t>
        </is>
      </c>
    </row>
    <row r="3" ht="20" customHeight="1">
      <c r="A3" s="1" t="n"/>
      <c r="B3" s="16">
        <f>"Titular: "&amp;IF(TITULAR="","(escribe tu nombre en Mis datos)",TITULAR)</f>
        <v/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7" ht="30" customHeight="1">
      <c r="B7" s="21" t="inlineStr">
        <is>
          <t>A pagar a Hacienda y la Seguridad Social</t>
        </is>
      </c>
      <c r="C7" s="21" t="inlineStr">
        <is>
          <t>1T</t>
        </is>
      </c>
      <c r="D7" s="21" t="inlineStr">
        <is>
          <t>2T</t>
        </is>
      </c>
      <c r="E7" s="21" t="inlineStr">
        <is>
          <t>3T</t>
        </is>
      </c>
      <c r="F7" s="21" t="inlineStr">
        <is>
          <t>4T</t>
        </is>
      </c>
      <c r="G7" s="21" t="inlineStr">
        <is>
          <t>Año</t>
        </is>
      </c>
    </row>
    <row r="8">
      <c r="B8" s="9" t="inlineStr">
        <is>
          <t>IVA (modelo 303)</t>
        </is>
      </c>
      <c r="C8" s="22">
        <f>PAGO303_1</f>
        <v/>
      </c>
      <c r="D8" s="22">
        <f>PAGO303_2</f>
        <v/>
      </c>
      <c r="E8" s="22">
        <f>PAGO303_3</f>
        <v/>
      </c>
      <c r="F8" s="22">
        <f>PAGO303_4</f>
        <v/>
      </c>
      <c r="G8" s="23">
        <f>SUM(C8:F8)</f>
        <v/>
      </c>
    </row>
    <row r="9">
      <c r="B9" s="9" t="inlineStr">
        <is>
          <t>IRPF (modelo 130)</t>
        </is>
      </c>
      <c r="C9" s="22">
        <f>PAGO130_1</f>
        <v/>
      </c>
      <c r="D9" s="22">
        <f>PAGO130_2</f>
        <v/>
      </c>
      <c r="E9" s="22">
        <f>PAGO130_3</f>
        <v/>
      </c>
      <c r="F9" s="22">
        <f>PAGO130_4</f>
        <v/>
      </c>
      <c r="G9" s="23">
        <f>SUM(C9:F9)</f>
        <v/>
      </c>
    </row>
    <row r="10">
      <c r="B10" s="9" t="inlineStr">
        <is>
          <t>Cuota de autónomos del trimestre</t>
        </is>
      </c>
      <c r="C10" s="22">
        <f>SUMIFS(CUOTA_MES,CUOTA_TRIM,1)</f>
        <v/>
      </c>
      <c r="D10" s="22">
        <f>SUMIFS(CUOTA_MES,CUOTA_TRIM,2)</f>
        <v/>
      </c>
      <c r="E10" s="22">
        <f>SUMIFS(CUOTA_MES,CUOTA_TRIM,3)</f>
        <v/>
      </c>
      <c r="F10" s="22">
        <f>SUMIFS(CUOTA_MES,CUOTA_TRIM,4)</f>
        <v/>
      </c>
      <c r="G10" s="23">
        <f>SUM(C10:F10)</f>
        <v/>
      </c>
    </row>
    <row r="11">
      <c r="B11" s="24" t="inlineStr">
        <is>
          <t>Total del trimestre</t>
        </is>
      </c>
      <c r="C11" s="25">
        <f>SUM(C8:C10)</f>
        <v/>
      </c>
      <c r="D11" s="25">
        <f>SUM(D8:D10)</f>
        <v/>
      </c>
      <c r="E11" s="25">
        <f>SUM(E8:E10)</f>
        <v/>
      </c>
      <c r="F11" s="25">
        <f>SUM(F8:F10)</f>
        <v/>
      </c>
      <c r="G11" s="25">
        <f>SUM(G8:G10)</f>
        <v/>
      </c>
    </row>
    <row r="12">
      <c r="B12" s="9" t="inlineStr">
        <is>
          <t>Último día para el 303 y el 130</t>
        </is>
      </c>
      <c r="C12" s="26" t="n">
        <v>46497</v>
      </c>
      <c r="D12" s="26" t="n">
        <v>46588</v>
      </c>
      <c r="E12" s="26" t="n">
        <v>46680</v>
      </c>
      <c r="F12" s="26" t="n">
        <v>46783</v>
      </c>
    </row>
    <row r="14" ht="30" customHeight="1">
      <c r="B14" s="21" t="inlineStr">
        <is>
          <t>Tu año</t>
        </is>
      </c>
      <c r="C14" s="21" t="inlineStr">
        <is>
          <t>Importe</t>
        </is>
      </c>
      <c r="D14" s="21" t="inlineStr"/>
      <c r="E14" s="21" t="inlineStr"/>
      <c r="F14" s="21" t="inlineStr"/>
      <c r="G14" s="21" t="inlineStr"/>
    </row>
    <row r="15">
      <c r="B15" s="9" t="inlineStr">
        <is>
          <t>Facturado (base sin IVA)</t>
        </is>
      </c>
      <c r="C15" s="22">
        <f>'Renta 2027'!C8</f>
        <v/>
      </c>
    </row>
    <row r="16">
      <c r="B16" s="9" t="inlineStr">
        <is>
          <t>Gastos deducibles</t>
        </is>
      </c>
      <c r="C16" s="22">
        <f>'Renta 2027'!C9</f>
        <v/>
      </c>
    </row>
    <row r="17">
      <c r="B17" s="9" t="inlineStr">
        <is>
          <t>Cuota de autónomos</t>
        </is>
      </c>
      <c r="C17" s="22">
        <f>'Renta 2027'!C11</f>
        <v/>
      </c>
    </row>
    <row r="18">
      <c r="B18" s="9" t="inlineStr">
        <is>
          <t>IRPF estimado del año</t>
        </is>
      </c>
      <c r="C18" s="22">
        <f>RENTA_TOTAL</f>
        <v/>
      </c>
    </row>
    <row r="19">
      <c r="B19" s="24" t="inlineStr">
        <is>
          <t>Renta: a pagar (+) o a devolver (−) en 2028</t>
        </is>
      </c>
      <c r="C19" s="25">
        <f>RENTA_RESULTADO</f>
        <v/>
      </c>
    </row>
    <row r="20">
      <c r="B20" s="24" t="inlineStr">
        <is>
          <t>Te queda al mes</t>
        </is>
      </c>
      <c r="C20" s="25">
        <f>'Renta 2027'!C33</f>
        <v/>
      </c>
    </row>
    <row r="22" ht="22" customHeight="1">
      <c r="B22" s="17" t="inlineStr">
        <is>
          <t>Cuánto apartar de cada factura</t>
        </is>
      </c>
      <c r="C22" s="18" t="n"/>
      <c r="D22" s="18" t="n"/>
      <c r="E22" s="18" t="n"/>
      <c r="F22" s="18" t="n"/>
      <c r="G22" s="18" t="n"/>
    </row>
    <row r="23">
      <c r="B23" s="9" t="inlineStr">
        <is>
          <t>Del IVA que cobras: apártalo entero</t>
        </is>
      </c>
      <c r="C23" s="27">
        <f>1</f>
        <v/>
      </c>
    </row>
    <row r="24">
      <c r="B24" s="24" t="inlineStr">
        <is>
          <t>De la base, para IRPF y cuota (con tus cifras)</t>
        </is>
      </c>
      <c r="C24" s="28">
        <f>IF('Renta 2027'!C8&gt;0,(RENTA_TOTAL-'Renta 2027'!C29+'Renta 2027'!C11)/'Renta 2027'!C8,0)</f>
        <v/>
      </c>
      <c r="D24" s="12" t="inlineStr">
        <is>
          <t>IRPF del año (menos lo que ya te retienen) más la cuota, sobre lo facturado.</t>
        </is>
      </c>
    </row>
    <row r="26">
      <c r="B26" s="29" t="inlineStr">
        <is>
          <t>Las cifras se actualizan solas al apuntar facturas. Estimación orientativa: no es asesoramiento fiscal.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D24:G24"/>
    <mergeCell ref="B26:G26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D24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6" customWidth="1" min="3" max="3"/>
    <col width="70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Mis datos</t>
        </is>
      </c>
      <c r="C2" s="1" t="n"/>
      <c r="D2" s="15" t="inlineStr">
        <is>
          <t>ImpuestoClaro</t>
        </is>
      </c>
    </row>
    <row r="3" ht="20" customHeight="1">
      <c r="A3" s="1" t="n"/>
      <c r="B3" s="16" t="inlineStr">
        <is>
          <t>Se rellenan una vez al año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>
      <c r="B6" s="30" t="inlineStr">
        <is>
          <t>Amarillo</t>
        </is>
      </c>
      <c r="C6" s="12" t="inlineStr">
        <is>
          <t>Escribe tú en las celdas amarillas. Las demás se calculan solas: no hace falta tocarlas.</t>
        </is>
      </c>
    </row>
    <row r="8" ht="22" customHeight="1">
      <c r="B8" s="17" t="inlineStr">
        <is>
          <t>Quién eres</t>
        </is>
      </c>
      <c r="C8" s="18" t="n"/>
      <c r="D8" s="18" t="n"/>
    </row>
    <row r="9" ht="22" customHeight="1">
      <c r="B9" s="24" t="inlineStr">
        <is>
          <t>Nombre y apellidos</t>
        </is>
      </c>
      <c r="C9" s="31" t="n"/>
      <c r="D9" s="12" t="inlineStr">
        <is>
          <t>Aparece en la cabecera de los libros.</t>
        </is>
      </c>
    </row>
    <row r="10" ht="22" customHeight="1">
      <c r="B10" s="24" t="inlineStr">
        <is>
          <t>NIF</t>
        </is>
      </c>
      <c r="C10" s="31" t="n"/>
    </row>
    <row r="11" ht="22" customHeight="1">
      <c r="B11" s="24" t="inlineStr">
        <is>
          <t>Actividad (epígrafe IAE o descripción)</t>
        </is>
      </c>
      <c r="C11" s="31" t="n"/>
    </row>
    <row r="12" ht="22" customHeight="1">
      <c r="B12" s="24" t="inlineStr">
        <is>
          <t>Comunidad autónoma de residencia</t>
        </is>
      </c>
      <c r="C12" s="31" t="inlineStr">
        <is>
          <t>Cataluña</t>
        </is>
      </c>
      <c r="D12" s="12" t="inlineStr">
        <is>
          <t>Decide la escala autonómica de la renta.</t>
        </is>
      </c>
    </row>
    <row r="13" ht="22" customHeight="1">
      <c r="B13" s="24" t="inlineStr">
        <is>
          <t>Edad a 31 de diciembre</t>
        </is>
      </c>
      <c r="C13" s="32" t="n">
        <v>40</v>
      </c>
      <c r="D13" s="12" t="inlineStr">
        <is>
          <t>A partir de 65 años sube el mínimo personal.</t>
        </is>
      </c>
    </row>
    <row r="14" ht="22" customHeight="1">
      <c r="B14" s="24" t="inlineStr">
        <is>
          <t>Hijos menores de 25 que conviven contigo</t>
        </is>
      </c>
      <c r="C14" s="32" t="n">
        <v>0</v>
      </c>
      <c r="D14" s="12" t="inlineStr">
        <is>
          <t>Para el mínimo por descendientes.</t>
        </is>
      </c>
    </row>
    <row r="15" ht="22" customHeight="1">
      <c r="B15" s="24" t="inlineStr">
        <is>
          <t>De ellos, menores de 3 años</t>
        </is>
      </c>
      <c r="C15" s="32" t="n">
        <v>0</v>
      </c>
    </row>
    <row r="16" ht="22" customHeight="1">
      <c r="B16" s="24" t="inlineStr">
        <is>
          <t>¿Te aplicas el mínimo por hijos entero?</t>
        </is>
      </c>
      <c r="C16" s="31" t="inlineStr">
        <is>
          <t>No</t>
        </is>
      </c>
      <c r="D16" s="12" t="inlineStr">
        <is>
          <t>«No» si lo repartís a medias con el otro progenitor (lo habitual).</t>
        </is>
      </c>
    </row>
    <row r="18" ht="22" customHeight="1">
      <c r="B18" s="17" t="inlineStr">
        <is>
          <t>Seguridad Social y modelos</t>
        </is>
      </c>
      <c r="C18" s="18" t="n"/>
      <c r="D18" s="18" t="n"/>
    </row>
    <row r="19" ht="22" customHeight="1">
      <c r="B19" s="24" t="inlineStr">
        <is>
          <t>¿Tienes tarifa plana todo 2027?</t>
        </is>
      </c>
      <c r="C19" s="31" t="inlineStr">
        <is>
          <t>No</t>
        </is>
      </c>
      <c r="D19" s="12" t="inlineStr">
        <is>
          <t>Si solo es una parte del año, cámbialo mes a mes en «Cuota autónomos».</t>
        </is>
      </c>
    </row>
    <row r="20" ht="22" customHeight="1">
      <c r="B20" s="24" t="inlineStr">
        <is>
          <t>¿Presentas el modelo 130?</t>
        </is>
      </c>
      <c r="C20" s="31" t="inlineStr">
        <is>
          <t>Sí</t>
        </is>
      </c>
      <c r="D20" s="12" t="inlineStr">
        <is>
          <t>No estás obligado si en 2026 al menos el 70 % de tus ingresos llevaron retención.</t>
        </is>
      </c>
    </row>
    <row r="21" ht="22" customHeight="1">
      <c r="B21" s="24" t="inlineStr">
        <is>
          <t>Rendimiento neto de 2026 (€)</t>
        </is>
      </c>
      <c r="C21" s="33" t="n">
        <v>20000</v>
      </c>
      <c r="D21" s="12" t="inlineStr">
        <is>
          <t>Casilla de rendimiento neto de la actividad de tu renta 2026: decide la minoración del 130.</t>
        </is>
      </c>
    </row>
    <row r="22" ht="22" customHeight="1">
      <c r="B22" s="24" t="inlineStr">
        <is>
          <t>IVA a compensar que te quedó de 2026 (€)</t>
        </is>
      </c>
      <c r="C22" s="33" t="n">
        <v>0</v>
      </c>
      <c r="D22" s="12" t="inlineStr">
        <is>
          <t>Si el 4T de 2026 salió negativo y no pediste la devolución.</t>
        </is>
      </c>
    </row>
    <row r="24">
      <c r="B24" s="34" t="inlineStr">
        <is>
          <t>Código de la comunidad (lo usan las fórmulas)</t>
        </is>
      </c>
      <c r="C24" s="35">
        <f>INDEX(CCAA_COD,MATCH(CCAA_NOMBRE,CCAA_NOM,0))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9">
    <dataValidation sqref="C12" showDropDown="0" showInputMessage="0" showErrorMessage="1" allowBlank="1" errorTitle="Valor no válido" error="Elige una opción de la lista." type="list">
      <formula1>CCAA_NOM</formula1>
    </dataValidation>
    <dataValidation sqref="C13" showDropDown="0" showInputMessage="0" showErrorMessage="1" allowBlank="1" errorTitle="Número no válido" error="Escribe un número (sin el símbolo de moneda)." type="whole" operator="between">
      <formula1>0</formula1>
      <formula2>120</formula2>
    </dataValidation>
    <dataValidation sqref="C14" showDropDown="0" showInputMessage="0" showErrorMessage="1" allowBlank="1" errorTitle="Número no válido" error="Escribe un número (sin el símbolo de moneda)." type="whole" operator="between">
      <formula1>0</formula1>
      <formula2>120</formula2>
    </dataValidation>
    <dataValidation sqref="C15" showDropDown="0" showInputMessage="0" showErrorMessage="1" allowBlank="1" errorTitle="Número no válido" error="Escribe un número (sin el símbolo de moneda)." type="whole" operator="between">
      <formula1>0</formula1>
      <formula2>120</formula2>
    </dataValidation>
    <dataValidation sqref="C16" showDropDown="0" showInputMessage="0" showErrorMessage="1" allowBlank="1" errorTitle="Valor no válido" error="Elige una opción de la lista." type="list">
      <formula1>"Sí,No"</formula1>
    </dataValidation>
    <dataValidation sqref="C19" showDropDown="0" showInputMessage="0" showErrorMessage="1" allowBlank="1" errorTitle="Valor no válido" error="Elige una opción de la lista." type="list">
      <formula1>"Sí,No"</formula1>
    </dataValidation>
    <dataValidation sqref="C20" showDropDown="0" showInputMessage="0" showErrorMessage="1" allowBlank="1" errorTitle="Valor no válido" error="Elige una opción de la lista." type="list">
      <formula1>"Sí,No"</formula1>
    </dataValidation>
    <dataValidation sqref="C21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22" showDropDown="0" showInputMessage="0" showErrorMessage="1" allowBlank="1" errorTitle="Número no válido" error="Escribe un número (sin el símbolo de moneda)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C6E60"/>
    <outlinePr summaryBelow="1" summaryRight="1"/>
    <pageSetUpPr fitToPage="1"/>
  </sheetPr>
  <dimension ref="A1:N407"/>
  <sheetViews>
    <sheetView showGridLines="0" tabSelected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26" customWidth="1" min="4" max="4"/>
    <col width="13" customWidth="1" min="5" max="5"/>
    <col width="26" customWidth="1" min="6" max="6"/>
    <col width="13" customWidth="1" min="7" max="7"/>
    <col width="8" customWidth="1" min="8" max="8"/>
    <col width="12" customWidth="1" min="9" max="9"/>
    <col width="8" customWidth="1" min="10" max="10"/>
    <col width="12" customWidth="1" min="11" max="11"/>
    <col width="13" customWidth="1" min="12" max="12"/>
    <col width="6" customWidth="1" min="13" max="13"/>
    <col width="7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" customHeight="1">
      <c r="A2" s="1" t="n"/>
      <c r="B2" s="14" t="inlineStr">
        <is>
          <t>Libro registro de facturas emitidas 2027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5" t="inlineStr">
        <is>
          <t>ImpuestoClaro</t>
        </is>
      </c>
    </row>
    <row r="3" ht="20" customHeight="1">
      <c r="A3" s="1" t="n"/>
      <c r="B3" s="16" t="inlineStr">
        <is>
          <t>Una fila por factura. Base sin IVA; el tipo de IVA y la retención, como en la factura.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B5" s="30" t="inlineStr">
        <is>
          <t>Amarillo</t>
        </is>
      </c>
      <c r="C5" s="12" t="inlineStr">
        <is>
          <t>Escribe tú en las celdas amarillas. Las demás se calculan solas: no hace falta tocarlas.</t>
        </is>
      </c>
      <c r="F5" s="36">
        <f>"Titular: "&amp;IF(TITULAR="","—",TITULAR)&amp;"   ·   NIF: "&amp;IF(NIF_TITULAR="","—",NIF_TITULAR)</f>
        <v/>
      </c>
    </row>
    <row r="6">
      <c r="B6" s="12" t="inlineStr">
        <is>
          <t>Las facturas de otro año (en gris) no cuentan. Totales del año: base</t>
        </is>
      </c>
      <c r="G6" s="23">
        <f>SUMIFS(G8:G407,N8:N407,ANIO)</f>
        <v/>
      </c>
      <c r="I6" s="23">
        <f>SUMIFS(I8:I407,N8:N407,ANIO)</f>
        <v/>
      </c>
      <c r="K6" s="23">
        <f>SUMIFS(K8:K407,N8:N407,ANIO)</f>
        <v/>
      </c>
      <c r="L6" s="23">
        <f>SUMIFS(L8:L407,N8:N407,ANIO)</f>
        <v/>
      </c>
    </row>
    <row r="7" ht="30" customHeight="1">
      <c r="B7" s="21" t="inlineStr">
        <is>
          <t>Fecha</t>
        </is>
      </c>
      <c r="C7" s="21" t="inlineStr">
        <is>
          <t>Nº factura</t>
        </is>
      </c>
      <c r="D7" s="21" t="inlineStr">
        <is>
          <t>Cliente</t>
        </is>
      </c>
      <c r="E7" s="21" t="inlineStr">
        <is>
          <t>NIF cliente</t>
        </is>
      </c>
      <c r="F7" s="21" t="inlineStr">
        <is>
          <t>Concepto</t>
        </is>
      </c>
      <c r="G7" s="21" t="inlineStr">
        <is>
          <t>Base imponible</t>
        </is>
      </c>
      <c r="H7" s="21" t="inlineStr">
        <is>
          <t>IVA %</t>
        </is>
      </c>
      <c r="I7" s="21" t="inlineStr">
        <is>
          <t>Cuota IVA</t>
        </is>
      </c>
      <c r="J7" s="21" t="inlineStr">
        <is>
          <t>Ret. %</t>
        </is>
      </c>
      <c r="K7" s="21" t="inlineStr">
        <is>
          <t>Retención</t>
        </is>
      </c>
      <c r="L7" s="21" t="inlineStr">
        <is>
          <t>Total factura</t>
        </is>
      </c>
      <c r="M7" s="21" t="inlineStr">
        <is>
          <t>Trim.</t>
        </is>
      </c>
      <c r="N7" s="21" t="inlineStr">
        <is>
          <t>Año</t>
        </is>
      </c>
    </row>
    <row r="8">
      <c r="B8" s="37" t="n"/>
      <c r="C8" s="31" t="n"/>
      <c r="D8" s="31" t="n"/>
      <c r="E8" s="31" t="n"/>
      <c r="F8" s="31" t="n"/>
      <c r="G8" s="33" t="n"/>
      <c r="H8" s="32" t="n"/>
      <c r="I8" s="22">
        <f>IF(G8="","",ROUND(G8*N(H8)/100,2))</f>
        <v/>
      </c>
      <c r="J8" s="32" t="n"/>
      <c r="K8" s="22">
        <f>IF(G8="","",ROUND(G8*N(J8)/100,2))</f>
        <v/>
      </c>
      <c r="L8" s="22">
        <f>IF(G8="","",G8+I8-K8)</f>
        <v/>
      </c>
      <c r="M8" s="35">
        <f>IF(B8="","",ROUNDUP(MONTH(B8)/3,0))</f>
        <v/>
      </c>
      <c r="N8" s="35">
        <f>IF(B8="","",YEAR(B8))</f>
        <v/>
      </c>
    </row>
    <row r="9">
      <c r="B9" s="37" t="n"/>
      <c r="C9" s="31" t="n"/>
      <c r="D9" s="31" t="n"/>
      <c r="E9" s="31" t="n"/>
      <c r="F9" s="31" t="n"/>
      <c r="G9" s="33" t="n"/>
      <c r="H9" s="32" t="n"/>
      <c r="I9" s="22">
        <f>IF(G9="","",ROUND(G9*N(H9)/100,2))</f>
        <v/>
      </c>
      <c r="J9" s="32" t="n"/>
      <c r="K9" s="22">
        <f>IF(G9="","",ROUND(G9*N(J9)/100,2))</f>
        <v/>
      </c>
      <c r="L9" s="22">
        <f>IF(G9="","",G9+I9-K9)</f>
        <v/>
      </c>
      <c r="M9" s="35">
        <f>IF(B9="","",ROUNDUP(MONTH(B9)/3,0))</f>
        <v/>
      </c>
      <c r="N9" s="35">
        <f>IF(B9="","",YEAR(B9))</f>
        <v/>
      </c>
    </row>
    <row r="10">
      <c r="B10" s="37" t="n"/>
      <c r="C10" s="31" t="n"/>
      <c r="D10" s="31" t="n"/>
      <c r="E10" s="31" t="n"/>
      <c r="F10" s="31" t="n"/>
      <c r="G10" s="33" t="n"/>
      <c r="H10" s="32" t="n"/>
      <c r="I10" s="22">
        <f>IF(G10="","",ROUND(G10*N(H10)/100,2))</f>
        <v/>
      </c>
      <c r="J10" s="32" t="n"/>
      <c r="K10" s="22">
        <f>IF(G10="","",ROUND(G10*N(J10)/100,2))</f>
        <v/>
      </c>
      <c r="L10" s="22">
        <f>IF(G10="","",G10+I10-K10)</f>
        <v/>
      </c>
      <c r="M10" s="35">
        <f>IF(B10="","",ROUNDUP(MONTH(B10)/3,0))</f>
        <v/>
      </c>
      <c r="N10" s="35">
        <f>IF(B10="","",YEAR(B10))</f>
        <v/>
      </c>
    </row>
    <row r="11">
      <c r="B11" s="37" t="n"/>
      <c r="C11" s="31" t="n"/>
      <c r="D11" s="31" t="n"/>
      <c r="E11" s="31" t="n"/>
      <c r="F11" s="31" t="n"/>
      <c r="G11" s="33" t="n"/>
      <c r="H11" s="32" t="n"/>
      <c r="I11" s="22">
        <f>IF(G11="","",ROUND(G11*N(H11)/100,2))</f>
        <v/>
      </c>
      <c r="J11" s="32" t="n"/>
      <c r="K11" s="22">
        <f>IF(G11="","",ROUND(G11*N(J11)/100,2))</f>
        <v/>
      </c>
      <c r="L11" s="22">
        <f>IF(G11="","",G11+I11-K11)</f>
        <v/>
      </c>
      <c r="M11" s="35">
        <f>IF(B11="","",ROUNDUP(MONTH(B11)/3,0))</f>
        <v/>
      </c>
      <c r="N11" s="35">
        <f>IF(B11="","",YEAR(B11))</f>
        <v/>
      </c>
    </row>
    <row r="12">
      <c r="B12" s="37" t="n"/>
      <c r="C12" s="31" t="n"/>
      <c r="D12" s="31" t="n"/>
      <c r="E12" s="31" t="n"/>
      <c r="F12" s="31" t="n"/>
      <c r="G12" s="33" t="n"/>
      <c r="H12" s="32" t="n"/>
      <c r="I12" s="22">
        <f>IF(G12="","",ROUND(G12*N(H12)/100,2))</f>
        <v/>
      </c>
      <c r="J12" s="32" t="n"/>
      <c r="K12" s="22">
        <f>IF(G12="","",ROUND(G12*N(J12)/100,2))</f>
        <v/>
      </c>
      <c r="L12" s="22">
        <f>IF(G12="","",G12+I12-K12)</f>
        <v/>
      </c>
      <c r="M12" s="35">
        <f>IF(B12="","",ROUNDUP(MONTH(B12)/3,0))</f>
        <v/>
      </c>
      <c r="N12" s="35">
        <f>IF(B12="","",YEAR(B12))</f>
        <v/>
      </c>
    </row>
    <row r="13">
      <c r="B13" s="37" t="n"/>
      <c r="C13" s="31" t="n"/>
      <c r="D13" s="31" t="n"/>
      <c r="E13" s="31" t="n"/>
      <c r="F13" s="31" t="n"/>
      <c r="G13" s="33" t="n"/>
      <c r="H13" s="32" t="n"/>
      <c r="I13" s="22">
        <f>IF(G13="","",ROUND(G13*N(H13)/100,2))</f>
        <v/>
      </c>
      <c r="J13" s="32" t="n"/>
      <c r="K13" s="22">
        <f>IF(G13="","",ROUND(G13*N(J13)/100,2))</f>
        <v/>
      </c>
      <c r="L13" s="22">
        <f>IF(G13="","",G13+I13-K13)</f>
        <v/>
      </c>
      <c r="M13" s="35">
        <f>IF(B13="","",ROUNDUP(MONTH(B13)/3,0))</f>
        <v/>
      </c>
      <c r="N13" s="35">
        <f>IF(B13="","",YEAR(B13))</f>
        <v/>
      </c>
    </row>
    <row r="14">
      <c r="B14" s="37" t="n"/>
      <c r="C14" s="31" t="n"/>
      <c r="D14" s="31" t="n"/>
      <c r="E14" s="31" t="n"/>
      <c r="F14" s="31" t="n"/>
      <c r="G14" s="33" t="n"/>
      <c r="H14" s="32" t="n"/>
      <c r="I14" s="22">
        <f>IF(G14="","",ROUND(G14*N(H14)/100,2))</f>
        <v/>
      </c>
      <c r="J14" s="32" t="n"/>
      <c r="K14" s="22">
        <f>IF(G14="","",ROUND(G14*N(J14)/100,2))</f>
        <v/>
      </c>
      <c r="L14" s="22">
        <f>IF(G14="","",G14+I14-K14)</f>
        <v/>
      </c>
      <c r="M14" s="35">
        <f>IF(B14="","",ROUNDUP(MONTH(B14)/3,0))</f>
        <v/>
      </c>
      <c r="N14" s="35">
        <f>IF(B14="","",YEAR(B14))</f>
        <v/>
      </c>
    </row>
    <row r="15">
      <c r="B15" s="37" t="n"/>
      <c r="C15" s="31" t="n"/>
      <c r="D15" s="31" t="n"/>
      <c r="E15" s="31" t="n"/>
      <c r="F15" s="31" t="n"/>
      <c r="G15" s="33" t="n"/>
      <c r="H15" s="32" t="n"/>
      <c r="I15" s="22">
        <f>IF(G15="","",ROUND(G15*N(H15)/100,2))</f>
        <v/>
      </c>
      <c r="J15" s="32" t="n"/>
      <c r="K15" s="22">
        <f>IF(G15="","",ROUND(G15*N(J15)/100,2))</f>
        <v/>
      </c>
      <c r="L15" s="22">
        <f>IF(G15="","",G15+I15-K15)</f>
        <v/>
      </c>
      <c r="M15" s="35">
        <f>IF(B15="","",ROUNDUP(MONTH(B15)/3,0))</f>
        <v/>
      </c>
      <c r="N15" s="35">
        <f>IF(B15="","",YEAR(B15))</f>
        <v/>
      </c>
    </row>
    <row r="16">
      <c r="B16" s="37" t="n"/>
      <c r="C16" s="31" t="n"/>
      <c r="D16" s="31" t="n"/>
      <c r="E16" s="31" t="n"/>
      <c r="F16" s="31" t="n"/>
      <c r="G16" s="33" t="n"/>
      <c r="H16" s="32" t="n"/>
      <c r="I16" s="22">
        <f>IF(G16="","",ROUND(G16*N(H16)/100,2))</f>
        <v/>
      </c>
      <c r="J16" s="32" t="n"/>
      <c r="K16" s="22">
        <f>IF(G16="","",ROUND(G16*N(J16)/100,2))</f>
        <v/>
      </c>
      <c r="L16" s="22">
        <f>IF(G16="","",G16+I16-K16)</f>
        <v/>
      </c>
      <c r="M16" s="35">
        <f>IF(B16="","",ROUNDUP(MONTH(B16)/3,0))</f>
        <v/>
      </c>
      <c r="N16" s="35">
        <f>IF(B16="","",YEAR(B16))</f>
        <v/>
      </c>
    </row>
    <row r="17">
      <c r="B17" s="37" t="n"/>
      <c r="C17" s="31" t="n"/>
      <c r="D17" s="31" t="n"/>
      <c r="E17" s="31" t="n"/>
      <c r="F17" s="31" t="n"/>
      <c r="G17" s="33" t="n"/>
      <c r="H17" s="32" t="n"/>
      <c r="I17" s="22">
        <f>IF(G17="","",ROUND(G17*N(H17)/100,2))</f>
        <v/>
      </c>
      <c r="J17" s="32" t="n"/>
      <c r="K17" s="22">
        <f>IF(G17="","",ROUND(G17*N(J17)/100,2))</f>
        <v/>
      </c>
      <c r="L17" s="22">
        <f>IF(G17="","",G17+I17-K17)</f>
        <v/>
      </c>
      <c r="M17" s="35">
        <f>IF(B17="","",ROUNDUP(MONTH(B17)/3,0))</f>
        <v/>
      </c>
      <c r="N17" s="35">
        <f>IF(B17="","",YEAR(B17))</f>
        <v/>
      </c>
    </row>
    <row r="18">
      <c r="B18" s="37" t="n"/>
      <c r="C18" s="31" t="n"/>
      <c r="D18" s="31" t="n"/>
      <c r="E18" s="31" t="n"/>
      <c r="F18" s="31" t="n"/>
      <c r="G18" s="33" t="n"/>
      <c r="H18" s="32" t="n"/>
      <c r="I18" s="22">
        <f>IF(G18="","",ROUND(G18*N(H18)/100,2))</f>
        <v/>
      </c>
      <c r="J18" s="32" t="n"/>
      <c r="K18" s="22">
        <f>IF(G18="","",ROUND(G18*N(J18)/100,2))</f>
        <v/>
      </c>
      <c r="L18" s="22">
        <f>IF(G18="","",G18+I18-K18)</f>
        <v/>
      </c>
      <c r="M18" s="35">
        <f>IF(B18="","",ROUNDUP(MONTH(B18)/3,0))</f>
        <v/>
      </c>
      <c r="N18" s="35">
        <f>IF(B18="","",YEAR(B18))</f>
        <v/>
      </c>
    </row>
    <row r="19">
      <c r="B19" s="37" t="n"/>
      <c r="C19" s="31" t="n"/>
      <c r="D19" s="31" t="n"/>
      <c r="E19" s="31" t="n"/>
      <c r="F19" s="31" t="n"/>
      <c r="G19" s="33" t="n"/>
      <c r="H19" s="32" t="n"/>
      <c r="I19" s="22">
        <f>IF(G19="","",ROUND(G19*N(H19)/100,2))</f>
        <v/>
      </c>
      <c r="J19" s="32" t="n"/>
      <c r="K19" s="22">
        <f>IF(G19="","",ROUND(G19*N(J19)/100,2))</f>
        <v/>
      </c>
      <c r="L19" s="22">
        <f>IF(G19="","",G19+I19-K19)</f>
        <v/>
      </c>
      <c r="M19" s="35">
        <f>IF(B19="","",ROUNDUP(MONTH(B19)/3,0))</f>
        <v/>
      </c>
      <c r="N19" s="35">
        <f>IF(B19="","",YEAR(B19))</f>
        <v/>
      </c>
    </row>
    <row r="20">
      <c r="B20" s="37" t="n"/>
      <c r="C20" s="31" t="n"/>
      <c r="D20" s="31" t="n"/>
      <c r="E20" s="31" t="n"/>
      <c r="F20" s="31" t="n"/>
      <c r="G20" s="33" t="n"/>
      <c r="H20" s="32" t="n"/>
      <c r="I20" s="22">
        <f>IF(G20="","",ROUND(G20*N(H20)/100,2))</f>
        <v/>
      </c>
      <c r="J20" s="32" t="n"/>
      <c r="K20" s="22">
        <f>IF(G20="","",ROUND(G20*N(J20)/100,2))</f>
        <v/>
      </c>
      <c r="L20" s="22">
        <f>IF(G20="","",G20+I20-K20)</f>
        <v/>
      </c>
      <c r="M20" s="35">
        <f>IF(B20="","",ROUNDUP(MONTH(B20)/3,0))</f>
        <v/>
      </c>
      <c r="N20" s="35">
        <f>IF(B20="","",YEAR(B20))</f>
        <v/>
      </c>
    </row>
    <row r="21">
      <c r="B21" s="37" t="n"/>
      <c r="C21" s="31" t="n"/>
      <c r="D21" s="31" t="n"/>
      <c r="E21" s="31" t="n"/>
      <c r="F21" s="31" t="n"/>
      <c r="G21" s="33" t="n"/>
      <c r="H21" s="32" t="n"/>
      <c r="I21" s="22">
        <f>IF(G21="","",ROUND(G21*N(H21)/100,2))</f>
        <v/>
      </c>
      <c r="J21" s="32" t="n"/>
      <c r="K21" s="22">
        <f>IF(G21="","",ROUND(G21*N(J21)/100,2))</f>
        <v/>
      </c>
      <c r="L21" s="22">
        <f>IF(G21="","",G21+I21-K21)</f>
        <v/>
      </c>
      <c r="M21" s="35">
        <f>IF(B21="","",ROUNDUP(MONTH(B21)/3,0))</f>
        <v/>
      </c>
      <c r="N21" s="35">
        <f>IF(B21="","",YEAR(B21))</f>
        <v/>
      </c>
    </row>
    <row r="22">
      <c r="B22" s="37" t="n"/>
      <c r="C22" s="31" t="n"/>
      <c r="D22" s="31" t="n"/>
      <c r="E22" s="31" t="n"/>
      <c r="F22" s="31" t="n"/>
      <c r="G22" s="33" t="n"/>
      <c r="H22" s="32" t="n"/>
      <c r="I22" s="22">
        <f>IF(G22="","",ROUND(G22*N(H22)/100,2))</f>
        <v/>
      </c>
      <c r="J22" s="32" t="n"/>
      <c r="K22" s="22">
        <f>IF(G22="","",ROUND(G22*N(J22)/100,2))</f>
        <v/>
      </c>
      <c r="L22" s="22">
        <f>IF(G22="","",G22+I22-K22)</f>
        <v/>
      </c>
      <c r="M22" s="35">
        <f>IF(B22="","",ROUNDUP(MONTH(B22)/3,0))</f>
        <v/>
      </c>
      <c r="N22" s="35">
        <f>IF(B22="","",YEAR(B22))</f>
        <v/>
      </c>
    </row>
    <row r="23">
      <c r="B23" s="37" t="n"/>
      <c r="C23" s="31" t="n"/>
      <c r="D23" s="31" t="n"/>
      <c r="E23" s="31" t="n"/>
      <c r="F23" s="31" t="n"/>
      <c r="G23" s="33" t="n"/>
      <c r="H23" s="32" t="n"/>
      <c r="I23" s="22">
        <f>IF(G23="","",ROUND(G23*N(H23)/100,2))</f>
        <v/>
      </c>
      <c r="J23" s="32" t="n"/>
      <c r="K23" s="22">
        <f>IF(G23="","",ROUND(G23*N(J23)/100,2))</f>
        <v/>
      </c>
      <c r="L23" s="22">
        <f>IF(G23="","",G23+I23-K23)</f>
        <v/>
      </c>
      <c r="M23" s="35">
        <f>IF(B23="","",ROUNDUP(MONTH(B23)/3,0))</f>
        <v/>
      </c>
      <c r="N23" s="35">
        <f>IF(B23="","",YEAR(B23))</f>
        <v/>
      </c>
    </row>
    <row r="24">
      <c r="B24" s="37" t="n"/>
      <c r="C24" s="31" t="n"/>
      <c r="D24" s="31" t="n"/>
      <c r="E24" s="31" t="n"/>
      <c r="F24" s="31" t="n"/>
      <c r="G24" s="33" t="n"/>
      <c r="H24" s="32" t="n"/>
      <c r="I24" s="22">
        <f>IF(G24="","",ROUND(G24*N(H24)/100,2))</f>
        <v/>
      </c>
      <c r="J24" s="32" t="n"/>
      <c r="K24" s="22">
        <f>IF(G24="","",ROUND(G24*N(J24)/100,2))</f>
        <v/>
      </c>
      <c r="L24" s="22">
        <f>IF(G24="","",G24+I24-K24)</f>
        <v/>
      </c>
      <c r="M24" s="35">
        <f>IF(B24="","",ROUNDUP(MONTH(B24)/3,0))</f>
        <v/>
      </c>
      <c r="N24" s="35">
        <f>IF(B24="","",YEAR(B24))</f>
        <v/>
      </c>
    </row>
    <row r="25">
      <c r="B25" s="37" t="n"/>
      <c r="C25" s="31" t="n"/>
      <c r="D25" s="31" t="n"/>
      <c r="E25" s="31" t="n"/>
      <c r="F25" s="31" t="n"/>
      <c r="G25" s="33" t="n"/>
      <c r="H25" s="32" t="n"/>
      <c r="I25" s="22">
        <f>IF(G25="","",ROUND(G25*N(H25)/100,2))</f>
        <v/>
      </c>
      <c r="J25" s="32" t="n"/>
      <c r="K25" s="22">
        <f>IF(G25="","",ROUND(G25*N(J25)/100,2))</f>
        <v/>
      </c>
      <c r="L25" s="22">
        <f>IF(G25="","",G25+I25-K25)</f>
        <v/>
      </c>
      <c r="M25" s="35">
        <f>IF(B25="","",ROUNDUP(MONTH(B25)/3,0))</f>
        <v/>
      </c>
      <c r="N25" s="35">
        <f>IF(B25="","",YEAR(B25))</f>
        <v/>
      </c>
    </row>
    <row r="26">
      <c r="B26" s="37" t="n"/>
      <c r="C26" s="31" t="n"/>
      <c r="D26" s="31" t="n"/>
      <c r="E26" s="31" t="n"/>
      <c r="F26" s="31" t="n"/>
      <c r="G26" s="33" t="n"/>
      <c r="H26" s="32" t="n"/>
      <c r="I26" s="22">
        <f>IF(G26="","",ROUND(G26*N(H26)/100,2))</f>
        <v/>
      </c>
      <c r="J26" s="32" t="n"/>
      <c r="K26" s="22">
        <f>IF(G26="","",ROUND(G26*N(J26)/100,2))</f>
        <v/>
      </c>
      <c r="L26" s="22">
        <f>IF(G26="","",G26+I26-K26)</f>
        <v/>
      </c>
      <c r="M26" s="35">
        <f>IF(B26="","",ROUNDUP(MONTH(B26)/3,0))</f>
        <v/>
      </c>
      <c r="N26" s="35">
        <f>IF(B26="","",YEAR(B26))</f>
        <v/>
      </c>
    </row>
    <row r="27">
      <c r="B27" s="37" t="n"/>
      <c r="C27" s="31" t="n"/>
      <c r="D27" s="31" t="n"/>
      <c r="E27" s="31" t="n"/>
      <c r="F27" s="31" t="n"/>
      <c r="G27" s="33" t="n"/>
      <c r="H27" s="32" t="n"/>
      <c r="I27" s="22">
        <f>IF(G27="","",ROUND(G27*N(H27)/100,2))</f>
        <v/>
      </c>
      <c r="J27" s="32" t="n"/>
      <c r="K27" s="22">
        <f>IF(G27="","",ROUND(G27*N(J27)/100,2))</f>
        <v/>
      </c>
      <c r="L27" s="22">
        <f>IF(G27="","",G27+I27-K27)</f>
        <v/>
      </c>
      <c r="M27" s="35">
        <f>IF(B27="","",ROUNDUP(MONTH(B27)/3,0))</f>
        <v/>
      </c>
      <c r="N27" s="35">
        <f>IF(B27="","",YEAR(B27))</f>
        <v/>
      </c>
    </row>
    <row r="28">
      <c r="B28" s="37" t="n"/>
      <c r="C28" s="31" t="n"/>
      <c r="D28" s="31" t="n"/>
      <c r="E28" s="31" t="n"/>
      <c r="F28" s="31" t="n"/>
      <c r="G28" s="33" t="n"/>
      <c r="H28" s="32" t="n"/>
      <c r="I28" s="22">
        <f>IF(G28="","",ROUND(G28*N(H28)/100,2))</f>
        <v/>
      </c>
      <c r="J28" s="32" t="n"/>
      <c r="K28" s="22">
        <f>IF(G28="","",ROUND(G28*N(J28)/100,2))</f>
        <v/>
      </c>
      <c r="L28" s="22">
        <f>IF(G28="","",G28+I28-K28)</f>
        <v/>
      </c>
      <c r="M28" s="35">
        <f>IF(B28="","",ROUNDUP(MONTH(B28)/3,0))</f>
        <v/>
      </c>
      <c r="N28" s="35">
        <f>IF(B28="","",YEAR(B28))</f>
        <v/>
      </c>
    </row>
    <row r="29">
      <c r="B29" s="37" t="n"/>
      <c r="C29" s="31" t="n"/>
      <c r="D29" s="31" t="n"/>
      <c r="E29" s="31" t="n"/>
      <c r="F29" s="31" t="n"/>
      <c r="G29" s="33" t="n"/>
      <c r="H29" s="32" t="n"/>
      <c r="I29" s="22">
        <f>IF(G29="","",ROUND(G29*N(H29)/100,2))</f>
        <v/>
      </c>
      <c r="J29" s="32" t="n"/>
      <c r="K29" s="22">
        <f>IF(G29="","",ROUND(G29*N(J29)/100,2))</f>
        <v/>
      </c>
      <c r="L29" s="22">
        <f>IF(G29="","",G29+I29-K29)</f>
        <v/>
      </c>
      <c r="M29" s="35">
        <f>IF(B29="","",ROUNDUP(MONTH(B29)/3,0))</f>
        <v/>
      </c>
      <c r="N29" s="35">
        <f>IF(B29="","",YEAR(B29))</f>
        <v/>
      </c>
    </row>
    <row r="30">
      <c r="B30" s="37" t="n"/>
      <c r="C30" s="31" t="n"/>
      <c r="D30" s="31" t="n"/>
      <c r="E30" s="31" t="n"/>
      <c r="F30" s="31" t="n"/>
      <c r="G30" s="33" t="n"/>
      <c r="H30" s="32" t="n"/>
      <c r="I30" s="22">
        <f>IF(G30="","",ROUND(G30*N(H30)/100,2))</f>
        <v/>
      </c>
      <c r="J30" s="32" t="n"/>
      <c r="K30" s="22">
        <f>IF(G30="","",ROUND(G30*N(J30)/100,2))</f>
        <v/>
      </c>
      <c r="L30" s="22">
        <f>IF(G30="","",G30+I30-K30)</f>
        <v/>
      </c>
      <c r="M30" s="35">
        <f>IF(B30="","",ROUNDUP(MONTH(B30)/3,0))</f>
        <v/>
      </c>
      <c r="N30" s="35">
        <f>IF(B30="","",YEAR(B30))</f>
        <v/>
      </c>
    </row>
    <row r="31">
      <c r="B31" s="37" t="n"/>
      <c r="C31" s="31" t="n"/>
      <c r="D31" s="31" t="n"/>
      <c r="E31" s="31" t="n"/>
      <c r="F31" s="31" t="n"/>
      <c r="G31" s="33" t="n"/>
      <c r="H31" s="32" t="n"/>
      <c r="I31" s="22">
        <f>IF(G31="","",ROUND(G31*N(H31)/100,2))</f>
        <v/>
      </c>
      <c r="J31" s="32" t="n"/>
      <c r="K31" s="22">
        <f>IF(G31="","",ROUND(G31*N(J31)/100,2))</f>
        <v/>
      </c>
      <c r="L31" s="22">
        <f>IF(G31="","",G31+I31-K31)</f>
        <v/>
      </c>
      <c r="M31" s="35">
        <f>IF(B31="","",ROUNDUP(MONTH(B31)/3,0))</f>
        <v/>
      </c>
      <c r="N31" s="35">
        <f>IF(B31="","",YEAR(B31))</f>
        <v/>
      </c>
    </row>
    <row r="32">
      <c r="B32" s="37" t="n"/>
      <c r="C32" s="31" t="n"/>
      <c r="D32" s="31" t="n"/>
      <c r="E32" s="31" t="n"/>
      <c r="F32" s="31" t="n"/>
      <c r="G32" s="33" t="n"/>
      <c r="H32" s="32" t="n"/>
      <c r="I32" s="22">
        <f>IF(G32="","",ROUND(G32*N(H32)/100,2))</f>
        <v/>
      </c>
      <c r="J32" s="32" t="n"/>
      <c r="K32" s="22">
        <f>IF(G32="","",ROUND(G32*N(J32)/100,2))</f>
        <v/>
      </c>
      <c r="L32" s="22">
        <f>IF(G32="","",G32+I32-K32)</f>
        <v/>
      </c>
      <c r="M32" s="35">
        <f>IF(B32="","",ROUNDUP(MONTH(B32)/3,0))</f>
        <v/>
      </c>
      <c r="N32" s="35">
        <f>IF(B32="","",YEAR(B32))</f>
        <v/>
      </c>
    </row>
    <row r="33">
      <c r="B33" s="37" t="n"/>
      <c r="C33" s="31" t="n"/>
      <c r="D33" s="31" t="n"/>
      <c r="E33" s="31" t="n"/>
      <c r="F33" s="31" t="n"/>
      <c r="G33" s="33" t="n"/>
      <c r="H33" s="32" t="n"/>
      <c r="I33" s="22">
        <f>IF(G33="","",ROUND(G33*N(H33)/100,2))</f>
        <v/>
      </c>
      <c r="J33" s="32" t="n"/>
      <c r="K33" s="22">
        <f>IF(G33="","",ROUND(G33*N(J33)/100,2))</f>
        <v/>
      </c>
      <c r="L33" s="22">
        <f>IF(G33="","",G33+I33-K33)</f>
        <v/>
      </c>
      <c r="M33" s="35">
        <f>IF(B33="","",ROUNDUP(MONTH(B33)/3,0))</f>
        <v/>
      </c>
      <c r="N33" s="35">
        <f>IF(B33="","",YEAR(B33))</f>
        <v/>
      </c>
    </row>
    <row r="34">
      <c r="B34" s="37" t="n"/>
      <c r="C34" s="31" t="n"/>
      <c r="D34" s="31" t="n"/>
      <c r="E34" s="31" t="n"/>
      <c r="F34" s="31" t="n"/>
      <c r="G34" s="33" t="n"/>
      <c r="H34" s="32" t="n"/>
      <c r="I34" s="22">
        <f>IF(G34="","",ROUND(G34*N(H34)/100,2))</f>
        <v/>
      </c>
      <c r="J34" s="32" t="n"/>
      <c r="K34" s="22">
        <f>IF(G34="","",ROUND(G34*N(J34)/100,2))</f>
        <v/>
      </c>
      <c r="L34" s="22">
        <f>IF(G34="","",G34+I34-K34)</f>
        <v/>
      </c>
      <c r="M34" s="35">
        <f>IF(B34="","",ROUNDUP(MONTH(B34)/3,0))</f>
        <v/>
      </c>
      <c r="N34" s="35">
        <f>IF(B34="","",YEAR(B34))</f>
        <v/>
      </c>
    </row>
    <row r="35">
      <c r="B35" s="37" t="n"/>
      <c r="C35" s="31" t="n"/>
      <c r="D35" s="31" t="n"/>
      <c r="E35" s="31" t="n"/>
      <c r="F35" s="31" t="n"/>
      <c r="G35" s="33" t="n"/>
      <c r="H35" s="32" t="n"/>
      <c r="I35" s="22">
        <f>IF(G35="","",ROUND(G35*N(H35)/100,2))</f>
        <v/>
      </c>
      <c r="J35" s="32" t="n"/>
      <c r="K35" s="22">
        <f>IF(G35="","",ROUND(G35*N(J35)/100,2))</f>
        <v/>
      </c>
      <c r="L35" s="22">
        <f>IF(G35="","",G35+I35-K35)</f>
        <v/>
      </c>
      <c r="M35" s="35">
        <f>IF(B35="","",ROUNDUP(MONTH(B35)/3,0))</f>
        <v/>
      </c>
      <c r="N35" s="35">
        <f>IF(B35="","",YEAR(B35))</f>
        <v/>
      </c>
    </row>
    <row r="36">
      <c r="B36" s="37" t="n"/>
      <c r="C36" s="31" t="n"/>
      <c r="D36" s="31" t="n"/>
      <c r="E36" s="31" t="n"/>
      <c r="F36" s="31" t="n"/>
      <c r="G36" s="33" t="n"/>
      <c r="H36" s="32" t="n"/>
      <c r="I36" s="22">
        <f>IF(G36="","",ROUND(G36*N(H36)/100,2))</f>
        <v/>
      </c>
      <c r="J36" s="32" t="n"/>
      <c r="K36" s="22">
        <f>IF(G36="","",ROUND(G36*N(J36)/100,2))</f>
        <v/>
      </c>
      <c r="L36" s="22">
        <f>IF(G36="","",G36+I36-K36)</f>
        <v/>
      </c>
      <c r="M36" s="35">
        <f>IF(B36="","",ROUNDUP(MONTH(B36)/3,0))</f>
        <v/>
      </c>
      <c r="N36" s="35">
        <f>IF(B36="","",YEAR(B36))</f>
        <v/>
      </c>
    </row>
    <row r="37">
      <c r="B37" s="37" t="n"/>
      <c r="C37" s="31" t="n"/>
      <c r="D37" s="31" t="n"/>
      <c r="E37" s="31" t="n"/>
      <c r="F37" s="31" t="n"/>
      <c r="G37" s="33" t="n"/>
      <c r="H37" s="32" t="n"/>
      <c r="I37" s="22">
        <f>IF(G37="","",ROUND(G37*N(H37)/100,2))</f>
        <v/>
      </c>
      <c r="J37" s="32" t="n"/>
      <c r="K37" s="22">
        <f>IF(G37="","",ROUND(G37*N(J37)/100,2))</f>
        <v/>
      </c>
      <c r="L37" s="22">
        <f>IF(G37="","",G37+I37-K37)</f>
        <v/>
      </c>
      <c r="M37" s="35">
        <f>IF(B37="","",ROUNDUP(MONTH(B37)/3,0))</f>
        <v/>
      </c>
      <c r="N37" s="35">
        <f>IF(B37="","",YEAR(B37))</f>
        <v/>
      </c>
    </row>
    <row r="38">
      <c r="B38" s="37" t="n"/>
      <c r="C38" s="31" t="n"/>
      <c r="D38" s="31" t="n"/>
      <c r="E38" s="31" t="n"/>
      <c r="F38" s="31" t="n"/>
      <c r="G38" s="33" t="n"/>
      <c r="H38" s="32" t="n"/>
      <c r="I38" s="22">
        <f>IF(G38="","",ROUND(G38*N(H38)/100,2))</f>
        <v/>
      </c>
      <c r="J38" s="32" t="n"/>
      <c r="K38" s="22">
        <f>IF(G38="","",ROUND(G38*N(J38)/100,2))</f>
        <v/>
      </c>
      <c r="L38" s="22">
        <f>IF(G38="","",G38+I38-K38)</f>
        <v/>
      </c>
      <c r="M38" s="35">
        <f>IF(B38="","",ROUNDUP(MONTH(B38)/3,0))</f>
        <v/>
      </c>
      <c r="N38" s="35">
        <f>IF(B38="","",YEAR(B38))</f>
        <v/>
      </c>
    </row>
    <row r="39">
      <c r="B39" s="37" t="n"/>
      <c r="C39" s="31" t="n"/>
      <c r="D39" s="31" t="n"/>
      <c r="E39" s="31" t="n"/>
      <c r="F39" s="31" t="n"/>
      <c r="G39" s="33" t="n"/>
      <c r="H39" s="32" t="n"/>
      <c r="I39" s="22">
        <f>IF(G39="","",ROUND(G39*N(H39)/100,2))</f>
        <v/>
      </c>
      <c r="J39" s="32" t="n"/>
      <c r="K39" s="22">
        <f>IF(G39="","",ROUND(G39*N(J39)/100,2))</f>
        <v/>
      </c>
      <c r="L39" s="22">
        <f>IF(G39="","",G39+I39-K39)</f>
        <v/>
      </c>
      <c r="M39" s="35">
        <f>IF(B39="","",ROUNDUP(MONTH(B39)/3,0))</f>
        <v/>
      </c>
      <c r="N39" s="35">
        <f>IF(B39="","",YEAR(B39))</f>
        <v/>
      </c>
    </row>
    <row r="40">
      <c r="B40" s="37" t="n"/>
      <c r="C40" s="31" t="n"/>
      <c r="D40" s="31" t="n"/>
      <c r="E40" s="31" t="n"/>
      <c r="F40" s="31" t="n"/>
      <c r="G40" s="33" t="n"/>
      <c r="H40" s="32" t="n"/>
      <c r="I40" s="22">
        <f>IF(G40="","",ROUND(G40*N(H40)/100,2))</f>
        <v/>
      </c>
      <c r="J40" s="32" t="n"/>
      <c r="K40" s="22">
        <f>IF(G40="","",ROUND(G40*N(J40)/100,2))</f>
        <v/>
      </c>
      <c r="L40" s="22">
        <f>IF(G40="","",G40+I40-K40)</f>
        <v/>
      </c>
      <c r="M40" s="35">
        <f>IF(B40="","",ROUNDUP(MONTH(B40)/3,0))</f>
        <v/>
      </c>
      <c r="N40" s="35">
        <f>IF(B40="","",YEAR(B40))</f>
        <v/>
      </c>
    </row>
    <row r="41">
      <c r="B41" s="37" t="n"/>
      <c r="C41" s="31" t="n"/>
      <c r="D41" s="31" t="n"/>
      <c r="E41" s="31" t="n"/>
      <c r="F41" s="31" t="n"/>
      <c r="G41" s="33" t="n"/>
      <c r="H41" s="32" t="n"/>
      <c r="I41" s="22">
        <f>IF(G41="","",ROUND(G41*N(H41)/100,2))</f>
        <v/>
      </c>
      <c r="J41" s="32" t="n"/>
      <c r="K41" s="22">
        <f>IF(G41="","",ROUND(G41*N(J41)/100,2))</f>
        <v/>
      </c>
      <c r="L41" s="22">
        <f>IF(G41="","",G41+I41-K41)</f>
        <v/>
      </c>
      <c r="M41" s="35">
        <f>IF(B41="","",ROUNDUP(MONTH(B41)/3,0))</f>
        <v/>
      </c>
      <c r="N41" s="35">
        <f>IF(B41="","",YEAR(B41))</f>
        <v/>
      </c>
    </row>
    <row r="42">
      <c r="B42" s="37" t="n"/>
      <c r="C42" s="31" t="n"/>
      <c r="D42" s="31" t="n"/>
      <c r="E42" s="31" t="n"/>
      <c r="F42" s="31" t="n"/>
      <c r="G42" s="33" t="n"/>
      <c r="H42" s="32" t="n"/>
      <c r="I42" s="22">
        <f>IF(G42="","",ROUND(G42*N(H42)/100,2))</f>
        <v/>
      </c>
      <c r="J42" s="32" t="n"/>
      <c r="K42" s="22">
        <f>IF(G42="","",ROUND(G42*N(J42)/100,2))</f>
        <v/>
      </c>
      <c r="L42" s="22">
        <f>IF(G42="","",G42+I42-K42)</f>
        <v/>
      </c>
      <c r="M42" s="35">
        <f>IF(B42="","",ROUNDUP(MONTH(B42)/3,0))</f>
        <v/>
      </c>
      <c r="N42" s="35">
        <f>IF(B42="","",YEAR(B42))</f>
        <v/>
      </c>
    </row>
    <row r="43">
      <c r="B43" s="37" t="n"/>
      <c r="C43" s="31" t="n"/>
      <c r="D43" s="31" t="n"/>
      <c r="E43" s="31" t="n"/>
      <c r="F43" s="31" t="n"/>
      <c r="G43" s="33" t="n"/>
      <c r="H43" s="32" t="n"/>
      <c r="I43" s="22">
        <f>IF(G43="","",ROUND(G43*N(H43)/100,2))</f>
        <v/>
      </c>
      <c r="J43" s="32" t="n"/>
      <c r="K43" s="22">
        <f>IF(G43="","",ROUND(G43*N(J43)/100,2))</f>
        <v/>
      </c>
      <c r="L43" s="22">
        <f>IF(G43="","",G43+I43-K43)</f>
        <v/>
      </c>
      <c r="M43" s="35">
        <f>IF(B43="","",ROUNDUP(MONTH(B43)/3,0))</f>
        <v/>
      </c>
      <c r="N43" s="35">
        <f>IF(B43="","",YEAR(B43))</f>
        <v/>
      </c>
    </row>
    <row r="44">
      <c r="B44" s="37" t="n"/>
      <c r="C44" s="31" t="n"/>
      <c r="D44" s="31" t="n"/>
      <c r="E44" s="31" t="n"/>
      <c r="F44" s="31" t="n"/>
      <c r="G44" s="33" t="n"/>
      <c r="H44" s="32" t="n"/>
      <c r="I44" s="22">
        <f>IF(G44="","",ROUND(G44*N(H44)/100,2))</f>
        <v/>
      </c>
      <c r="J44" s="32" t="n"/>
      <c r="K44" s="22">
        <f>IF(G44="","",ROUND(G44*N(J44)/100,2))</f>
        <v/>
      </c>
      <c r="L44" s="22">
        <f>IF(G44="","",G44+I44-K44)</f>
        <v/>
      </c>
      <c r="M44" s="35">
        <f>IF(B44="","",ROUNDUP(MONTH(B44)/3,0))</f>
        <v/>
      </c>
      <c r="N44" s="35">
        <f>IF(B44="","",YEAR(B44))</f>
        <v/>
      </c>
    </row>
    <row r="45">
      <c r="B45" s="37" t="n"/>
      <c r="C45" s="31" t="n"/>
      <c r="D45" s="31" t="n"/>
      <c r="E45" s="31" t="n"/>
      <c r="F45" s="31" t="n"/>
      <c r="G45" s="33" t="n"/>
      <c r="H45" s="32" t="n"/>
      <c r="I45" s="22">
        <f>IF(G45="","",ROUND(G45*N(H45)/100,2))</f>
        <v/>
      </c>
      <c r="J45" s="32" t="n"/>
      <c r="K45" s="22">
        <f>IF(G45="","",ROUND(G45*N(J45)/100,2))</f>
        <v/>
      </c>
      <c r="L45" s="22">
        <f>IF(G45="","",G45+I45-K45)</f>
        <v/>
      </c>
      <c r="M45" s="35">
        <f>IF(B45="","",ROUNDUP(MONTH(B45)/3,0))</f>
        <v/>
      </c>
      <c r="N45" s="35">
        <f>IF(B45="","",YEAR(B45))</f>
        <v/>
      </c>
    </row>
    <row r="46">
      <c r="B46" s="37" t="n"/>
      <c r="C46" s="31" t="n"/>
      <c r="D46" s="31" t="n"/>
      <c r="E46" s="31" t="n"/>
      <c r="F46" s="31" t="n"/>
      <c r="G46" s="33" t="n"/>
      <c r="H46" s="32" t="n"/>
      <c r="I46" s="22">
        <f>IF(G46="","",ROUND(G46*N(H46)/100,2))</f>
        <v/>
      </c>
      <c r="J46" s="32" t="n"/>
      <c r="K46" s="22">
        <f>IF(G46="","",ROUND(G46*N(J46)/100,2))</f>
        <v/>
      </c>
      <c r="L46" s="22">
        <f>IF(G46="","",G46+I46-K46)</f>
        <v/>
      </c>
      <c r="M46" s="35">
        <f>IF(B46="","",ROUNDUP(MONTH(B46)/3,0))</f>
        <v/>
      </c>
      <c r="N46" s="35">
        <f>IF(B46="","",YEAR(B46))</f>
        <v/>
      </c>
    </row>
    <row r="47">
      <c r="B47" s="37" t="n"/>
      <c r="C47" s="31" t="n"/>
      <c r="D47" s="31" t="n"/>
      <c r="E47" s="31" t="n"/>
      <c r="F47" s="31" t="n"/>
      <c r="G47" s="33" t="n"/>
      <c r="H47" s="32" t="n"/>
      <c r="I47" s="22">
        <f>IF(G47="","",ROUND(G47*N(H47)/100,2))</f>
        <v/>
      </c>
      <c r="J47" s="32" t="n"/>
      <c r="K47" s="22">
        <f>IF(G47="","",ROUND(G47*N(J47)/100,2))</f>
        <v/>
      </c>
      <c r="L47" s="22">
        <f>IF(G47="","",G47+I47-K47)</f>
        <v/>
      </c>
      <c r="M47" s="35">
        <f>IF(B47="","",ROUNDUP(MONTH(B47)/3,0))</f>
        <v/>
      </c>
      <c r="N47" s="35">
        <f>IF(B47="","",YEAR(B47))</f>
        <v/>
      </c>
    </row>
    <row r="48">
      <c r="B48" s="37" t="n"/>
      <c r="C48" s="31" t="n"/>
      <c r="D48" s="31" t="n"/>
      <c r="E48" s="31" t="n"/>
      <c r="F48" s="31" t="n"/>
      <c r="G48" s="33" t="n"/>
      <c r="H48" s="32" t="n"/>
      <c r="I48" s="22">
        <f>IF(G48="","",ROUND(G48*N(H48)/100,2))</f>
        <v/>
      </c>
      <c r="J48" s="32" t="n"/>
      <c r="K48" s="22">
        <f>IF(G48="","",ROUND(G48*N(J48)/100,2))</f>
        <v/>
      </c>
      <c r="L48" s="22">
        <f>IF(G48="","",G48+I48-K48)</f>
        <v/>
      </c>
      <c r="M48" s="35">
        <f>IF(B48="","",ROUNDUP(MONTH(B48)/3,0))</f>
        <v/>
      </c>
      <c r="N48" s="35">
        <f>IF(B48="","",YEAR(B48))</f>
        <v/>
      </c>
    </row>
    <row r="49">
      <c r="B49" s="37" t="n"/>
      <c r="C49" s="31" t="n"/>
      <c r="D49" s="31" t="n"/>
      <c r="E49" s="31" t="n"/>
      <c r="F49" s="31" t="n"/>
      <c r="G49" s="33" t="n"/>
      <c r="H49" s="32" t="n"/>
      <c r="I49" s="22">
        <f>IF(G49="","",ROUND(G49*N(H49)/100,2))</f>
        <v/>
      </c>
      <c r="J49" s="32" t="n"/>
      <c r="K49" s="22">
        <f>IF(G49="","",ROUND(G49*N(J49)/100,2))</f>
        <v/>
      </c>
      <c r="L49" s="22">
        <f>IF(G49="","",G49+I49-K49)</f>
        <v/>
      </c>
      <c r="M49" s="35">
        <f>IF(B49="","",ROUNDUP(MONTH(B49)/3,0))</f>
        <v/>
      </c>
      <c r="N49" s="35">
        <f>IF(B49="","",YEAR(B49))</f>
        <v/>
      </c>
    </row>
    <row r="50">
      <c r="B50" s="37" t="n"/>
      <c r="C50" s="31" t="n"/>
      <c r="D50" s="31" t="n"/>
      <c r="E50" s="31" t="n"/>
      <c r="F50" s="31" t="n"/>
      <c r="G50" s="33" t="n"/>
      <c r="H50" s="32" t="n"/>
      <c r="I50" s="22">
        <f>IF(G50="","",ROUND(G50*N(H50)/100,2))</f>
        <v/>
      </c>
      <c r="J50" s="32" t="n"/>
      <c r="K50" s="22">
        <f>IF(G50="","",ROUND(G50*N(J50)/100,2))</f>
        <v/>
      </c>
      <c r="L50" s="22">
        <f>IF(G50="","",G50+I50-K50)</f>
        <v/>
      </c>
      <c r="M50" s="35">
        <f>IF(B50="","",ROUNDUP(MONTH(B50)/3,0))</f>
        <v/>
      </c>
      <c r="N50" s="35">
        <f>IF(B50="","",YEAR(B50))</f>
        <v/>
      </c>
    </row>
    <row r="51">
      <c r="B51" s="37" t="n"/>
      <c r="C51" s="31" t="n"/>
      <c r="D51" s="31" t="n"/>
      <c r="E51" s="31" t="n"/>
      <c r="F51" s="31" t="n"/>
      <c r="G51" s="33" t="n"/>
      <c r="H51" s="32" t="n"/>
      <c r="I51" s="22">
        <f>IF(G51="","",ROUND(G51*N(H51)/100,2))</f>
        <v/>
      </c>
      <c r="J51" s="32" t="n"/>
      <c r="K51" s="22">
        <f>IF(G51="","",ROUND(G51*N(J51)/100,2))</f>
        <v/>
      </c>
      <c r="L51" s="22">
        <f>IF(G51="","",G51+I51-K51)</f>
        <v/>
      </c>
      <c r="M51" s="35">
        <f>IF(B51="","",ROUNDUP(MONTH(B51)/3,0))</f>
        <v/>
      </c>
      <c r="N51" s="35">
        <f>IF(B51="","",YEAR(B51))</f>
        <v/>
      </c>
    </row>
    <row r="52">
      <c r="B52" s="37" t="n"/>
      <c r="C52" s="31" t="n"/>
      <c r="D52" s="31" t="n"/>
      <c r="E52" s="31" t="n"/>
      <c r="F52" s="31" t="n"/>
      <c r="G52" s="33" t="n"/>
      <c r="H52" s="32" t="n"/>
      <c r="I52" s="22">
        <f>IF(G52="","",ROUND(G52*N(H52)/100,2))</f>
        <v/>
      </c>
      <c r="J52" s="32" t="n"/>
      <c r="K52" s="22">
        <f>IF(G52="","",ROUND(G52*N(J52)/100,2))</f>
        <v/>
      </c>
      <c r="L52" s="22">
        <f>IF(G52="","",G52+I52-K52)</f>
        <v/>
      </c>
      <c r="M52" s="35">
        <f>IF(B52="","",ROUNDUP(MONTH(B52)/3,0))</f>
        <v/>
      </c>
      <c r="N52" s="35">
        <f>IF(B52="","",YEAR(B52))</f>
        <v/>
      </c>
    </row>
    <row r="53">
      <c r="B53" s="37" t="n"/>
      <c r="C53" s="31" t="n"/>
      <c r="D53" s="31" t="n"/>
      <c r="E53" s="31" t="n"/>
      <c r="F53" s="31" t="n"/>
      <c r="G53" s="33" t="n"/>
      <c r="H53" s="32" t="n"/>
      <c r="I53" s="22">
        <f>IF(G53="","",ROUND(G53*N(H53)/100,2))</f>
        <v/>
      </c>
      <c r="J53" s="32" t="n"/>
      <c r="K53" s="22">
        <f>IF(G53="","",ROUND(G53*N(J53)/100,2))</f>
        <v/>
      </c>
      <c r="L53" s="22">
        <f>IF(G53="","",G53+I53-K53)</f>
        <v/>
      </c>
      <c r="M53" s="35">
        <f>IF(B53="","",ROUNDUP(MONTH(B53)/3,0))</f>
        <v/>
      </c>
      <c r="N53" s="35">
        <f>IF(B53="","",YEAR(B53))</f>
        <v/>
      </c>
    </row>
    <row r="54">
      <c r="B54" s="37" t="n"/>
      <c r="C54" s="31" t="n"/>
      <c r="D54" s="31" t="n"/>
      <c r="E54" s="31" t="n"/>
      <c r="F54" s="31" t="n"/>
      <c r="G54" s="33" t="n"/>
      <c r="H54" s="32" t="n"/>
      <c r="I54" s="22">
        <f>IF(G54="","",ROUND(G54*N(H54)/100,2))</f>
        <v/>
      </c>
      <c r="J54" s="32" t="n"/>
      <c r="K54" s="22">
        <f>IF(G54="","",ROUND(G54*N(J54)/100,2))</f>
        <v/>
      </c>
      <c r="L54" s="22">
        <f>IF(G54="","",G54+I54-K54)</f>
        <v/>
      </c>
      <c r="M54" s="35">
        <f>IF(B54="","",ROUNDUP(MONTH(B54)/3,0))</f>
        <v/>
      </c>
      <c r="N54" s="35">
        <f>IF(B54="","",YEAR(B54))</f>
        <v/>
      </c>
    </row>
    <row r="55">
      <c r="B55" s="37" t="n"/>
      <c r="C55" s="31" t="n"/>
      <c r="D55" s="31" t="n"/>
      <c r="E55" s="31" t="n"/>
      <c r="F55" s="31" t="n"/>
      <c r="G55" s="33" t="n"/>
      <c r="H55" s="32" t="n"/>
      <c r="I55" s="22">
        <f>IF(G55="","",ROUND(G55*N(H55)/100,2))</f>
        <v/>
      </c>
      <c r="J55" s="32" t="n"/>
      <c r="K55" s="22">
        <f>IF(G55="","",ROUND(G55*N(J55)/100,2))</f>
        <v/>
      </c>
      <c r="L55" s="22">
        <f>IF(G55="","",G55+I55-K55)</f>
        <v/>
      </c>
      <c r="M55" s="35">
        <f>IF(B55="","",ROUNDUP(MONTH(B55)/3,0))</f>
        <v/>
      </c>
      <c r="N55" s="35">
        <f>IF(B55="","",YEAR(B55))</f>
        <v/>
      </c>
    </row>
    <row r="56">
      <c r="B56" s="37" t="n"/>
      <c r="C56" s="31" t="n"/>
      <c r="D56" s="31" t="n"/>
      <c r="E56" s="31" t="n"/>
      <c r="F56" s="31" t="n"/>
      <c r="G56" s="33" t="n"/>
      <c r="H56" s="32" t="n"/>
      <c r="I56" s="22">
        <f>IF(G56="","",ROUND(G56*N(H56)/100,2))</f>
        <v/>
      </c>
      <c r="J56" s="32" t="n"/>
      <c r="K56" s="22">
        <f>IF(G56="","",ROUND(G56*N(J56)/100,2))</f>
        <v/>
      </c>
      <c r="L56" s="22">
        <f>IF(G56="","",G56+I56-K56)</f>
        <v/>
      </c>
      <c r="M56" s="35">
        <f>IF(B56="","",ROUNDUP(MONTH(B56)/3,0))</f>
        <v/>
      </c>
      <c r="N56" s="35">
        <f>IF(B56="","",YEAR(B56))</f>
        <v/>
      </c>
    </row>
    <row r="57">
      <c r="B57" s="37" t="n"/>
      <c r="C57" s="31" t="n"/>
      <c r="D57" s="31" t="n"/>
      <c r="E57" s="31" t="n"/>
      <c r="F57" s="31" t="n"/>
      <c r="G57" s="33" t="n"/>
      <c r="H57" s="32" t="n"/>
      <c r="I57" s="22">
        <f>IF(G57="","",ROUND(G57*N(H57)/100,2))</f>
        <v/>
      </c>
      <c r="J57" s="32" t="n"/>
      <c r="K57" s="22">
        <f>IF(G57="","",ROUND(G57*N(J57)/100,2))</f>
        <v/>
      </c>
      <c r="L57" s="22">
        <f>IF(G57="","",G57+I57-K57)</f>
        <v/>
      </c>
      <c r="M57" s="35">
        <f>IF(B57="","",ROUNDUP(MONTH(B57)/3,0))</f>
        <v/>
      </c>
      <c r="N57" s="35">
        <f>IF(B57="","",YEAR(B57))</f>
        <v/>
      </c>
    </row>
    <row r="58">
      <c r="B58" s="37" t="n"/>
      <c r="C58" s="31" t="n"/>
      <c r="D58" s="31" t="n"/>
      <c r="E58" s="31" t="n"/>
      <c r="F58" s="31" t="n"/>
      <c r="G58" s="33" t="n"/>
      <c r="H58" s="32" t="n"/>
      <c r="I58" s="22">
        <f>IF(G58="","",ROUND(G58*N(H58)/100,2))</f>
        <v/>
      </c>
      <c r="J58" s="32" t="n"/>
      <c r="K58" s="22">
        <f>IF(G58="","",ROUND(G58*N(J58)/100,2))</f>
        <v/>
      </c>
      <c r="L58" s="22">
        <f>IF(G58="","",G58+I58-K58)</f>
        <v/>
      </c>
      <c r="M58" s="35">
        <f>IF(B58="","",ROUNDUP(MONTH(B58)/3,0))</f>
        <v/>
      </c>
      <c r="N58" s="35">
        <f>IF(B58="","",YEAR(B58))</f>
        <v/>
      </c>
    </row>
    <row r="59">
      <c r="B59" s="37" t="n"/>
      <c r="C59" s="31" t="n"/>
      <c r="D59" s="31" t="n"/>
      <c r="E59" s="31" t="n"/>
      <c r="F59" s="31" t="n"/>
      <c r="G59" s="33" t="n"/>
      <c r="H59" s="32" t="n"/>
      <c r="I59" s="22">
        <f>IF(G59="","",ROUND(G59*N(H59)/100,2))</f>
        <v/>
      </c>
      <c r="J59" s="32" t="n"/>
      <c r="K59" s="22">
        <f>IF(G59="","",ROUND(G59*N(J59)/100,2))</f>
        <v/>
      </c>
      <c r="L59" s="22">
        <f>IF(G59="","",G59+I59-K59)</f>
        <v/>
      </c>
      <c r="M59" s="35">
        <f>IF(B59="","",ROUNDUP(MONTH(B59)/3,0))</f>
        <v/>
      </c>
      <c r="N59" s="35">
        <f>IF(B59="","",YEAR(B59))</f>
        <v/>
      </c>
    </row>
    <row r="60">
      <c r="B60" s="37" t="n"/>
      <c r="C60" s="31" t="n"/>
      <c r="D60" s="31" t="n"/>
      <c r="E60" s="31" t="n"/>
      <c r="F60" s="31" t="n"/>
      <c r="G60" s="33" t="n"/>
      <c r="H60" s="32" t="n"/>
      <c r="I60" s="22">
        <f>IF(G60="","",ROUND(G60*N(H60)/100,2))</f>
        <v/>
      </c>
      <c r="J60" s="32" t="n"/>
      <c r="K60" s="22">
        <f>IF(G60="","",ROUND(G60*N(J60)/100,2))</f>
        <v/>
      </c>
      <c r="L60" s="22">
        <f>IF(G60="","",G60+I60-K60)</f>
        <v/>
      </c>
      <c r="M60" s="35">
        <f>IF(B60="","",ROUNDUP(MONTH(B60)/3,0))</f>
        <v/>
      </c>
      <c r="N60" s="35">
        <f>IF(B60="","",YEAR(B60))</f>
        <v/>
      </c>
    </row>
    <row r="61">
      <c r="B61" s="37" t="n"/>
      <c r="C61" s="31" t="n"/>
      <c r="D61" s="31" t="n"/>
      <c r="E61" s="31" t="n"/>
      <c r="F61" s="31" t="n"/>
      <c r="G61" s="33" t="n"/>
      <c r="H61" s="32" t="n"/>
      <c r="I61" s="22">
        <f>IF(G61="","",ROUND(G61*N(H61)/100,2))</f>
        <v/>
      </c>
      <c r="J61" s="32" t="n"/>
      <c r="K61" s="22">
        <f>IF(G61="","",ROUND(G61*N(J61)/100,2))</f>
        <v/>
      </c>
      <c r="L61" s="22">
        <f>IF(G61="","",G61+I61-K61)</f>
        <v/>
      </c>
      <c r="M61" s="35">
        <f>IF(B61="","",ROUNDUP(MONTH(B61)/3,0))</f>
        <v/>
      </c>
      <c r="N61" s="35">
        <f>IF(B61="","",YEAR(B61))</f>
        <v/>
      </c>
    </row>
    <row r="62">
      <c r="B62" s="37" t="n"/>
      <c r="C62" s="31" t="n"/>
      <c r="D62" s="31" t="n"/>
      <c r="E62" s="31" t="n"/>
      <c r="F62" s="31" t="n"/>
      <c r="G62" s="33" t="n"/>
      <c r="H62" s="32" t="n"/>
      <c r="I62" s="22">
        <f>IF(G62="","",ROUND(G62*N(H62)/100,2))</f>
        <v/>
      </c>
      <c r="J62" s="32" t="n"/>
      <c r="K62" s="22">
        <f>IF(G62="","",ROUND(G62*N(J62)/100,2))</f>
        <v/>
      </c>
      <c r="L62" s="22">
        <f>IF(G62="","",G62+I62-K62)</f>
        <v/>
      </c>
      <c r="M62" s="35">
        <f>IF(B62="","",ROUNDUP(MONTH(B62)/3,0))</f>
        <v/>
      </c>
      <c r="N62" s="35">
        <f>IF(B62="","",YEAR(B62))</f>
        <v/>
      </c>
    </row>
    <row r="63">
      <c r="B63" s="37" t="n"/>
      <c r="C63" s="31" t="n"/>
      <c r="D63" s="31" t="n"/>
      <c r="E63" s="31" t="n"/>
      <c r="F63" s="31" t="n"/>
      <c r="G63" s="33" t="n"/>
      <c r="H63" s="32" t="n"/>
      <c r="I63" s="22">
        <f>IF(G63="","",ROUND(G63*N(H63)/100,2))</f>
        <v/>
      </c>
      <c r="J63" s="32" t="n"/>
      <c r="K63" s="22">
        <f>IF(G63="","",ROUND(G63*N(J63)/100,2))</f>
        <v/>
      </c>
      <c r="L63" s="22">
        <f>IF(G63="","",G63+I63-K63)</f>
        <v/>
      </c>
      <c r="M63" s="35">
        <f>IF(B63="","",ROUNDUP(MONTH(B63)/3,0))</f>
        <v/>
      </c>
      <c r="N63" s="35">
        <f>IF(B63="","",YEAR(B63))</f>
        <v/>
      </c>
    </row>
    <row r="64">
      <c r="B64" s="37" t="n"/>
      <c r="C64" s="31" t="n"/>
      <c r="D64" s="31" t="n"/>
      <c r="E64" s="31" t="n"/>
      <c r="F64" s="31" t="n"/>
      <c r="G64" s="33" t="n"/>
      <c r="H64" s="32" t="n"/>
      <c r="I64" s="22">
        <f>IF(G64="","",ROUND(G64*N(H64)/100,2))</f>
        <v/>
      </c>
      <c r="J64" s="32" t="n"/>
      <c r="K64" s="22">
        <f>IF(G64="","",ROUND(G64*N(J64)/100,2))</f>
        <v/>
      </c>
      <c r="L64" s="22">
        <f>IF(G64="","",G64+I64-K64)</f>
        <v/>
      </c>
      <c r="M64" s="35">
        <f>IF(B64="","",ROUNDUP(MONTH(B64)/3,0))</f>
        <v/>
      </c>
      <c r="N64" s="35">
        <f>IF(B64="","",YEAR(B64))</f>
        <v/>
      </c>
    </row>
    <row r="65">
      <c r="B65" s="37" t="n"/>
      <c r="C65" s="31" t="n"/>
      <c r="D65" s="31" t="n"/>
      <c r="E65" s="31" t="n"/>
      <c r="F65" s="31" t="n"/>
      <c r="G65" s="33" t="n"/>
      <c r="H65" s="32" t="n"/>
      <c r="I65" s="22">
        <f>IF(G65="","",ROUND(G65*N(H65)/100,2))</f>
        <v/>
      </c>
      <c r="J65" s="32" t="n"/>
      <c r="K65" s="22">
        <f>IF(G65="","",ROUND(G65*N(J65)/100,2))</f>
        <v/>
      </c>
      <c r="L65" s="22">
        <f>IF(G65="","",G65+I65-K65)</f>
        <v/>
      </c>
      <c r="M65" s="35">
        <f>IF(B65="","",ROUNDUP(MONTH(B65)/3,0))</f>
        <v/>
      </c>
      <c r="N65" s="35">
        <f>IF(B65="","",YEAR(B65))</f>
        <v/>
      </c>
    </row>
    <row r="66">
      <c r="B66" s="37" t="n"/>
      <c r="C66" s="31" t="n"/>
      <c r="D66" s="31" t="n"/>
      <c r="E66" s="31" t="n"/>
      <c r="F66" s="31" t="n"/>
      <c r="G66" s="33" t="n"/>
      <c r="H66" s="32" t="n"/>
      <c r="I66" s="22">
        <f>IF(G66="","",ROUND(G66*N(H66)/100,2))</f>
        <v/>
      </c>
      <c r="J66" s="32" t="n"/>
      <c r="K66" s="22">
        <f>IF(G66="","",ROUND(G66*N(J66)/100,2))</f>
        <v/>
      </c>
      <c r="L66" s="22">
        <f>IF(G66="","",G66+I66-K66)</f>
        <v/>
      </c>
      <c r="M66" s="35">
        <f>IF(B66="","",ROUNDUP(MONTH(B66)/3,0))</f>
        <v/>
      </c>
      <c r="N66" s="35">
        <f>IF(B66="","",YEAR(B66))</f>
        <v/>
      </c>
    </row>
    <row r="67">
      <c r="B67" s="37" t="n"/>
      <c r="C67" s="31" t="n"/>
      <c r="D67" s="31" t="n"/>
      <c r="E67" s="31" t="n"/>
      <c r="F67" s="31" t="n"/>
      <c r="G67" s="33" t="n"/>
      <c r="H67" s="32" t="n"/>
      <c r="I67" s="22">
        <f>IF(G67="","",ROUND(G67*N(H67)/100,2))</f>
        <v/>
      </c>
      <c r="J67" s="32" t="n"/>
      <c r="K67" s="22">
        <f>IF(G67="","",ROUND(G67*N(J67)/100,2))</f>
        <v/>
      </c>
      <c r="L67" s="22">
        <f>IF(G67="","",G67+I67-K67)</f>
        <v/>
      </c>
      <c r="M67" s="35">
        <f>IF(B67="","",ROUNDUP(MONTH(B67)/3,0))</f>
        <v/>
      </c>
      <c r="N67" s="35">
        <f>IF(B67="","",YEAR(B67))</f>
        <v/>
      </c>
    </row>
    <row r="68">
      <c r="B68" s="37" t="n"/>
      <c r="C68" s="31" t="n"/>
      <c r="D68" s="31" t="n"/>
      <c r="E68" s="31" t="n"/>
      <c r="F68" s="31" t="n"/>
      <c r="G68" s="33" t="n"/>
      <c r="H68" s="32" t="n"/>
      <c r="I68" s="22">
        <f>IF(G68="","",ROUND(G68*N(H68)/100,2))</f>
        <v/>
      </c>
      <c r="J68" s="32" t="n"/>
      <c r="K68" s="22">
        <f>IF(G68="","",ROUND(G68*N(J68)/100,2))</f>
        <v/>
      </c>
      <c r="L68" s="22">
        <f>IF(G68="","",G68+I68-K68)</f>
        <v/>
      </c>
      <c r="M68" s="35">
        <f>IF(B68="","",ROUNDUP(MONTH(B68)/3,0))</f>
        <v/>
      </c>
      <c r="N68" s="35">
        <f>IF(B68="","",YEAR(B68))</f>
        <v/>
      </c>
    </row>
    <row r="69">
      <c r="B69" s="37" t="n"/>
      <c r="C69" s="31" t="n"/>
      <c r="D69" s="31" t="n"/>
      <c r="E69" s="31" t="n"/>
      <c r="F69" s="31" t="n"/>
      <c r="G69" s="33" t="n"/>
      <c r="H69" s="32" t="n"/>
      <c r="I69" s="22">
        <f>IF(G69="","",ROUND(G69*N(H69)/100,2))</f>
        <v/>
      </c>
      <c r="J69" s="32" t="n"/>
      <c r="K69" s="22">
        <f>IF(G69="","",ROUND(G69*N(J69)/100,2))</f>
        <v/>
      </c>
      <c r="L69" s="22">
        <f>IF(G69="","",G69+I69-K69)</f>
        <v/>
      </c>
      <c r="M69" s="35">
        <f>IF(B69="","",ROUNDUP(MONTH(B69)/3,0))</f>
        <v/>
      </c>
      <c r="N69" s="35">
        <f>IF(B69="","",YEAR(B69))</f>
        <v/>
      </c>
    </row>
    <row r="70">
      <c r="B70" s="37" t="n"/>
      <c r="C70" s="31" t="n"/>
      <c r="D70" s="31" t="n"/>
      <c r="E70" s="31" t="n"/>
      <c r="F70" s="31" t="n"/>
      <c r="G70" s="33" t="n"/>
      <c r="H70" s="32" t="n"/>
      <c r="I70" s="22">
        <f>IF(G70="","",ROUND(G70*N(H70)/100,2))</f>
        <v/>
      </c>
      <c r="J70" s="32" t="n"/>
      <c r="K70" s="22">
        <f>IF(G70="","",ROUND(G70*N(J70)/100,2))</f>
        <v/>
      </c>
      <c r="L70" s="22">
        <f>IF(G70="","",G70+I70-K70)</f>
        <v/>
      </c>
      <c r="M70" s="35">
        <f>IF(B70="","",ROUNDUP(MONTH(B70)/3,0))</f>
        <v/>
      </c>
      <c r="N70" s="35">
        <f>IF(B70="","",YEAR(B70))</f>
        <v/>
      </c>
    </row>
    <row r="71">
      <c r="B71" s="37" t="n"/>
      <c r="C71" s="31" t="n"/>
      <c r="D71" s="31" t="n"/>
      <c r="E71" s="31" t="n"/>
      <c r="F71" s="31" t="n"/>
      <c r="G71" s="33" t="n"/>
      <c r="H71" s="32" t="n"/>
      <c r="I71" s="22">
        <f>IF(G71="","",ROUND(G71*N(H71)/100,2))</f>
        <v/>
      </c>
      <c r="J71" s="32" t="n"/>
      <c r="K71" s="22">
        <f>IF(G71="","",ROUND(G71*N(J71)/100,2))</f>
        <v/>
      </c>
      <c r="L71" s="22">
        <f>IF(G71="","",G71+I71-K71)</f>
        <v/>
      </c>
      <c r="M71" s="35">
        <f>IF(B71="","",ROUNDUP(MONTH(B71)/3,0))</f>
        <v/>
      </c>
      <c r="N71" s="35">
        <f>IF(B71="","",YEAR(B71))</f>
        <v/>
      </c>
    </row>
    <row r="72">
      <c r="B72" s="37" t="n"/>
      <c r="C72" s="31" t="n"/>
      <c r="D72" s="31" t="n"/>
      <c r="E72" s="31" t="n"/>
      <c r="F72" s="31" t="n"/>
      <c r="G72" s="33" t="n"/>
      <c r="H72" s="32" t="n"/>
      <c r="I72" s="22">
        <f>IF(G72="","",ROUND(G72*N(H72)/100,2))</f>
        <v/>
      </c>
      <c r="J72" s="32" t="n"/>
      <c r="K72" s="22">
        <f>IF(G72="","",ROUND(G72*N(J72)/100,2))</f>
        <v/>
      </c>
      <c r="L72" s="22">
        <f>IF(G72="","",G72+I72-K72)</f>
        <v/>
      </c>
      <c r="M72" s="35">
        <f>IF(B72="","",ROUNDUP(MONTH(B72)/3,0))</f>
        <v/>
      </c>
      <c r="N72" s="35">
        <f>IF(B72="","",YEAR(B72))</f>
        <v/>
      </c>
    </row>
    <row r="73">
      <c r="B73" s="37" t="n"/>
      <c r="C73" s="31" t="n"/>
      <c r="D73" s="31" t="n"/>
      <c r="E73" s="31" t="n"/>
      <c r="F73" s="31" t="n"/>
      <c r="G73" s="33" t="n"/>
      <c r="H73" s="32" t="n"/>
      <c r="I73" s="22">
        <f>IF(G73="","",ROUND(G73*N(H73)/100,2))</f>
        <v/>
      </c>
      <c r="J73" s="32" t="n"/>
      <c r="K73" s="22">
        <f>IF(G73="","",ROUND(G73*N(J73)/100,2))</f>
        <v/>
      </c>
      <c r="L73" s="22">
        <f>IF(G73="","",G73+I73-K73)</f>
        <v/>
      </c>
      <c r="M73" s="35">
        <f>IF(B73="","",ROUNDUP(MONTH(B73)/3,0))</f>
        <v/>
      </c>
      <c r="N73" s="35">
        <f>IF(B73="","",YEAR(B73))</f>
        <v/>
      </c>
    </row>
    <row r="74">
      <c r="B74" s="37" t="n"/>
      <c r="C74" s="31" t="n"/>
      <c r="D74" s="31" t="n"/>
      <c r="E74" s="31" t="n"/>
      <c r="F74" s="31" t="n"/>
      <c r="G74" s="33" t="n"/>
      <c r="H74" s="32" t="n"/>
      <c r="I74" s="22">
        <f>IF(G74="","",ROUND(G74*N(H74)/100,2))</f>
        <v/>
      </c>
      <c r="J74" s="32" t="n"/>
      <c r="K74" s="22">
        <f>IF(G74="","",ROUND(G74*N(J74)/100,2))</f>
        <v/>
      </c>
      <c r="L74" s="22">
        <f>IF(G74="","",G74+I74-K74)</f>
        <v/>
      </c>
      <c r="M74" s="35">
        <f>IF(B74="","",ROUNDUP(MONTH(B74)/3,0))</f>
        <v/>
      </c>
      <c r="N74" s="35">
        <f>IF(B74="","",YEAR(B74))</f>
        <v/>
      </c>
    </row>
    <row r="75">
      <c r="B75" s="37" t="n"/>
      <c r="C75" s="31" t="n"/>
      <c r="D75" s="31" t="n"/>
      <c r="E75" s="31" t="n"/>
      <c r="F75" s="31" t="n"/>
      <c r="G75" s="33" t="n"/>
      <c r="H75" s="32" t="n"/>
      <c r="I75" s="22">
        <f>IF(G75="","",ROUND(G75*N(H75)/100,2))</f>
        <v/>
      </c>
      <c r="J75" s="32" t="n"/>
      <c r="K75" s="22">
        <f>IF(G75="","",ROUND(G75*N(J75)/100,2))</f>
        <v/>
      </c>
      <c r="L75" s="22">
        <f>IF(G75="","",G75+I75-K75)</f>
        <v/>
      </c>
      <c r="M75" s="35">
        <f>IF(B75="","",ROUNDUP(MONTH(B75)/3,0))</f>
        <v/>
      </c>
      <c r="N75" s="35">
        <f>IF(B75="","",YEAR(B75))</f>
        <v/>
      </c>
    </row>
    <row r="76">
      <c r="B76" s="37" t="n"/>
      <c r="C76" s="31" t="n"/>
      <c r="D76" s="31" t="n"/>
      <c r="E76" s="31" t="n"/>
      <c r="F76" s="31" t="n"/>
      <c r="G76" s="33" t="n"/>
      <c r="H76" s="32" t="n"/>
      <c r="I76" s="22">
        <f>IF(G76="","",ROUND(G76*N(H76)/100,2))</f>
        <v/>
      </c>
      <c r="J76" s="32" t="n"/>
      <c r="K76" s="22">
        <f>IF(G76="","",ROUND(G76*N(J76)/100,2))</f>
        <v/>
      </c>
      <c r="L76" s="22">
        <f>IF(G76="","",G76+I76-K76)</f>
        <v/>
      </c>
      <c r="M76" s="35">
        <f>IF(B76="","",ROUNDUP(MONTH(B76)/3,0))</f>
        <v/>
      </c>
      <c r="N76" s="35">
        <f>IF(B76="","",YEAR(B76))</f>
        <v/>
      </c>
    </row>
    <row r="77">
      <c r="B77" s="37" t="n"/>
      <c r="C77" s="31" t="n"/>
      <c r="D77" s="31" t="n"/>
      <c r="E77" s="31" t="n"/>
      <c r="F77" s="31" t="n"/>
      <c r="G77" s="33" t="n"/>
      <c r="H77" s="32" t="n"/>
      <c r="I77" s="22">
        <f>IF(G77="","",ROUND(G77*N(H77)/100,2))</f>
        <v/>
      </c>
      <c r="J77" s="32" t="n"/>
      <c r="K77" s="22">
        <f>IF(G77="","",ROUND(G77*N(J77)/100,2))</f>
        <v/>
      </c>
      <c r="L77" s="22">
        <f>IF(G77="","",G77+I77-K77)</f>
        <v/>
      </c>
      <c r="M77" s="35">
        <f>IF(B77="","",ROUNDUP(MONTH(B77)/3,0))</f>
        <v/>
      </c>
      <c r="N77" s="35">
        <f>IF(B77="","",YEAR(B77))</f>
        <v/>
      </c>
    </row>
    <row r="78">
      <c r="B78" s="37" t="n"/>
      <c r="C78" s="31" t="n"/>
      <c r="D78" s="31" t="n"/>
      <c r="E78" s="31" t="n"/>
      <c r="F78" s="31" t="n"/>
      <c r="G78" s="33" t="n"/>
      <c r="H78" s="32" t="n"/>
      <c r="I78" s="22">
        <f>IF(G78="","",ROUND(G78*N(H78)/100,2))</f>
        <v/>
      </c>
      <c r="J78" s="32" t="n"/>
      <c r="K78" s="22">
        <f>IF(G78="","",ROUND(G78*N(J78)/100,2))</f>
        <v/>
      </c>
      <c r="L78" s="22">
        <f>IF(G78="","",G78+I78-K78)</f>
        <v/>
      </c>
      <c r="M78" s="35">
        <f>IF(B78="","",ROUNDUP(MONTH(B78)/3,0))</f>
        <v/>
      </c>
      <c r="N78" s="35">
        <f>IF(B78="","",YEAR(B78))</f>
        <v/>
      </c>
    </row>
    <row r="79">
      <c r="B79" s="37" t="n"/>
      <c r="C79" s="31" t="n"/>
      <c r="D79" s="31" t="n"/>
      <c r="E79" s="31" t="n"/>
      <c r="F79" s="31" t="n"/>
      <c r="G79" s="33" t="n"/>
      <c r="H79" s="32" t="n"/>
      <c r="I79" s="22">
        <f>IF(G79="","",ROUND(G79*N(H79)/100,2))</f>
        <v/>
      </c>
      <c r="J79" s="32" t="n"/>
      <c r="K79" s="22">
        <f>IF(G79="","",ROUND(G79*N(J79)/100,2))</f>
        <v/>
      </c>
      <c r="L79" s="22">
        <f>IF(G79="","",G79+I79-K79)</f>
        <v/>
      </c>
      <c r="M79" s="35">
        <f>IF(B79="","",ROUNDUP(MONTH(B79)/3,0))</f>
        <v/>
      </c>
      <c r="N79" s="35">
        <f>IF(B79="","",YEAR(B79))</f>
        <v/>
      </c>
    </row>
    <row r="80">
      <c r="B80" s="37" t="n"/>
      <c r="C80" s="31" t="n"/>
      <c r="D80" s="31" t="n"/>
      <c r="E80" s="31" t="n"/>
      <c r="F80" s="31" t="n"/>
      <c r="G80" s="33" t="n"/>
      <c r="H80" s="32" t="n"/>
      <c r="I80" s="22">
        <f>IF(G80="","",ROUND(G80*N(H80)/100,2))</f>
        <v/>
      </c>
      <c r="J80" s="32" t="n"/>
      <c r="K80" s="22">
        <f>IF(G80="","",ROUND(G80*N(J80)/100,2))</f>
        <v/>
      </c>
      <c r="L80" s="22">
        <f>IF(G80="","",G80+I80-K80)</f>
        <v/>
      </c>
      <c r="M80" s="35">
        <f>IF(B80="","",ROUNDUP(MONTH(B80)/3,0))</f>
        <v/>
      </c>
      <c r="N80" s="35">
        <f>IF(B80="","",YEAR(B80))</f>
        <v/>
      </c>
    </row>
    <row r="81">
      <c r="B81" s="37" t="n"/>
      <c r="C81" s="31" t="n"/>
      <c r="D81" s="31" t="n"/>
      <c r="E81" s="31" t="n"/>
      <c r="F81" s="31" t="n"/>
      <c r="G81" s="33" t="n"/>
      <c r="H81" s="32" t="n"/>
      <c r="I81" s="22">
        <f>IF(G81="","",ROUND(G81*N(H81)/100,2))</f>
        <v/>
      </c>
      <c r="J81" s="32" t="n"/>
      <c r="K81" s="22">
        <f>IF(G81="","",ROUND(G81*N(J81)/100,2))</f>
        <v/>
      </c>
      <c r="L81" s="22">
        <f>IF(G81="","",G81+I81-K81)</f>
        <v/>
      </c>
      <c r="M81" s="35">
        <f>IF(B81="","",ROUNDUP(MONTH(B81)/3,0))</f>
        <v/>
      </c>
      <c r="N81" s="35">
        <f>IF(B81="","",YEAR(B81))</f>
        <v/>
      </c>
    </row>
    <row r="82">
      <c r="B82" s="37" t="n"/>
      <c r="C82" s="31" t="n"/>
      <c r="D82" s="31" t="n"/>
      <c r="E82" s="31" t="n"/>
      <c r="F82" s="31" t="n"/>
      <c r="G82" s="33" t="n"/>
      <c r="H82" s="32" t="n"/>
      <c r="I82" s="22">
        <f>IF(G82="","",ROUND(G82*N(H82)/100,2))</f>
        <v/>
      </c>
      <c r="J82" s="32" t="n"/>
      <c r="K82" s="22">
        <f>IF(G82="","",ROUND(G82*N(J82)/100,2))</f>
        <v/>
      </c>
      <c r="L82" s="22">
        <f>IF(G82="","",G82+I82-K82)</f>
        <v/>
      </c>
      <c r="M82" s="35">
        <f>IF(B82="","",ROUNDUP(MONTH(B82)/3,0))</f>
        <v/>
      </c>
      <c r="N82" s="35">
        <f>IF(B82="","",YEAR(B82))</f>
        <v/>
      </c>
    </row>
    <row r="83">
      <c r="B83" s="37" t="n"/>
      <c r="C83" s="31" t="n"/>
      <c r="D83" s="31" t="n"/>
      <c r="E83" s="31" t="n"/>
      <c r="F83" s="31" t="n"/>
      <c r="G83" s="33" t="n"/>
      <c r="H83" s="32" t="n"/>
      <c r="I83" s="22">
        <f>IF(G83="","",ROUND(G83*N(H83)/100,2))</f>
        <v/>
      </c>
      <c r="J83" s="32" t="n"/>
      <c r="K83" s="22">
        <f>IF(G83="","",ROUND(G83*N(J83)/100,2))</f>
        <v/>
      </c>
      <c r="L83" s="22">
        <f>IF(G83="","",G83+I83-K83)</f>
        <v/>
      </c>
      <c r="M83" s="35">
        <f>IF(B83="","",ROUNDUP(MONTH(B83)/3,0))</f>
        <v/>
      </c>
      <c r="N83" s="35">
        <f>IF(B83="","",YEAR(B83))</f>
        <v/>
      </c>
    </row>
    <row r="84">
      <c r="B84" s="37" t="n"/>
      <c r="C84" s="31" t="n"/>
      <c r="D84" s="31" t="n"/>
      <c r="E84" s="31" t="n"/>
      <c r="F84" s="31" t="n"/>
      <c r="G84" s="33" t="n"/>
      <c r="H84" s="32" t="n"/>
      <c r="I84" s="22">
        <f>IF(G84="","",ROUND(G84*N(H84)/100,2))</f>
        <v/>
      </c>
      <c r="J84" s="32" t="n"/>
      <c r="K84" s="22">
        <f>IF(G84="","",ROUND(G84*N(J84)/100,2))</f>
        <v/>
      </c>
      <c r="L84" s="22">
        <f>IF(G84="","",G84+I84-K84)</f>
        <v/>
      </c>
      <c r="M84" s="35">
        <f>IF(B84="","",ROUNDUP(MONTH(B84)/3,0))</f>
        <v/>
      </c>
      <c r="N84" s="35">
        <f>IF(B84="","",YEAR(B84))</f>
        <v/>
      </c>
    </row>
    <row r="85">
      <c r="B85" s="37" t="n"/>
      <c r="C85" s="31" t="n"/>
      <c r="D85" s="31" t="n"/>
      <c r="E85" s="31" t="n"/>
      <c r="F85" s="31" t="n"/>
      <c r="G85" s="33" t="n"/>
      <c r="H85" s="32" t="n"/>
      <c r="I85" s="22">
        <f>IF(G85="","",ROUND(G85*N(H85)/100,2))</f>
        <v/>
      </c>
      <c r="J85" s="32" t="n"/>
      <c r="K85" s="22">
        <f>IF(G85="","",ROUND(G85*N(J85)/100,2))</f>
        <v/>
      </c>
      <c r="L85" s="22">
        <f>IF(G85="","",G85+I85-K85)</f>
        <v/>
      </c>
      <c r="M85" s="35">
        <f>IF(B85="","",ROUNDUP(MONTH(B85)/3,0))</f>
        <v/>
      </c>
      <c r="N85" s="35">
        <f>IF(B85="","",YEAR(B85))</f>
        <v/>
      </c>
    </row>
    <row r="86">
      <c r="B86" s="37" t="n"/>
      <c r="C86" s="31" t="n"/>
      <c r="D86" s="31" t="n"/>
      <c r="E86" s="31" t="n"/>
      <c r="F86" s="31" t="n"/>
      <c r="G86" s="33" t="n"/>
      <c r="H86" s="32" t="n"/>
      <c r="I86" s="22">
        <f>IF(G86="","",ROUND(G86*N(H86)/100,2))</f>
        <v/>
      </c>
      <c r="J86" s="32" t="n"/>
      <c r="K86" s="22">
        <f>IF(G86="","",ROUND(G86*N(J86)/100,2))</f>
        <v/>
      </c>
      <c r="L86" s="22">
        <f>IF(G86="","",G86+I86-K86)</f>
        <v/>
      </c>
      <c r="M86" s="35">
        <f>IF(B86="","",ROUNDUP(MONTH(B86)/3,0))</f>
        <v/>
      </c>
      <c r="N86" s="35">
        <f>IF(B86="","",YEAR(B86))</f>
        <v/>
      </c>
    </row>
    <row r="87">
      <c r="B87" s="37" t="n"/>
      <c r="C87" s="31" t="n"/>
      <c r="D87" s="31" t="n"/>
      <c r="E87" s="31" t="n"/>
      <c r="F87" s="31" t="n"/>
      <c r="G87" s="33" t="n"/>
      <c r="H87" s="32" t="n"/>
      <c r="I87" s="22">
        <f>IF(G87="","",ROUND(G87*N(H87)/100,2))</f>
        <v/>
      </c>
      <c r="J87" s="32" t="n"/>
      <c r="K87" s="22">
        <f>IF(G87="","",ROUND(G87*N(J87)/100,2))</f>
        <v/>
      </c>
      <c r="L87" s="22">
        <f>IF(G87="","",G87+I87-K87)</f>
        <v/>
      </c>
      <c r="M87" s="35">
        <f>IF(B87="","",ROUNDUP(MONTH(B87)/3,0))</f>
        <v/>
      </c>
      <c r="N87" s="35">
        <f>IF(B87="","",YEAR(B87))</f>
        <v/>
      </c>
    </row>
    <row r="88">
      <c r="B88" s="37" t="n"/>
      <c r="C88" s="31" t="n"/>
      <c r="D88" s="31" t="n"/>
      <c r="E88" s="31" t="n"/>
      <c r="F88" s="31" t="n"/>
      <c r="G88" s="33" t="n"/>
      <c r="H88" s="32" t="n"/>
      <c r="I88" s="22">
        <f>IF(G88="","",ROUND(G88*N(H88)/100,2))</f>
        <v/>
      </c>
      <c r="J88" s="32" t="n"/>
      <c r="K88" s="22">
        <f>IF(G88="","",ROUND(G88*N(J88)/100,2))</f>
        <v/>
      </c>
      <c r="L88" s="22">
        <f>IF(G88="","",G88+I88-K88)</f>
        <v/>
      </c>
      <c r="M88" s="35">
        <f>IF(B88="","",ROUNDUP(MONTH(B88)/3,0))</f>
        <v/>
      </c>
      <c r="N88" s="35">
        <f>IF(B88="","",YEAR(B88))</f>
        <v/>
      </c>
    </row>
    <row r="89">
      <c r="B89" s="37" t="n"/>
      <c r="C89" s="31" t="n"/>
      <c r="D89" s="31" t="n"/>
      <c r="E89" s="31" t="n"/>
      <c r="F89" s="31" t="n"/>
      <c r="G89" s="33" t="n"/>
      <c r="H89" s="32" t="n"/>
      <c r="I89" s="22">
        <f>IF(G89="","",ROUND(G89*N(H89)/100,2))</f>
        <v/>
      </c>
      <c r="J89" s="32" t="n"/>
      <c r="K89" s="22">
        <f>IF(G89="","",ROUND(G89*N(J89)/100,2))</f>
        <v/>
      </c>
      <c r="L89" s="22">
        <f>IF(G89="","",G89+I89-K89)</f>
        <v/>
      </c>
      <c r="M89" s="35">
        <f>IF(B89="","",ROUNDUP(MONTH(B89)/3,0))</f>
        <v/>
      </c>
      <c r="N89" s="35">
        <f>IF(B89="","",YEAR(B89))</f>
        <v/>
      </c>
    </row>
    <row r="90">
      <c r="B90" s="37" t="n"/>
      <c r="C90" s="31" t="n"/>
      <c r="D90" s="31" t="n"/>
      <c r="E90" s="31" t="n"/>
      <c r="F90" s="31" t="n"/>
      <c r="G90" s="33" t="n"/>
      <c r="H90" s="32" t="n"/>
      <c r="I90" s="22">
        <f>IF(G90="","",ROUND(G90*N(H90)/100,2))</f>
        <v/>
      </c>
      <c r="J90" s="32" t="n"/>
      <c r="K90" s="22">
        <f>IF(G90="","",ROUND(G90*N(J90)/100,2))</f>
        <v/>
      </c>
      <c r="L90" s="22">
        <f>IF(G90="","",G90+I90-K90)</f>
        <v/>
      </c>
      <c r="M90" s="35">
        <f>IF(B90="","",ROUNDUP(MONTH(B90)/3,0))</f>
        <v/>
      </c>
      <c r="N90" s="35">
        <f>IF(B90="","",YEAR(B90))</f>
        <v/>
      </c>
    </row>
    <row r="91">
      <c r="B91" s="37" t="n"/>
      <c r="C91" s="31" t="n"/>
      <c r="D91" s="31" t="n"/>
      <c r="E91" s="31" t="n"/>
      <c r="F91" s="31" t="n"/>
      <c r="G91" s="33" t="n"/>
      <c r="H91" s="32" t="n"/>
      <c r="I91" s="22">
        <f>IF(G91="","",ROUND(G91*N(H91)/100,2))</f>
        <v/>
      </c>
      <c r="J91" s="32" t="n"/>
      <c r="K91" s="22">
        <f>IF(G91="","",ROUND(G91*N(J91)/100,2))</f>
        <v/>
      </c>
      <c r="L91" s="22">
        <f>IF(G91="","",G91+I91-K91)</f>
        <v/>
      </c>
      <c r="M91" s="35">
        <f>IF(B91="","",ROUNDUP(MONTH(B91)/3,0))</f>
        <v/>
      </c>
      <c r="N91" s="35">
        <f>IF(B91="","",YEAR(B91))</f>
        <v/>
      </c>
    </row>
    <row r="92">
      <c r="B92" s="37" t="n"/>
      <c r="C92" s="31" t="n"/>
      <c r="D92" s="31" t="n"/>
      <c r="E92" s="31" t="n"/>
      <c r="F92" s="31" t="n"/>
      <c r="G92" s="33" t="n"/>
      <c r="H92" s="32" t="n"/>
      <c r="I92" s="22">
        <f>IF(G92="","",ROUND(G92*N(H92)/100,2))</f>
        <v/>
      </c>
      <c r="J92" s="32" t="n"/>
      <c r="K92" s="22">
        <f>IF(G92="","",ROUND(G92*N(J92)/100,2))</f>
        <v/>
      </c>
      <c r="L92" s="22">
        <f>IF(G92="","",G92+I92-K92)</f>
        <v/>
      </c>
      <c r="M92" s="35">
        <f>IF(B92="","",ROUNDUP(MONTH(B92)/3,0))</f>
        <v/>
      </c>
      <c r="N92" s="35">
        <f>IF(B92="","",YEAR(B92))</f>
        <v/>
      </c>
    </row>
    <row r="93">
      <c r="B93" s="37" t="n"/>
      <c r="C93" s="31" t="n"/>
      <c r="D93" s="31" t="n"/>
      <c r="E93" s="31" t="n"/>
      <c r="F93" s="31" t="n"/>
      <c r="G93" s="33" t="n"/>
      <c r="H93" s="32" t="n"/>
      <c r="I93" s="22">
        <f>IF(G93="","",ROUND(G93*N(H93)/100,2))</f>
        <v/>
      </c>
      <c r="J93" s="32" t="n"/>
      <c r="K93" s="22">
        <f>IF(G93="","",ROUND(G93*N(J93)/100,2))</f>
        <v/>
      </c>
      <c r="L93" s="22">
        <f>IF(G93="","",G93+I93-K93)</f>
        <v/>
      </c>
      <c r="M93" s="35">
        <f>IF(B93="","",ROUNDUP(MONTH(B93)/3,0))</f>
        <v/>
      </c>
      <c r="N93" s="35">
        <f>IF(B93="","",YEAR(B93))</f>
        <v/>
      </c>
    </row>
    <row r="94">
      <c r="B94" s="37" t="n"/>
      <c r="C94" s="31" t="n"/>
      <c r="D94" s="31" t="n"/>
      <c r="E94" s="31" t="n"/>
      <c r="F94" s="31" t="n"/>
      <c r="G94" s="33" t="n"/>
      <c r="H94" s="32" t="n"/>
      <c r="I94" s="22">
        <f>IF(G94="","",ROUND(G94*N(H94)/100,2))</f>
        <v/>
      </c>
      <c r="J94" s="32" t="n"/>
      <c r="K94" s="22">
        <f>IF(G94="","",ROUND(G94*N(J94)/100,2))</f>
        <v/>
      </c>
      <c r="L94" s="22">
        <f>IF(G94="","",G94+I94-K94)</f>
        <v/>
      </c>
      <c r="M94" s="35">
        <f>IF(B94="","",ROUNDUP(MONTH(B94)/3,0))</f>
        <v/>
      </c>
      <c r="N94" s="35">
        <f>IF(B94="","",YEAR(B94))</f>
        <v/>
      </c>
    </row>
    <row r="95">
      <c r="B95" s="37" t="n"/>
      <c r="C95" s="31" t="n"/>
      <c r="D95" s="31" t="n"/>
      <c r="E95" s="31" t="n"/>
      <c r="F95" s="31" t="n"/>
      <c r="G95" s="33" t="n"/>
      <c r="H95" s="32" t="n"/>
      <c r="I95" s="22">
        <f>IF(G95="","",ROUND(G95*N(H95)/100,2))</f>
        <v/>
      </c>
      <c r="J95" s="32" t="n"/>
      <c r="K95" s="22">
        <f>IF(G95="","",ROUND(G95*N(J95)/100,2))</f>
        <v/>
      </c>
      <c r="L95" s="22">
        <f>IF(G95="","",G95+I95-K95)</f>
        <v/>
      </c>
      <c r="M95" s="35">
        <f>IF(B95="","",ROUNDUP(MONTH(B95)/3,0))</f>
        <v/>
      </c>
      <c r="N95" s="35">
        <f>IF(B95="","",YEAR(B95))</f>
        <v/>
      </c>
    </row>
    <row r="96">
      <c r="B96" s="37" t="n"/>
      <c r="C96" s="31" t="n"/>
      <c r="D96" s="31" t="n"/>
      <c r="E96" s="31" t="n"/>
      <c r="F96" s="31" t="n"/>
      <c r="G96" s="33" t="n"/>
      <c r="H96" s="32" t="n"/>
      <c r="I96" s="22">
        <f>IF(G96="","",ROUND(G96*N(H96)/100,2))</f>
        <v/>
      </c>
      <c r="J96" s="32" t="n"/>
      <c r="K96" s="22">
        <f>IF(G96="","",ROUND(G96*N(J96)/100,2))</f>
        <v/>
      </c>
      <c r="L96" s="22">
        <f>IF(G96="","",G96+I96-K96)</f>
        <v/>
      </c>
      <c r="M96" s="35">
        <f>IF(B96="","",ROUNDUP(MONTH(B96)/3,0))</f>
        <v/>
      </c>
      <c r="N96" s="35">
        <f>IF(B96="","",YEAR(B96))</f>
        <v/>
      </c>
    </row>
    <row r="97">
      <c r="B97" s="37" t="n"/>
      <c r="C97" s="31" t="n"/>
      <c r="D97" s="31" t="n"/>
      <c r="E97" s="31" t="n"/>
      <c r="F97" s="31" t="n"/>
      <c r="G97" s="33" t="n"/>
      <c r="H97" s="32" t="n"/>
      <c r="I97" s="22">
        <f>IF(G97="","",ROUND(G97*N(H97)/100,2))</f>
        <v/>
      </c>
      <c r="J97" s="32" t="n"/>
      <c r="K97" s="22">
        <f>IF(G97="","",ROUND(G97*N(J97)/100,2))</f>
        <v/>
      </c>
      <c r="L97" s="22">
        <f>IF(G97="","",G97+I97-K97)</f>
        <v/>
      </c>
      <c r="M97" s="35">
        <f>IF(B97="","",ROUNDUP(MONTH(B97)/3,0))</f>
        <v/>
      </c>
      <c r="N97" s="35">
        <f>IF(B97="","",YEAR(B97))</f>
        <v/>
      </c>
    </row>
    <row r="98">
      <c r="B98" s="37" t="n"/>
      <c r="C98" s="31" t="n"/>
      <c r="D98" s="31" t="n"/>
      <c r="E98" s="31" t="n"/>
      <c r="F98" s="31" t="n"/>
      <c r="G98" s="33" t="n"/>
      <c r="H98" s="32" t="n"/>
      <c r="I98" s="22">
        <f>IF(G98="","",ROUND(G98*N(H98)/100,2))</f>
        <v/>
      </c>
      <c r="J98" s="32" t="n"/>
      <c r="K98" s="22">
        <f>IF(G98="","",ROUND(G98*N(J98)/100,2))</f>
        <v/>
      </c>
      <c r="L98" s="22">
        <f>IF(G98="","",G98+I98-K98)</f>
        <v/>
      </c>
      <c r="M98" s="35">
        <f>IF(B98="","",ROUNDUP(MONTH(B98)/3,0))</f>
        <v/>
      </c>
      <c r="N98" s="35">
        <f>IF(B98="","",YEAR(B98))</f>
        <v/>
      </c>
    </row>
    <row r="99">
      <c r="B99" s="37" t="n"/>
      <c r="C99" s="31" t="n"/>
      <c r="D99" s="31" t="n"/>
      <c r="E99" s="31" t="n"/>
      <c r="F99" s="31" t="n"/>
      <c r="G99" s="33" t="n"/>
      <c r="H99" s="32" t="n"/>
      <c r="I99" s="22">
        <f>IF(G99="","",ROUND(G99*N(H99)/100,2))</f>
        <v/>
      </c>
      <c r="J99" s="32" t="n"/>
      <c r="K99" s="22">
        <f>IF(G99="","",ROUND(G99*N(J99)/100,2))</f>
        <v/>
      </c>
      <c r="L99" s="22">
        <f>IF(G99="","",G99+I99-K99)</f>
        <v/>
      </c>
      <c r="M99" s="35">
        <f>IF(B99="","",ROUNDUP(MONTH(B99)/3,0))</f>
        <v/>
      </c>
      <c r="N99" s="35">
        <f>IF(B99="","",YEAR(B99))</f>
        <v/>
      </c>
    </row>
    <row r="100">
      <c r="B100" s="37" t="n"/>
      <c r="C100" s="31" t="n"/>
      <c r="D100" s="31" t="n"/>
      <c r="E100" s="31" t="n"/>
      <c r="F100" s="31" t="n"/>
      <c r="G100" s="33" t="n"/>
      <c r="H100" s="32" t="n"/>
      <c r="I100" s="22">
        <f>IF(G100="","",ROUND(G100*N(H100)/100,2))</f>
        <v/>
      </c>
      <c r="J100" s="32" t="n"/>
      <c r="K100" s="22">
        <f>IF(G100="","",ROUND(G100*N(J100)/100,2))</f>
        <v/>
      </c>
      <c r="L100" s="22">
        <f>IF(G100="","",G100+I100-K100)</f>
        <v/>
      </c>
      <c r="M100" s="35">
        <f>IF(B100="","",ROUNDUP(MONTH(B100)/3,0))</f>
        <v/>
      </c>
      <c r="N100" s="35">
        <f>IF(B100="","",YEAR(B100))</f>
        <v/>
      </c>
    </row>
    <row r="101">
      <c r="B101" s="37" t="n"/>
      <c r="C101" s="31" t="n"/>
      <c r="D101" s="31" t="n"/>
      <c r="E101" s="31" t="n"/>
      <c r="F101" s="31" t="n"/>
      <c r="G101" s="33" t="n"/>
      <c r="H101" s="32" t="n"/>
      <c r="I101" s="22">
        <f>IF(G101="","",ROUND(G101*N(H101)/100,2))</f>
        <v/>
      </c>
      <c r="J101" s="32" t="n"/>
      <c r="K101" s="22">
        <f>IF(G101="","",ROUND(G101*N(J101)/100,2))</f>
        <v/>
      </c>
      <c r="L101" s="22">
        <f>IF(G101="","",G101+I101-K101)</f>
        <v/>
      </c>
      <c r="M101" s="35">
        <f>IF(B101="","",ROUNDUP(MONTH(B101)/3,0))</f>
        <v/>
      </c>
      <c r="N101" s="35">
        <f>IF(B101="","",YEAR(B101))</f>
        <v/>
      </c>
    </row>
    <row r="102">
      <c r="B102" s="37" t="n"/>
      <c r="C102" s="31" t="n"/>
      <c r="D102" s="31" t="n"/>
      <c r="E102" s="31" t="n"/>
      <c r="F102" s="31" t="n"/>
      <c r="G102" s="33" t="n"/>
      <c r="H102" s="32" t="n"/>
      <c r="I102" s="22">
        <f>IF(G102="","",ROUND(G102*N(H102)/100,2))</f>
        <v/>
      </c>
      <c r="J102" s="32" t="n"/>
      <c r="K102" s="22">
        <f>IF(G102="","",ROUND(G102*N(J102)/100,2))</f>
        <v/>
      </c>
      <c r="L102" s="22">
        <f>IF(G102="","",G102+I102-K102)</f>
        <v/>
      </c>
      <c r="M102" s="35">
        <f>IF(B102="","",ROUNDUP(MONTH(B102)/3,0))</f>
        <v/>
      </c>
      <c r="N102" s="35">
        <f>IF(B102="","",YEAR(B102))</f>
        <v/>
      </c>
    </row>
    <row r="103">
      <c r="B103" s="37" t="n"/>
      <c r="C103" s="31" t="n"/>
      <c r="D103" s="31" t="n"/>
      <c r="E103" s="31" t="n"/>
      <c r="F103" s="31" t="n"/>
      <c r="G103" s="33" t="n"/>
      <c r="H103" s="32" t="n"/>
      <c r="I103" s="22">
        <f>IF(G103="","",ROUND(G103*N(H103)/100,2))</f>
        <v/>
      </c>
      <c r="J103" s="32" t="n"/>
      <c r="K103" s="22">
        <f>IF(G103="","",ROUND(G103*N(J103)/100,2))</f>
        <v/>
      </c>
      <c r="L103" s="22">
        <f>IF(G103="","",G103+I103-K103)</f>
        <v/>
      </c>
      <c r="M103" s="35">
        <f>IF(B103="","",ROUNDUP(MONTH(B103)/3,0))</f>
        <v/>
      </c>
      <c r="N103" s="35">
        <f>IF(B103="","",YEAR(B103))</f>
        <v/>
      </c>
    </row>
    <row r="104">
      <c r="B104" s="37" t="n"/>
      <c r="C104" s="31" t="n"/>
      <c r="D104" s="31" t="n"/>
      <c r="E104" s="31" t="n"/>
      <c r="F104" s="31" t="n"/>
      <c r="G104" s="33" t="n"/>
      <c r="H104" s="32" t="n"/>
      <c r="I104" s="22">
        <f>IF(G104="","",ROUND(G104*N(H104)/100,2))</f>
        <v/>
      </c>
      <c r="J104" s="32" t="n"/>
      <c r="K104" s="22">
        <f>IF(G104="","",ROUND(G104*N(J104)/100,2))</f>
        <v/>
      </c>
      <c r="L104" s="22">
        <f>IF(G104="","",G104+I104-K104)</f>
        <v/>
      </c>
      <c r="M104" s="35">
        <f>IF(B104="","",ROUNDUP(MONTH(B104)/3,0))</f>
        <v/>
      </c>
      <c r="N104" s="35">
        <f>IF(B104="","",YEAR(B104))</f>
        <v/>
      </c>
    </row>
    <row r="105">
      <c r="B105" s="37" t="n"/>
      <c r="C105" s="31" t="n"/>
      <c r="D105" s="31" t="n"/>
      <c r="E105" s="31" t="n"/>
      <c r="F105" s="31" t="n"/>
      <c r="G105" s="33" t="n"/>
      <c r="H105" s="32" t="n"/>
      <c r="I105" s="22">
        <f>IF(G105="","",ROUND(G105*N(H105)/100,2))</f>
        <v/>
      </c>
      <c r="J105" s="32" t="n"/>
      <c r="K105" s="22">
        <f>IF(G105="","",ROUND(G105*N(J105)/100,2))</f>
        <v/>
      </c>
      <c r="L105" s="22">
        <f>IF(G105="","",G105+I105-K105)</f>
        <v/>
      </c>
      <c r="M105" s="35">
        <f>IF(B105="","",ROUNDUP(MONTH(B105)/3,0))</f>
        <v/>
      </c>
      <c r="N105" s="35">
        <f>IF(B105="","",YEAR(B105))</f>
        <v/>
      </c>
    </row>
    <row r="106">
      <c r="B106" s="37" t="n"/>
      <c r="C106" s="31" t="n"/>
      <c r="D106" s="31" t="n"/>
      <c r="E106" s="31" t="n"/>
      <c r="F106" s="31" t="n"/>
      <c r="G106" s="33" t="n"/>
      <c r="H106" s="32" t="n"/>
      <c r="I106" s="22">
        <f>IF(G106="","",ROUND(G106*N(H106)/100,2))</f>
        <v/>
      </c>
      <c r="J106" s="32" t="n"/>
      <c r="K106" s="22">
        <f>IF(G106="","",ROUND(G106*N(J106)/100,2))</f>
        <v/>
      </c>
      <c r="L106" s="22">
        <f>IF(G106="","",G106+I106-K106)</f>
        <v/>
      </c>
      <c r="M106" s="35">
        <f>IF(B106="","",ROUNDUP(MONTH(B106)/3,0))</f>
        <v/>
      </c>
      <c r="N106" s="35">
        <f>IF(B106="","",YEAR(B106))</f>
        <v/>
      </c>
    </row>
    <row r="107">
      <c r="B107" s="37" t="n"/>
      <c r="C107" s="31" t="n"/>
      <c r="D107" s="31" t="n"/>
      <c r="E107" s="31" t="n"/>
      <c r="F107" s="31" t="n"/>
      <c r="G107" s="33" t="n"/>
      <c r="H107" s="32" t="n"/>
      <c r="I107" s="22">
        <f>IF(G107="","",ROUND(G107*N(H107)/100,2))</f>
        <v/>
      </c>
      <c r="J107" s="32" t="n"/>
      <c r="K107" s="22">
        <f>IF(G107="","",ROUND(G107*N(J107)/100,2))</f>
        <v/>
      </c>
      <c r="L107" s="22">
        <f>IF(G107="","",G107+I107-K107)</f>
        <v/>
      </c>
      <c r="M107" s="35">
        <f>IF(B107="","",ROUNDUP(MONTH(B107)/3,0))</f>
        <v/>
      </c>
      <c r="N107" s="35">
        <f>IF(B107="","",YEAR(B107))</f>
        <v/>
      </c>
    </row>
    <row r="108">
      <c r="B108" s="37" t="n"/>
      <c r="C108" s="31" t="n"/>
      <c r="D108" s="31" t="n"/>
      <c r="E108" s="31" t="n"/>
      <c r="F108" s="31" t="n"/>
      <c r="G108" s="33" t="n"/>
      <c r="H108" s="32" t="n"/>
      <c r="I108" s="22">
        <f>IF(G108="","",ROUND(G108*N(H108)/100,2))</f>
        <v/>
      </c>
      <c r="J108" s="32" t="n"/>
      <c r="K108" s="22">
        <f>IF(G108="","",ROUND(G108*N(J108)/100,2))</f>
        <v/>
      </c>
      <c r="L108" s="22">
        <f>IF(G108="","",G108+I108-K108)</f>
        <v/>
      </c>
      <c r="M108" s="35">
        <f>IF(B108="","",ROUNDUP(MONTH(B108)/3,0))</f>
        <v/>
      </c>
      <c r="N108" s="35">
        <f>IF(B108="","",YEAR(B108))</f>
        <v/>
      </c>
    </row>
    <row r="109">
      <c r="B109" s="37" t="n"/>
      <c r="C109" s="31" t="n"/>
      <c r="D109" s="31" t="n"/>
      <c r="E109" s="31" t="n"/>
      <c r="F109" s="31" t="n"/>
      <c r="G109" s="33" t="n"/>
      <c r="H109" s="32" t="n"/>
      <c r="I109" s="22">
        <f>IF(G109="","",ROUND(G109*N(H109)/100,2))</f>
        <v/>
      </c>
      <c r="J109" s="32" t="n"/>
      <c r="K109" s="22">
        <f>IF(G109="","",ROUND(G109*N(J109)/100,2))</f>
        <v/>
      </c>
      <c r="L109" s="22">
        <f>IF(G109="","",G109+I109-K109)</f>
        <v/>
      </c>
      <c r="M109" s="35">
        <f>IF(B109="","",ROUNDUP(MONTH(B109)/3,0))</f>
        <v/>
      </c>
      <c r="N109" s="35">
        <f>IF(B109="","",YEAR(B109))</f>
        <v/>
      </c>
    </row>
    <row r="110">
      <c r="B110" s="37" t="n"/>
      <c r="C110" s="31" t="n"/>
      <c r="D110" s="31" t="n"/>
      <c r="E110" s="31" t="n"/>
      <c r="F110" s="31" t="n"/>
      <c r="G110" s="33" t="n"/>
      <c r="H110" s="32" t="n"/>
      <c r="I110" s="22">
        <f>IF(G110="","",ROUND(G110*N(H110)/100,2))</f>
        <v/>
      </c>
      <c r="J110" s="32" t="n"/>
      <c r="K110" s="22">
        <f>IF(G110="","",ROUND(G110*N(J110)/100,2))</f>
        <v/>
      </c>
      <c r="L110" s="22">
        <f>IF(G110="","",G110+I110-K110)</f>
        <v/>
      </c>
      <c r="M110" s="35">
        <f>IF(B110="","",ROUNDUP(MONTH(B110)/3,0))</f>
        <v/>
      </c>
      <c r="N110" s="35">
        <f>IF(B110="","",YEAR(B110))</f>
        <v/>
      </c>
    </row>
    <row r="111">
      <c r="B111" s="37" t="n"/>
      <c r="C111" s="31" t="n"/>
      <c r="D111" s="31" t="n"/>
      <c r="E111" s="31" t="n"/>
      <c r="F111" s="31" t="n"/>
      <c r="G111" s="33" t="n"/>
      <c r="H111" s="32" t="n"/>
      <c r="I111" s="22">
        <f>IF(G111="","",ROUND(G111*N(H111)/100,2))</f>
        <v/>
      </c>
      <c r="J111" s="32" t="n"/>
      <c r="K111" s="22">
        <f>IF(G111="","",ROUND(G111*N(J111)/100,2))</f>
        <v/>
      </c>
      <c r="L111" s="22">
        <f>IF(G111="","",G111+I111-K111)</f>
        <v/>
      </c>
      <c r="M111" s="35">
        <f>IF(B111="","",ROUNDUP(MONTH(B111)/3,0))</f>
        <v/>
      </c>
      <c r="N111" s="35">
        <f>IF(B111="","",YEAR(B111))</f>
        <v/>
      </c>
    </row>
    <row r="112">
      <c r="B112" s="37" t="n"/>
      <c r="C112" s="31" t="n"/>
      <c r="D112" s="31" t="n"/>
      <c r="E112" s="31" t="n"/>
      <c r="F112" s="31" t="n"/>
      <c r="G112" s="33" t="n"/>
      <c r="H112" s="32" t="n"/>
      <c r="I112" s="22">
        <f>IF(G112="","",ROUND(G112*N(H112)/100,2))</f>
        <v/>
      </c>
      <c r="J112" s="32" t="n"/>
      <c r="K112" s="22">
        <f>IF(G112="","",ROUND(G112*N(J112)/100,2))</f>
        <v/>
      </c>
      <c r="L112" s="22">
        <f>IF(G112="","",G112+I112-K112)</f>
        <v/>
      </c>
      <c r="M112" s="35">
        <f>IF(B112="","",ROUNDUP(MONTH(B112)/3,0))</f>
        <v/>
      </c>
      <c r="N112" s="35">
        <f>IF(B112="","",YEAR(B112))</f>
        <v/>
      </c>
    </row>
    <row r="113">
      <c r="B113" s="37" t="n"/>
      <c r="C113" s="31" t="n"/>
      <c r="D113" s="31" t="n"/>
      <c r="E113" s="31" t="n"/>
      <c r="F113" s="31" t="n"/>
      <c r="G113" s="33" t="n"/>
      <c r="H113" s="32" t="n"/>
      <c r="I113" s="22">
        <f>IF(G113="","",ROUND(G113*N(H113)/100,2))</f>
        <v/>
      </c>
      <c r="J113" s="32" t="n"/>
      <c r="K113" s="22">
        <f>IF(G113="","",ROUND(G113*N(J113)/100,2))</f>
        <v/>
      </c>
      <c r="L113" s="22">
        <f>IF(G113="","",G113+I113-K113)</f>
        <v/>
      </c>
      <c r="M113" s="35">
        <f>IF(B113="","",ROUNDUP(MONTH(B113)/3,0))</f>
        <v/>
      </c>
      <c r="N113" s="35">
        <f>IF(B113="","",YEAR(B113))</f>
        <v/>
      </c>
    </row>
    <row r="114">
      <c r="B114" s="37" t="n"/>
      <c r="C114" s="31" t="n"/>
      <c r="D114" s="31" t="n"/>
      <c r="E114" s="31" t="n"/>
      <c r="F114" s="31" t="n"/>
      <c r="G114" s="33" t="n"/>
      <c r="H114" s="32" t="n"/>
      <c r="I114" s="22">
        <f>IF(G114="","",ROUND(G114*N(H114)/100,2))</f>
        <v/>
      </c>
      <c r="J114" s="32" t="n"/>
      <c r="K114" s="22">
        <f>IF(G114="","",ROUND(G114*N(J114)/100,2))</f>
        <v/>
      </c>
      <c r="L114" s="22">
        <f>IF(G114="","",G114+I114-K114)</f>
        <v/>
      </c>
      <c r="M114" s="35">
        <f>IF(B114="","",ROUNDUP(MONTH(B114)/3,0))</f>
        <v/>
      </c>
      <c r="N114" s="35">
        <f>IF(B114="","",YEAR(B114))</f>
        <v/>
      </c>
    </row>
    <row r="115">
      <c r="B115" s="37" t="n"/>
      <c r="C115" s="31" t="n"/>
      <c r="D115" s="31" t="n"/>
      <c r="E115" s="31" t="n"/>
      <c r="F115" s="31" t="n"/>
      <c r="G115" s="33" t="n"/>
      <c r="H115" s="32" t="n"/>
      <c r="I115" s="22">
        <f>IF(G115="","",ROUND(G115*N(H115)/100,2))</f>
        <v/>
      </c>
      <c r="J115" s="32" t="n"/>
      <c r="K115" s="22">
        <f>IF(G115="","",ROUND(G115*N(J115)/100,2))</f>
        <v/>
      </c>
      <c r="L115" s="22">
        <f>IF(G115="","",G115+I115-K115)</f>
        <v/>
      </c>
      <c r="M115" s="35">
        <f>IF(B115="","",ROUNDUP(MONTH(B115)/3,0))</f>
        <v/>
      </c>
      <c r="N115" s="35">
        <f>IF(B115="","",YEAR(B115))</f>
        <v/>
      </c>
    </row>
    <row r="116">
      <c r="B116" s="37" t="n"/>
      <c r="C116" s="31" t="n"/>
      <c r="D116" s="31" t="n"/>
      <c r="E116" s="31" t="n"/>
      <c r="F116" s="31" t="n"/>
      <c r="G116" s="33" t="n"/>
      <c r="H116" s="32" t="n"/>
      <c r="I116" s="22">
        <f>IF(G116="","",ROUND(G116*N(H116)/100,2))</f>
        <v/>
      </c>
      <c r="J116" s="32" t="n"/>
      <c r="K116" s="22">
        <f>IF(G116="","",ROUND(G116*N(J116)/100,2))</f>
        <v/>
      </c>
      <c r="L116" s="22">
        <f>IF(G116="","",G116+I116-K116)</f>
        <v/>
      </c>
      <c r="M116" s="35">
        <f>IF(B116="","",ROUNDUP(MONTH(B116)/3,0))</f>
        <v/>
      </c>
      <c r="N116" s="35">
        <f>IF(B116="","",YEAR(B116))</f>
        <v/>
      </c>
    </row>
    <row r="117">
      <c r="B117" s="37" t="n"/>
      <c r="C117" s="31" t="n"/>
      <c r="D117" s="31" t="n"/>
      <c r="E117" s="31" t="n"/>
      <c r="F117" s="31" t="n"/>
      <c r="G117" s="33" t="n"/>
      <c r="H117" s="32" t="n"/>
      <c r="I117" s="22">
        <f>IF(G117="","",ROUND(G117*N(H117)/100,2))</f>
        <v/>
      </c>
      <c r="J117" s="32" t="n"/>
      <c r="K117" s="22">
        <f>IF(G117="","",ROUND(G117*N(J117)/100,2))</f>
        <v/>
      </c>
      <c r="L117" s="22">
        <f>IF(G117="","",G117+I117-K117)</f>
        <v/>
      </c>
      <c r="M117" s="35">
        <f>IF(B117="","",ROUNDUP(MONTH(B117)/3,0))</f>
        <v/>
      </c>
      <c r="N117" s="35">
        <f>IF(B117="","",YEAR(B117))</f>
        <v/>
      </c>
    </row>
    <row r="118">
      <c r="B118" s="37" t="n"/>
      <c r="C118" s="31" t="n"/>
      <c r="D118" s="31" t="n"/>
      <c r="E118" s="31" t="n"/>
      <c r="F118" s="31" t="n"/>
      <c r="G118" s="33" t="n"/>
      <c r="H118" s="32" t="n"/>
      <c r="I118" s="22">
        <f>IF(G118="","",ROUND(G118*N(H118)/100,2))</f>
        <v/>
      </c>
      <c r="J118" s="32" t="n"/>
      <c r="K118" s="22">
        <f>IF(G118="","",ROUND(G118*N(J118)/100,2))</f>
        <v/>
      </c>
      <c r="L118" s="22">
        <f>IF(G118="","",G118+I118-K118)</f>
        <v/>
      </c>
      <c r="M118" s="35">
        <f>IF(B118="","",ROUNDUP(MONTH(B118)/3,0))</f>
        <v/>
      </c>
      <c r="N118" s="35">
        <f>IF(B118="","",YEAR(B118))</f>
        <v/>
      </c>
    </row>
    <row r="119">
      <c r="B119" s="37" t="n"/>
      <c r="C119" s="31" t="n"/>
      <c r="D119" s="31" t="n"/>
      <c r="E119" s="31" t="n"/>
      <c r="F119" s="31" t="n"/>
      <c r="G119" s="33" t="n"/>
      <c r="H119" s="32" t="n"/>
      <c r="I119" s="22">
        <f>IF(G119="","",ROUND(G119*N(H119)/100,2))</f>
        <v/>
      </c>
      <c r="J119" s="32" t="n"/>
      <c r="K119" s="22">
        <f>IF(G119="","",ROUND(G119*N(J119)/100,2))</f>
        <v/>
      </c>
      <c r="L119" s="22">
        <f>IF(G119="","",G119+I119-K119)</f>
        <v/>
      </c>
      <c r="M119" s="35">
        <f>IF(B119="","",ROUNDUP(MONTH(B119)/3,0))</f>
        <v/>
      </c>
      <c r="N119" s="35">
        <f>IF(B119="","",YEAR(B119))</f>
        <v/>
      </c>
    </row>
    <row r="120">
      <c r="B120" s="37" t="n"/>
      <c r="C120" s="31" t="n"/>
      <c r="D120" s="31" t="n"/>
      <c r="E120" s="31" t="n"/>
      <c r="F120" s="31" t="n"/>
      <c r="G120" s="33" t="n"/>
      <c r="H120" s="32" t="n"/>
      <c r="I120" s="22">
        <f>IF(G120="","",ROUND(G120*N(H120)/100,2))</f>
        <v/>
      </c>
      <c r="J120" s="32" t="n"/>
      <c r="K120" s="22">
        <f>IF(G120="","",ROUND(G120*N(J120)/100,2))</f>
        <v/>
      </c>
      <c r="L120" s="22">
        <f>IF(G120="","",G120+I120-K120)</f>
        <v/>
      </c>
      <c r="M120" s="35">
        <f>IF(B120="","",ROUNDUP(MONTH(B120)/3,0))</f>
        <v/>
      </c>
      <c r="N120" s="35">
        <f>IF(B120="","",YEAR(B120))</f>
        <v/>
      </c>
    </row>
    <row r="121">
      <c r="B121" s="37" t="n"/>
      <c r="C121" s="31" t="n"/>
      <c r="D121" s="31" t="n"/>
      <c r="E121" s="31" t="n"/>
      <c r="F121" s="31" t="n"/>
      <c r="G121" s="33" t="n"/>
      <c r="H121" s="32" t="n"/>
      <c r="I121" s="22">
        <f>IF(G121="","",ROUND(G121*N(H121)/100,2))</f>
        <v/>
      </c>
      <c r="J121" s="32" t="n"/>
      <c r="K121" s="22">
        <f>IF(G121="","",ROUND(G121*N(J121)/100,2))</f>
        <v/>
      </c>
      <c r="L121" s="22">
        <f>IF(G121="","",G121+I121-K121)</f>
        <v/>
      </c>
      <c r="M121" s="35">
        <f>IF(B121="","",ROUNDUP(MONTH(B121)/3,0))</f>
        <v/>
      </c>
      <c r="N121" s="35">
        <f>IF(B121="","",YEAR(B121))</f>
        <v/>
      </c>
    </row>
    <row r="122">
      <c r="B122" s="37" t="n"/>
      <c r="C122" s="31" t="n"/>
      <c r="D122" s="31" t="n"/>
      <c r="E122" s="31" t="n"/>
      <c r="F122" s="31" t="n"/>
      <c r="G122" s="33" t="n"/>
      <c r="H122" s="32" t="n"/>
      <c r="I122" s="22">
        <f>IF(G122="","",ROUND(G122*N(H122)/100,2))</f>
        <v/>
      </c>
      <c r="J122" s="32" t="n"/>
      <c r="K122" s="22">
        <f>IF(G122="","",ROUND(G122*N(J122)/100,2))</f>
        <v/>
      </c>
      <c r="L122" s="22">
        <f>IF(G122="","",G122+I122-K122)</f>
        <v/>
      </c>
      <c r="M122" s="35">
        <f>IF(B122="","",ROUNDUP(MONTH(B122)/3,0))</f>
        <v/>
      </c>
      <c r="N122" s="35">
        <f>IF(B122="","",YEAR(B122))</f>
        <v/>
      </c>
    </row>
    <row r="123">
      <c r="B123" s="37" t="n"/>
      <c r="C123" s="31" t="n"/>
      <c r="D123" s="31" t="n"/>
      <c r="E123" s="31" t="n"/>
      <c r="F123" s="31" t="n"/>
      <c r="G123" s="33" t="n"/>
      <c r="H123" s="32" t="n"/>
      <c r="I123" s="22">
        <f>IF(G123="","",ROUND(G123*N(H123)/100,2))</f>
        <v/>
      </c>
      <c r="J123" s="32" t="n"/>
      <c r="K123" s="22">
        <f>IF(G123="","",ROUND(G123*N(J123)/100,2))</f>
        <v/>
      </c>
      <c r="L123" s="22">
        <f>IF(G123="","",G123+I123-K123)</f>
        <v/>
      </c>
      <c r="M123" s="35">
        <f>IF(B123="","",ROUNDUP(MONTH(B123)/3,0))</f>
        <v/>
      </c>
      <c r="N123" s="35">
        <f>IF(B123="","",YEAR(B123))</f>
        <v/>
      </c>
    </row>
    <row r="124">
      <c r="B124" s="37" t="n"/>
      <c r="C124" s="31" t="n"/>
      <c r="D124" s="31" t="n"/>
      <c r="E124" s="31" t="n"/>
      <c r="F124" s="31" t="n"/>
      <c r="G124" s="33" t="n"/>
      <c r="H124" s="32" t="n"/>
      <c r="I124" s="22">
        <f>IF(G124="","",ROUND(G124*N(H124)/100,2))</f>
        <v/>
      </c>
      <c r="J124" s="32" t="n"/>
      <c r="K124" s="22">
        <f>IF(G124="","",ROUND(G124*N(J124)/100,2))</f>
        <v/>
      </c>
      <c r="L124" s="22">
        <f>IF(G124="","",G124+I124-K124)</f>
        <v/>
      </c>
      <c r="M124" s="35">
        <f>IF(B124="","",ROUNDUP(MONTH(B124)/3,0))</f>
        <v/>
      </c>
      <c r="N124" s="35">
        <f>IF(B124="","",YEAR(B124))</f>
        <v/>
      </c>
    </row>
    <row r="125">
      <c r="B125" s="37" t="n"/>
      <c r="C125" s="31" t="n"/>
      <c r="D125" s="31" t="n"/>
      <c r="E125" s="31" t="n"/>
      <c r="F125" s="31" t="n"/>
      <c r="G125" s="33" t="n"/>
      <c r="H125" s="32" t="n"/>
      <c r="I125" s="22">
        <f>IF(G125="","",ROUND(G125*N(H125)/100,2))</f>
        <v/>
      </c>
      <c r="J125" s="32" t="n"/>
      <c r="K125" s="22">
        <f>IF(G125="","",ROUND(G125*N(J125)/100,2))</f>
        <v/>
      </c>
      <c r="L125" s="22">
        <f>IF(G125="","",G125+I125-K125)</f>
        <v/>
      </c>
      <c r="M125" s="35">
        <f>IF(B125="","",ROUNDUP(MONTH(B125)/3,0))</f>
        <v/>
      </c>
      <c r="N125" s="35">
        <f>IF(B125="","",YEAR(B125))</f>
        <v/>
      </c>
    </row>
    <row r="126">
      <c r="B126" s="37" t="n"/>
      <c r="C126" s="31" t="n"/>
      <c r="D126" s="31" t="n"/>
      <c r="E126" s="31" t="n"/>
      <c r="F126" s="31" t="n"/>
      <c r="G126" s="33" t="n"/>
      <c r="H126" s="32" t="n"/>
      <c r="I126" s="22">
        <f>IF(G126="","",ROUND(G126*N(H126)/100,2))</f>
        <v/>
      </c>
      <c r="J126" s="32" t="n"/>
      <c r="K126" s="22">
        <f>IF(G126="","",ROUND(G126*N(J126)/100,2))</f>
        <v/>
      </c>
      <c r="L126" s="22">
        <f>IF(G126="","",G126+I126-K126)</f>
        <v/>
      </c>
      <c r="M126" s="35">
        <f>IF(B126="","",ROUNDUP(MONTH(B126)/3,0))</f>
        <v/>
      </c>
      <c r="N126" s="35">
        <f>IF(B126="","",YEAR(B126))</f>
        <v/>
      </c>
    </row>
    <row r="127">
      <c r="B127" s="37" t="n"/>
      <c r="C127" s="31" t="n"/>
      <c r="D127" s="31" t="n"/>
      <c r="E127" s="31" t="n"/>
      <c r="F127" s="31" t="n"/>
      <c r="G127" s="33" t="n"/>
      <c r="H127" s="32" t="n"/>
      <c r="I127" s="22">
        <f>IF(G127="","",ROUND(G127*N(H127)/100,2))</f>
        <v/>
      </c>
      <c r="J127" s="32" t="n"/>
      <c r="K127" s="22">
        <f>IF(G127="","",ROUND(G127*N(J127)/100,2))</f>
        <v/>
      </c>
      <c r="L127" s="22">
        <f>IF(G127="","",G127+I127-K127)</f>
        <v/>
      </c>
      <c r="M127" s="35">
        <f>IF(B127="","",ROUNDUP(MONTH(B127)/3,0))</f>
        <v/>
      </c>
      <c r="N127" s="35">
        <f>IF(B127="","",YEAR(B127))</f>
        <v/>
      </c>
    </row>
    <row r="128">
      <c r="B128" s="37" t="n"/>
      <c r="C128" s="31" t="n"/>
      <c r="D128" s="31" t="n"/>
      <c r="E128" s="31" t="n"/>
      <c r="F128" s="31" t="n"/>
      <c r="G128" s="33" t="n"/>
      <c r="H128" s="32" t="n"/>
      <c r="I128" s="22">
        <f>IF(G128="","",ROUND(G128*N(H128)/100,2))</f>
        <v/>
      </c>
      <c r="J128" s="32" t="n"/>
      <c r="K128" s="22">
        <f>IF(G128="","",ROUND(G128*N(J128)/100,2))</f>
        <v/>
      </c>
      <c r="L128" s="22">
        <f>IF(G128="","",G128+I128-K128)</f>
        <v/>
      </c>
      <c r="M128" s="35">
        <f>IF(B128="","",ROUNDUP(MONTH(B128)/3,0))</f>
        <v/>
      </c>
      <c r="N128" s="35">
        <f>IF(B128="","",YEAR(B128))</f>
        <v/>
      </c>
    </row>
    <row r="129">
      <c r="B129" s="37" t="n"/>
      <c r="C129" s="31" t="n"/>
      <c r="D129" s="31" t="n"/>
      <c r="E129" s="31" t="n"/>
      <c r="F129" s="31" t="n"/>
      <c r="G129" s="33" t="n"/>
      <c r="H129" s="32" t="n"/>
      <c r="I129" s="22">
        <f>IF(G129="","",ROUND(G129*N(H129)/100,2))</f>
        <v/>
      </c>
      <c r="J129" s="32" t="n"/>
      <c r="K129" s="22">
        <f>IF(G129="","",ROUND(G129*N(J129)/100,2))</f>
        <v/>
      </c>
      <c r="L129" s="22">
        <f>IF(G129="","",G129+I129-K129)</f>
        <v/>
      </c>
      <c r="M129" s="35">
        <f>IF(B129="","",ROUNDUP(MONTH(B129)/3,0))</f>
        <v/>
      </c>
      <c r="N129" s="35">
        <f>IF(B129="","",YEAR(B129))</f>
        <v/>
      </c>
    </row>
    <row r="130">
      <c r="B130" s="37" t="n"/>
      <c r="C130" s="31" t="n"/>
      <c r="D130" s="31" t="n"/>
      <c r="E130" s="31" t="n"/>
      <c r="F130" s="31" t="n"/>
      <c r="G130" s="33" t="n"/>
      <c r="H130" s="32" t="n"/>
      <c r="I130" s="22">
        <f>IF(G130="","",ROUND(G130*N(H130)/100,2))</f>
        <v/>
      </c>
      <c r="J130" s="32" t="n"/>
      <c r="K130" s="22">
        <f>IF(G130="","",ROUND(G130*N(J130)/100,2))</f>
        <v/>
      </c>
      <c r="L130" s="22">
        <f>IF(G130="","",G130+I130-K130)</f>
        <v/>
      </c>
      <c r="M130" s="35">
        <f>IF(B130="","",ROUNDUP(MONTH(B130)/3,0))</f>
        <v/>
      </c>
      <c r="N130" s="35">
        <f>IF(B130="","",YEAR(B130))</f>
        <v/>
      </c>
    </row>
    <row r="131">
      <c r="B131" s="37" t="n"/>
      <c r="C131" s="31" t="n"/>
      <c r="D131" s="31" t="n"/>
      <c r="E131" s="31" t="n"/>
      <c r="F131" s="31" t="n"/>
      <c r="G131" s="33" t="n"/>
      <c r="H131" s="32" t="n"/>
      <c r="I131" s="22">
        <f>IF(G131="","",ROUND(G131*N(H131)/100,2))</f>
        <v/>
      </c>
      <c r="J131" s="32" t="n"/>
      <c r="K131" s="22">
        <f>IF(G131="","",ROUND(G131*N(J131)/100,2))</f>
        <v/>
      </c>
      <c r="L131" s="22">
        <f>IF(G131="","",G131+I131-K131)</f>
        <v/>
      </c>
      <c r="M131" s="35">
        <f>IF(B131="","",ROUNDUP(MONTH(B131)/3,0))</f>
        <v/>
      </c>
      <c r="N131" s="35">
        <f>IF(B131="","",YEAR(B131))</f>
        <v/>
      </c>
    </row>
    <row r="132">
      <c r="B132" s="37" t="n"/>
      <c r="C132" s="31" t="n"/>
      <c r="D132" s="31" t="n"/>
      <c r="E132" s="31" t="n"/>
      <c r="F132" s="31" t="n"/>
      <c r="G132" s="33" t="n"/>
      <c r="H132" s="32" t="n"/>
      <c r="I132" s="22">
        <f>IF(G132="","",ROUND(G132*N(H132)/100,2))</f>
        <v/>
      </c>
      <c r="J132" s="32" t="n"/>
      <c r="K132" s="22">
        <f>IF(G132="","",ROUND(G132*N(J132)/100,2))</f>
        <v/>
      </c>
      <c r="L132" s="22">
        <f>IF(G132="","",G132+I132-K132)</f>
        <v/>
      </c>
      <c r="M132" s="35">
        <f>IF(B132="","",ROUNDUP(MONTH(B132)/3,0))</f>
        <v/>
      </c>
      <c r="N132" s="35">
        <f>IF(B132="","",YEAR(B132))</f>
        <v/>
      </c>
    </row>
    <row r="133">
      <c r="B133" s="37" t="n"/>
      <c r="C133" s="31" t="n"/>
      <c r="D133" s="31" t="n"/>
      <c r="E133" s="31" t="n"/>
      <c r="F133" s="31" t="n"/>
      <c r="G133" s="33" t="n"/>
      <c r="H133" s="32" t="n"/>
      <c r="I133" s="22">
        <f>IF(G133="","",ROUND(G133*N(H133)/100,2))</f>
        <v/>
      </c>
      <c r="J133" s="32" t="n"/>
      <c r="K133" s="22">
        <f>IF(G133="","",ROUND(G133*N(J133)/100,2))</f>
        <v/>
      </c>
      <c r="L133" s="22">
        <f>IF(G133="","",G133+I133-K133)</f>
        <v/>
      </c>
      <c r="M133" s="35">
        <f>IF(B133="","",ROUNDUP(MONTH(B133)/3,0))</f>
        <v/>
      </c>
      <c r="N133" s="35">
        <f>IF(B133="","",YEAR(B133))</f>
        <v/>
      </c>
    </row>
    <row r="134">
      <c r="B134" s="37" t="n"/>
      <c r="C134" s="31" t="n"/>
      <c r="D134" s="31" t="n"/>
      <c r="E134" s="31" t="n"/>
      <c r="F134" s="31" t="n"/>
      <c r="G134" s="33" t="n"/>
      <c r="H134" s="32" t="n"/>
      <c r="I134" s="22">
        <f>IF(G134="","",ROUND(G134*N(H134)/100,2))</f>
        <v/>
      </c>
      <c r="J134" s="32" t="n"/>
      <c r="K134" s="22">
        <f>IF(G134="","",ROUND(G134*N(J134)/100,2))</f>
        <v/>
      </c>
      <c r="L134" s="22">
        <f>IF(G134="","",G134+I134-K134)</f>
        <v/>
      </c>
      <c r="M134" s="35">
        <f>IF(B134="","",ROUNDUP(MONTH(B134)/3,0))</f>
        <v/>
      </c>
      <c r="N134" s="35">
        <f>IF(B134="","",YEAR(B134))</f>
        <v/>
      </c>
    </row>
    <row r="135">
      <c r="B135" s="37" t="n"/>
      <c r="C135" s="31" t="n"/>
      <c r="D135" s="31" t="n"/>
      <c r="E135" s="31" t="n"/>
      <c r="F135" s="31" t="n"/>
      <c r="G135" s="33" t="n"/>
      <c r="H135" s="32" t="n"/>
      <c r="I135" s="22">
        <f>IF(G135="","",ROUND(G135*N(H135)/100,2))</f>
        <v/>
      </c>
      <c r="J135" s="32" t="n"/>
      <c r="K135" s="22">
        <f>IF(G135="","",ROUND(G135*N(J135)/100,2))</f>
        <v/>
      </c>
      <c r="L135" s="22">
        <f>IF(G135="","",G135+I135-K135)</f>
        <v/>
      </c>
      <c r="M135" s="35">
        <f>IF(B135="","",ROUNDUP(MONTH(B135)/3,0))</f>
        <v/>
      </c>
      <c r="N135" s="35">
        <f>IF(B135="","",YEAR(B135))</f>
        <v/>
      </c>
    </row>
    <row r="136">
      <c r="B136" s="37" t="n"/>
      <c r="C136" s="31" t="n"/>
      <c r="D136" s="31" t="n"/>
      <c r="E136" s="31" t="n"/>
      <c r="F136" s="31" t="n"/>
      <c r="G136" s="33" t="n"/>
      <c r="H136" s="32" t="n"/>
      <c r="I136" s="22">
        <f>IF(G136="","",ROUND(G136*N(H136)/100,2))</f>
        <v/>
      </c>
      <c r="J136" s="32" t="n"/>
      <c r="K136" s="22">
        <f>IF(G136="","",ROUND(G136*N(J136)/100,2))</f>
        <v/>
      </c>
      <c r="L136" s="22">
        <f>IF(G136="","",G136+I136-K136)</f>
        <v/>
      </c>
      <c r="M136" s="35">
        <f>IF(B136="","",ROUNDUP(MONTH(B136)/3,0))</f>
        <v/>
      </c>
      <c r="N136" s="35">
        <f>IF(B136="","",YEAR(B136))</f>
        <v/>
      </c>
    </row>
    <row r="137">
      <c r="B137" s="37" t="n"/>
      <c r="C137" s="31" t="n"/>
      <c r="D137" s="31" t="n"/>
      <c r="E137" s="31" t="n"/>
      <c r="F137" s="31" t="n"/>
      <c r="G137" s="33" t="n"/>
      <c r="H137" s="32" t="n"/>
      <c r="I137" s="22">
        <f>IF(G137="","",ROUND(G137*N(H137)/100,2))</f>
        <v/>
      </c>
      <c r="J137" s="32" t="n"/>
      <c r="K137" s="22">
        <f>IF(G137="","",ROUND(G137*N(J137)/100,2))</f>
        <v/>
      </c>
      <c r="L137" s="22">
        <f>IF(G137="","",G137+I137-K137)</f>
        <v/>
      </c>
      <c r="M137" s="35">
        <f>IF(B137="","",ROUNDUP(MONTH(B137)/3,0))</f>
        <v/>
      </c>
      <c r="N137" s="35">
        <f>IF(B137="","",YEAR(B137))</f>
        <v/>
      </c>
    </row>
    <row r="138">
      <c r="B138" s="37" t="n"/>
      <c r="C138" s="31" t="n"/>
      <c r="D138" s="31" t="n"/>
      <c r="E138" s="31" t="n"/>
      <c r="F138" s="31" t="n"/>
      <c r="G138" s="33" t="n"/>
      <c r="H138" s="32" t="n"/>
      <c r="I138" s="22">
        <f>IF(G138="","",ROUND(G138*N(H138)/100,2))</f>
        <v/>
      </c>
      <c r="J138" s="32" t="n"/>
      <c r="K138" s="22">
        <f>IF(G138="","",ROUND(G138*N(J138)/100,2))</f>
        <v/>
      </c>
      <c r="L138" s="22">
        <f>IF(G138="","",G138+I138-K138)</f>
        <v/>
      </c>
      <c r="M138" s="35">
        <f>IF(B138="","",ROUNDUP(MONTH(B138)/3,0))</f>
        <v/>
      </c>
      <c r="N138" s="35">
        <f>IF(B138="","",YEAR(B138))</f>
        <v/>
      </c>
    </row>
    <row r="139">
      <c r="B139" s="37" t="n"/>
      <c r="C139" s="31" t="n"/>
      <c r="D139" s="31" t="n"/>
      <c r="E139" s="31" t="n"/>
      <c r="F139" s="31" t="n"/>
      <c r="G139" s="33" t="n"/>
      <c r="H139" s="32" t="n"/>
      <c r="I139" s="22">
        <f>IF(G139="","",ROUND(G139*N(H139)/100,2))</f>
        <v/>
      </c>
      <c r="J139" s="32" t="n"/>
      <c r="K139" s="22">
        <f>IF(G139="","",ROUND(G139*N(J139)/100,2))</f>
        <v/>
      </c>
      <c r="L139" s="22">
        <f>IF(G139="","",G139+I139-K139)</f>
        <v/>
      </c>
      <c r="M139" s="35">
        <f>IF(B139="","",ROUNDUP(MONTH(B139)/3,0))</f>
        <v/>
      </c>
      <c r="N139" s="35">
        <f>IF(B139="","",YEAR(B139))</f>
        <v/>
      </c>
    </row>
    <row r="140">
      <c r="B140" s="37" t="n"/>
      <c r="C140" s="31" t="n"/>
      <c r="D140" s="31" t="n"/>
      <c r="E140" s="31" t="n"/>
      <c r="F140" s="31" t="n"/>
      <c r="G140" s="33" t="n"/>
      <c r="H140" s="32" t="n"/>
      <c r="I140" s="22">
        <f>IF(G140="","",ROUND(G140*N(H140)/100,2))</f>
        <v/>
      </c>
      <c r="J140" s="32" t="n"/>
      <c r="K140" s="22">
        <f>IF(G140="","",ROUND(G140*N(J140)/100,2))</f>
        <v/>
      </c>
      <c r="L140" s="22">
        <f>IF(G140="","",G140+I140-K140)</f>
        <v/>
      </c>
      <c r="M140" s="35">
        <f>IF(B140="","",ROUNDUP(MONTH(B140)/3,0))</f>
        <v/>
      </c>
      <c r="N140" s="35">
        <f>IF(B140="","",YEAR(B140))</f>
        <v/>
      </c>
    </row>
    <row r="141">
      <c r="B141" s="37" t="n"/>
      <c r="C141" s="31" t="n"/>
      <c r="D141" s="31" t="n"/>
      <c r="E141" s="31" t="n"/>
      <c r="F141" s="31" t="n"/>
      <c r="G141" s="33" t="n"/>
      <c r="H141" s="32" t="n"/>
      <c r="I141" s="22">
        <f>IF(G141="","",ROUND(G141*N(H141)/100,2))</f>
        <v/>
      </c>
      <c r="J141" s="32" t="n"/>
      <c r="K141" s="22">
        <f>IF(G141="","",ROUND(G141*N(J141)/100,2))</f>
        <v/>
      </c>
      <c r="L141" s="22">
        <f>IF(G141="","",G141+I141-K141)</f>
        <v/>
      </c>
      <c r="M141" s="35">
        <f>IF(B141="","",ROUNDUP(MONTH(B141)/3,0))</f>
        <v/>
      </c>
      <c r="N141" s="35">
        <f>IF(B141="","",YEAR(B141))</f>
        <v/>
      </c>
    </row>
    <row r="142">
      <c r="B142" s="37" t="n"/>
      <c r="C142" s="31" t="n"/>
      <c r="D142" s="31" t="n"/>
      <c r="E142" s="31" t="n"/>
      <c r="F142" s="31" t="n"/>
      <c r="G142" s="33" t="n"/>
      <c r="H142" s="32" t="n"/>
      <c r="I142" s="22">
        <f>IF(G142="","",ROUND(G142*N(H142)/100,2))</f>
        <v/>
      </c>
      <c r="J142" s="32" t="n"/>
      <c r="K142" s="22">
        <f>IF(G142="","",ROUND(G142*N(J142)/100,2))</f>
        <v/>
      </c>
      <c r="L142" s="22">
        <f>IF(G142="","",G142+I142-K142)</f>
        <v/>
      </c>
      <c r="M142" s="35">
        <f>IF(B142="","",ROUNDUP(MONTH(B142)/3,0))</f>
        <v/>
      </c>
      <c r="N142" s="35">
        <f>IF(B142="","",YEAR(B142))</f>
        <v/>
      </c>
    </row>
    <row r="143">
      <c r="B143" s="37" t="n"/>
      <c r="C143" s="31" t="n"/>
      <c r="D143" s="31" t="n"/>
      <c r="E143" s="31" t="n"/>
      <c r="F143" s="31" t="n"/>
      <c r="G143" s="33" t="n"/>
      <c r="H143" s="32" t="n"/>
      <c r="I143" s="22">
        <f>IF(G143="","",ROUND(G143*N(H143)/100,2))</f>
        <v/>
      </c>
      <c r="J143" s="32" t="n"/>
      <c r="K143" s="22">
        <f>IF(G143="","",ROUND(G143*N(J143)/100,2))</f>
        <v/>
      </c>
      <c r="L143" s="22">
        <f>IF(G143="","",G143+I143-K143)</f>
        <v/>
      </c>
      <c r="M143" s="35">
        <f>IF(B143="","",ROUNDUP(MONTH(B143)/3,0))</f>
        <v/>
      </c>
      <c r="N143" s="35">
        <f>IF(B143="","",YEAR(B143))</f>
        <v/>
      </c>
    </row>
    <row r="144">
      <c r="B144" s="37" t="n"/>
      <c r="C144" s="31" t="n"/>
      <c r="D144" s="31" t="n"/>
      <c r="E144" s="31" t="n"/>
      <c r="F144" s="31" t="n"/>
      <c r="G144" s="33" t="n"/>
      <c r="H144" s="32" t="n"/>
      <c r="I144" s="22">
        <f>IF(G144="","",ROUND(G144*N(H144)/100,2))</f>
        <v/>
      </c>
      <c r="J144" s="32" t="n"/>
      <c r="K144" s="22">
        <f>IF(G144="","",ROUND(G144*N(J144)/100,2))</f>
        <v/>
      </c>
      <c r="L144" s="22">
        <f>IF(G144="","",G144+I144-K144)</f>
        <v/>
      </c>
      <c r="M144" s="35">
        <f>IF(B144="","",ROUNDUP(MONTH(B144)/3,0))</f>
        <v/>
      </c>
      <c r="N144" s="35">
        <f>IF(B144="","",YEAR(B144))</f>
        <v/>
      </c>
    </row>
    <row r="145">
      <c r="B145" s="37" t="n"/>
      <c r="C145" s="31" t="n"/>
      <c r="D145" s="31" t="n"/>
      <c r="E145" s="31" t="n"/>
      <c r="F145" s="31" t="n"/>
      <c r="G145" s="33" t="n"/>
      <c r="H145" s="32" t="n"/>
      <c r="I145" s="22">
        <f>IF(G145="","",ROUND(G145*N(H145)/100,2))</f>
        <v/>
      </c>
      <c r="J145" s="32" t="n"/>
      <c r="K145" s="22">
        <f>IF(G145="","",ROUND(G145*N(J145)/100,2))</f>
        <v/>
      </c>
      <c r="L145" s="22">
        <f>IF(G145="","",G145+I145-K145)</f>
        <v/>
      </c>
      <c r="M145" s="35">
        <f>IF(B145="","",ROUNDUP(MONTH(B145)/3,0))</f>
        <v/>
      </c>
      <c r="N145" s="35">
        <f>IF(B145="","",YEAR(B145))</f>
        <v/>
      </c>
    </row>
    <row r="146">
      <c r="B146" s="37" t="n"/>
      <c r="C146" s="31" t="n"/>
      <c r="D146" s="31" t="n"/>
      <c r="E146" s="31" t="n"/>
      <c r="F146" s="31" t="n"/>
      <c r="G146" s="33" t="n"/>
      <c r="H146" s="32" t="n"/>
      <c r="I146" s="22">
        <f>IF(G146="","",ROUND(G146*N(H146)/100,2))</f>
        <v/>
      </c>
      <c r="J146" s="32" t="n"/>
      <c r="K146" s="22">
        <f>IF(G146="","",ROUND(G146*N(J146)/100,2))</f>
        <v/>
      </c>
      <c r="L146" s="22">
        <f>IF(G146="","",G146+I146-K146)</f>
        <v/>
      </c>
      <c r="M146" s="35">
        <f>IF(B146="","",ROUNDUP(MONTH(B146)/3,0))</f>
        <v/>
      </c>
      <c r="N146" s="35">
        <f>IF(B146="","",YEAR(B146))</f>
        <v/>
      </c>
    </row>
    <row r="147">
      <c r="B147" s="37" t="n"/>
      <c r="C147" s="31" t="n"/>
      <c r="D147" s="31" t="n"/>
      <c r="E147" s="31" t="n"/>
      <c r="F147" s="31" t="n"/>
      <c r="G147" s="33" t="n"/>
      <c r="H147" s="32" t="n"/>
      <c r="I147" s="22">
        <f>IF(G147="","",ROUND(G147*N(H147)/100,2))</f>
        <v/>
      </c>
      <c r="J147" s="32" t="n"/>
      <c r="K147" s="22">
        <f>IF(G147="","",ROUND(G147*N(J147)/100,2))</f>
        <v/>
      </c>
      <c r="L147" s="22">
        <f>IF(G147="","",G147+I147-K147)</f>
        <v/>
      </c>
      <c r="M147" s="35">
        <f>IF(B147="","",ROUNDUP(MONTH(B147)/3,0))</f>
        <v/>
      </c>
      <c r="N147" s="35">
        <f>IF(B147="","",YEAR(B147))</f>
        <v/>
      </c>
    </row>
    <row r="148">
      <c r="B148" s="37" t="n"/>
      <c r="C148" s="31" t="n"/>
      <c r="D148" s="31" t="n"/>
      <c r="E148" s="31" t="n"/>
      <c r="F148" s="31" t="n"/>
      <c r="G148" s="33" t="n"/>
      <c r="H148" s="32" t="n"/>
      <c r="I148" s="22">
        <f>IF(G148="","",ROUND(G148*N(H148)/100,2))</f>
        <v/>
      </c>
      <c r="J148" s="32" t="n"/>
      <c r="K148" s="22">
        <f>IF(G148="","",ROUND(G148*N(J148)/100,2))</f>
        <v/>
      </c>
      <c r="L148" s="22">
        <f>IF(G148="","",G148+I148-K148)</f>
        <v/>
      </c>
      <c r="M148" s="35">
        <f>IF(B148="","",ROUNDUP(MONTH(B148)/3,0))</f>
        <v/>
      </c>
      <c r="N148" s="35">
        <f>IF(B148="","",YEAR(B148))</f>
        <v/>
      </c>
    </row>
    <row r="149">
      <c r="B149" s="37" t="n"/>
      <c r="C149" s="31" t="n"/>
      <c r="D149" s="31" t="n"/>
      <c r="E149" s="31" t="n"/>
      <c r="F149" s="31" t="n"/>
      <c r="G149" s="33" t="n"/>
      <c r="H149" s="32" t="n"/>
      <c r="I149" s="22">
        <f>IF(G149="","",ROUND(G149*N(H149)/100,2))</f>
        <v/>
      </c>
      <c r="J149" s="32" t="n"/>
      <c r="K149" s="22">
        <f>IF(G149="","",ROUND(G149*N(J149)/100,2))</f>
        <v/>
      </c>
      <c r="L149" s="22">
        <f>IF(G149="","",G149+I149-K149)</f>
        <v/>
      </c>
      <c r="M149" s="35">
        <f>IF(B149="","",ROUNDUP(MONTH(B149)/3,0))</f>
        <v/>
      </c>
      <c r="N149" s="35">
        <f>IF(B149="","",YEAR(B149))</f>
        <v/>
      </c>
    </row>
    <row r="150">
      <c r="B150" s="37" t="n"/>
      <c r="C150" s="31" t="n"/>
      <c r="D150" s="31" t="n"/>
      <c r="E150" s="31" t="n"/>
      <c r="F150" s="31" t="n"/>
      <c r="G150" s="33" t="n"/>
      <c r="H150" s="32" t="n"/>
      <c r="I150" s="22">
        <f>IF(G150="","",ROUND(G150*N(H150)/100,2))</f>
        <v/>
      </c>
      <c r="J150" s="32" t="n"/>
      <c r="K150" s="22">
        <f>IF(G150="","",ROUND(G150*N(J150)/100,2))</f>
        <v/>
      </c>
      <c r="L150" s="22">
        <f>IF(G150="","",G150+I150-K150)</f>
        <v/>
      </c>
      <c r="M150" s="35">
        <f>IF(B150="","",ROUNDUP(MONTH(B150)/3,0))</f>
        <v/>
      </c>
      <c r="N150" s="35">
        <f>IF(B150="","",YEAR(B150))</f>
        <v/>
      </c>
    </row>
    <row r="151">
      <c r="B151" s="37" t="n"/>
      <c r="C151" s="31" t="n"/>
      <c r="D151" s="31" t="n"/>
      <c r="E151" s="31" t="n"/>
      <c r="F151" s="31" t="n"/>
      <c r="G151" s="33" t="n"/>
      <c r="H151" s="32" t="n"/>
      <c r="I151" s="22">
        <f>IF(G151="","",ROUND(G151*N(H151)/100,2))</f>
        <v/>
      </c>
      <c r="J151" s="32" t="n"/>
      <c r="K151" s="22">
        <f>IF(G151="","",ROUND(G151*N(J151)/100,2))</f>
        <v/>
      </c>
      <c r="L151" s="22">
        <f>IF(G151="","",G151+I151-K151)</f>
        <v/>
      </c>
      <c r="M151" s="35">
        <f>IF(B151="","",ROUNDUP(MONTH(B151)/3,0))</f>
        <v/>
      </c>
      <c r="N151" s="35">
        <f>IF(B151="","",YEAR(B151))</f>
        <v/>
      </c>
    </row>
    <row r="152">
      <c r="B152" s="37" t="n"/>
      <c r="C152" s="31" t="n"/>
      <c r="D152" s="31" t="n"/>
      <c r="E152" s="31" t="n"/>
      <c r="F152" s="31" t="n"/>
      <c r="G152" s="33" t="n"/>
      <c r="H152" s="32" t="n"/>
      <c r="I152" s="22">
        <f>IF(G152="","",ROUND(G152*N(H152)/100,2))</f>
        <v/>
      </c>
      <c r="J152" s="32" t="n"/>
      <c r="K152" s="22">
        <f>IF(G152="","",ROUND(G152*N(J152)/100,2))</f>
        <v/>
      </c>
      <c r="L152" s="22">
        <f>IF(G152="","",G152+I152-K152)</f>
        <v/>
      </c>
      <c r="M152" s="35">
        <f>IF(B152="","",ROUNDUP(MONTH(B152)/3,0))</f>
        <v/>
      </c>
      <c r="N152" s="35">
        <f>IF(B152="","",YEAR(B152))</f>
        <v/>
      </c>
    </row>
    <row r="153">
      <c r="B153" s="37" t="n"/>
      <c r="C153" s="31" t="n"/>
      <c r="D153" s="31" t="n"/>
      <c r="E153" s="31" t="n"/>
      <c r="F153" s="31" t="n"/>
      <c r="G153" s="33" t="n"/>
      <c r="H153" s="32" t="n"/>
      <c r="I153" s="22">
        <f>IF(G153="","",ROUND(G153*N(H153)/100,2))</f>
        <v/>
      </c>
      <c r="J153" s="32" t="n"/>
      <c r="K153" s="22">
        <f>IF(G153="","",ROUND(G153*N(J153)/100,2))</f>
        <v/>
      </c>
      <c r="L153" s="22">
        <f>IF(G153="","",G153+I153-K153)</f>
        <v/>
      </c>
      <c r="M153" s="35">
        <f>IF(B153="","",ROUNDUP(MONTH(B153)/3,0))</f>
        <v/>
      </c>
      <c r="N153" s="35">
        <f>IF(B153="","",YEAR(B153))</f>
        <v/>
      </c>
    </row>
    <row r="154">
      <c r="B154" s="37" t="n"/>
      <c r="C154" s="31" t="n"/>
      <c r="D154" s="31" t="n"/>
      <c r="E154" s="31" t="n"/>
      <c r="F154" s="31" t="n"/>
      <c r="G154" s="33" t="n"/>
      <c r="H154" s="32" t="n"/>
      <c r="I154" s="22">
        <f>IF(G154="","",ROUND(G154*N(H154)/100,2))</f>
        <v/>
      </c>
      <c r="J154" s="32" t="n"/>
      <c r="K154" s="22">
        <f>IF(G154="","",ROUND(G154*N(J154)/100,2))</f>
        <v/>
      </c>
      <c r="L154" s="22">
        <f>IF(G154="","",G154+I154-K154)</f>
        <v/>
      </c>
      <c r="M154" s="35">
        <f>IF(B154="","",ROUNDUP(MONTH(B154)/3,0))</f>
        <v/>
      </c>
      <c r="N154" s="35">
        <f>IF(B154="","",YEAR(B154))</f>
        <v/>
      </c>
    </row>
    <row r="155">
      <c r="B155" s="37" t="n"/>
      <c r="C155" s="31" t="n"/>
      <c r="D155" s="31" t="n"/>
      <c r="E155" s="31" t="n"/>
      <c r="F155" s="31" t="n"/>
      <c r="G155" s="33" t="n"/>
      <c r="H155" s="32" t="n"/>
      <c r="I155" s="22">
        <f>IF(G155="","",ROUND(G155*N(H155)/100,2))</f>
        <v/>
      </c>
      <c r="J155" s="32" t="n"/>
      <c r="K155" s="22">
        <f>IF(G155="","",ROUND(G155*N(J155)/100,2))</f>
        <v/>
      </c>
      <c r="L155" s="22">
        <f>IF(G155="","",G155+I155-K155)</f>
        <v/>
      </c>
      <c r="M155" s="35">
        <f>IF(B155="","",ROUNDUP(MONTH(B155)/3,0))</f>
        <v/>
      </c>
      <c r="N155" s="35">
        <f>IF(B155="","",YEAR(B155))</f>
        <v/>
      </c>
    </row>
    <row r="156">
      <c r="B156" s="37" t="n"/>
      <c r="C156" s="31" t="n"/>
      <c r="D156" s="31" t="n"/>
      <c r="E156" s="31" t="n"/>
      <c r="F156" s="31" t="n"/>
      <c r="G156" s="33" t="n"/>
      <c r="H156" s="32" t="n"/>
      <c r="I156" s="22">
        <f>IF(G156="","",ROUND(G156*N(H156)/100,2))</f>
        <v/>
      </c>
      <c r="J156" s="32" t="n"/>
      <c r="K156" s="22">
        <f>IF(G156="","",ROUND(G156*N(J156)/100,2))</f>
        <v/>
      </c>
      <c r="L156" s="22">
        <f>IF(G156="","",G156+I156-K156)</f>
        <v/>
      </c>
      <c r="M156" s="35">
        <f>IF(B156="","",ROUNDUP(MONTH(B156)/3,0))</f>
        <v/>
      </c>
      <c r="N156" s="35">
        <f>IF(B156="","",YEAR(B156))</f>
        <v/>
      </c>
    </row>
    <row r="157">
      <c r="B157" s="37" t="n"/>
      <c r="C157" s="31" t="n"/>
      <c r="D157" s="31" t="n"/>
      <c r="E157" s="31" t="n"/>
      <c r="F157" s="31" t="n"/>
      <c r="G157" s="33" t="n"/>
      <c r="H157" s="32" t="n"/>
      <c r="I157" s="22">
        <f>IF(G157="","",ROUND(G157*N(H157)/100,2))</f>
        <v/>
      </c>
      <c r="J157" s="32" t="n"/>
      <c r="K157" s="22">
        <f>IF(G157="","",ROUND(G157*N(J157)/100,2))</f>
        <v/>
      </c>
      <c r="L157" s="22">
        <f>IF(G157="","",G157+I157-K157)</f>
        <v/>
      </c>
      <c r="M157" s="35">
        <f>IF(B157="","",ROUNDUP(MONTH(B157)/3,0))</f>
        <v/>
      </c>
      <c r="N157" s="35">
        <f>IF(B157="","",YEAR(B157))</f>
        <v/>
      </c>
    </row>
    <row r="158">
      <c r="B158" s="37" t="n"/>
      <c r="C158" s="31" t="n"/>
      <c r="D158" s="31" t="n"/>
      <c r="E158" s="31" t="n"/>
      <c r="F158" s="31" t="n"/>
      <c r="G158" s="33" t="n"/>
      <c r="H158" s="32" t="n"/>
      <c r="I158" s="22">
        <f>IF(G158="","",ROUND(G158*N(H158)/100,2))</f>
        <v/>
      </c>
      <c r="J158" s="32" t="n"/>
      <c r="K158" s="22">
        <f>IF(G158="","",ROUND(G158*N(J158)/100,2))</f>
        <v/>
      </c>
      <c r="L158" s="22">
        <f>IF(G158="","",G158+I158-K158)</f>
        <v/>
      </c>
      <c r="M158" s="35">
        <f>IF(B158="","",ROUNDUP(MONTH(B158)/3,0))</f>
        <v/>
      </c>
      <c r="N158" s="35">
        <f>IF(B158="","",YEAR(B158))</f>
        <v/>
      </c>
    </row>
    <row r="159">
      <c r="B159" s="37" t="n"/>
      <c r="C159" s="31" t="n"/>
      <c r="D159" s="31" t="n"/>
      <c r="E159" s="31" t="n"/>
      <c r="F159" s="31" t="n"/>
      <c r="G159" s="33" t="n"/>
      <c r="H159" s="32" t="n"/>
      <c r="I159" s="22">
        <f>IF(G159="","",ROUND(G159*N(H159)/100,2))</f>
        <v/>
      </c>
      <c r="J159" s="32" t="n"/>
      <c r="K159" s="22">
        <f>IF(G159="","",ROUND(G159*N(J159)/100,2))</f>
        <v/>
      </c>
      <c r="L159" s="22">
        <f>IF(G159="","",G159+I159-K159)</f>
        <v/>
      </c>
      <c r="M159" s="35">
        <f>IF(B159="","",ROUNDUP(MONTH(B159)/3,0))</f>
        <v/>
      </c>
      <c r="N159" s="35">
        <f>IF(B159="","",YEAR(B159))</f>
        <v/>
      </c>
    </row>
    <row r="160">
      <c r="B160" s="37" t="n"/>
      <c r="C160" s="31" t="n"/>
      <c r="D160" s="31" t="n"/>
      <c r="E160" s="31" t="n"/>
      <c r="F160" s="31" t="n"/>
      <c r="G160" s="33" t="n"/>
      <c r="H160" s="32" t="n"/>
      <c r="I160" s="22">
        <f>IF(G160="","",ROUND(G160*N(H160)/100,2))</f>
        <v/>
      </c>
      <c r="J160" s="32" t="n"/>
      <c r="K160" s="22">
        <f>IF(G160="","",ROUND(G160*N(J160)/100,2))</f>
        <v/>
      </c>
      <c r="L160" s="22">
        <f>IF(G160="","",G160+I160-K160)</f>
        <v/>
      </c>
      <c r="M160" s="35">
        <f>IF(B160="","",ROUNDUP(MONTH(B160)/3,0))</f>
        <v/>
      </c>
      <c r="N160" s="35">
        <f>IF(B160="","",YEAR(B160))</f>
        <v/>
      </c>
    </row>
    <row r="161">
      <c r="B161" s="37" t="n"/>
      <c r="C161" s="31" t="n"/>
      <c r="D161" s="31" t="n"/>
      <c r="E161" s="31" t="n"/>
      <c r="F161" s="31" t="n"/>
      <c r="G161" s="33" t="n"/>
      <c r="H161" s="32" t="n"/>
      <c r="I161" s="22">
        <f>IF(G161="","",ROUND(G161*N(H161)/100,2))</f>
        <v/>
      </c>
      <c r="J161" s="32" t="n"/>
      <c r="K161" s="22">
        <f>IF(G161="","",ROUND(G161*N(J161)/100,2))</f>
        <v/>
      </c>
      <c r="L161" s="22">
        <f>IF(G161="","",G161+I161-K161)</f>
        <v/>
      </c>
      <c r="M161" s="35">
        <f>IF(B161="","",ROUNDUP(MONTH(B161)/3,0))</f>
        <v/>
      </c>
      <c r="N161" s="35">
        <f>IF(B161="","",YEAR(B161))</f>
        <v/>
      </c>
    </row>
    <row r="162">
      <c r="B162" s="37" t="n"/>
      <c r="C162" s="31" t="n"/>
      <c r="D162" s="31" t="n"/>
      <c r="E162" s="31" t="n"/>
      <c r="F162" s="31" t="n"/>
      <c r="G162" s="33" t="n"/>
      <c r="H162" s="32" t="n"/>
      <c r="I162" s="22">
        <f>IF(G162="","",ROUND(G162*N(H162)/100,2))</f>
        <v/>
      </c>
      <c r="J162" s="32" t="n"/>
      <c r="K162" s="22">
        <f>IF(G162="","",ROUND(G162*N(J162)/100,2))</f>
        <v/>
      </c>
      <c r="L162" s="22">
        <f>IF(G162="","",G162+I162-K162)</f>
        <v/>
      </c>
      <c r="M162" s="35">
        <f>IF(B162="","",ROUNDUP(MONTH(B162)/3,0))</f>
        <v/>
      </c>
      <c r="N162" s="35">
        <f>IF(B162="","",YEAR(B162))</f>
        <v/>
      </c>
    </row>
    <row r="163">
      <c r="B163" s="37" t="n"/>
      <c r="C163" s="31" t="n"/>
      <c r="D163" s="31" t="n"/>
      <c r="E163" s="31" t="n"/>
      <c r="F163" s="31" t="n"/>
      <c r="G163" s="33" t="n"/>
      <c r="H163" s="32" t="n"/>
      <c r="I163" s="22">
        <f>IF(G163="","",ROUND(G163*N(H163)/100,2))</f>
        <v/>
      </c>
      <c r="J163" s="32" t="n"/>
      <c r="K163" s="22">
        <f>IF(G163="","",ROUND(G163*N(J163)/100,2))</f>
        <v/>
      </c>
      <c r="L163" s="22">
        <f>IF(G163="","",G163+I163-K163)</f>
        <v/>
      </c>
      <c r="M163" s="35">
        <f>IF(B163="","",ROUNDUP(MONTH(B163)/3,0))</f>
        <v/>
      </c>
      <c r="N163" s="35">
        <f>IF(B163="","",YEAR(B163))</f>
        <v/>
      </c>
    </row>
    <row r="164">
      <c r="B164" s="37" t="n"/>
      <c r="C164" s="31" t="n"/>
      <c r="D164" s="31" t="n"/>
      <c r="E164" s="31" t="n"/>
      <c r="F164" s="31" t="n"/>
      <c r="G164" s="33" t="n"/>
      <c r="H164" s="32" t="n"/>
      <c r="I164" s="22">
        <f>IF(G164="","",ROUND(G164*N(H164)/100,2))</f>
        <v/>
      </c>
      <c r="J164" s="32" t="n"/>
      <c r="K164" s="22">
        <f>IF(G164="","",ROUND(G164*N(J164)/100,2))</f>
        <v/>
      </c>
      <c r="L164" s="22">
        <f>IF(G164="","",G164+I164-K164)</f>
        <v/>
      </c>
      <c r="M164" s="35">
        <f>IF(B164="","",ROUNDUP(MONTH(B164)/3,0))</f>
        <v/>
      </c>
      <c r="N164" s="35">
        <f>IF(B164="","",YEAR(B164))</f>
        <v/>
      </c>
    </row>
    <row r="165">
      <c r="B165" s="37" t="n"/>
      <c r="C165" s="31" t="n"/>
      <c r="D165" s="31" t="n"/>
      <c r="E165" s="31" t="n"/>
      <c r="F165" s="31" t="n"/>
      <c r="G165" s="33" t="n"/>
      <c r="H165" s="32" t="n"/>
      <c r="I165" s="22">
        <f>IF(G165="","",ROUND(G165*N(H165)/100,2))</f>
        <v/>
      </c>
      <c r="J165" s="32" t="n"/>
      <c r="K165" s="22">
        <f>IF(G165="","",ROUND(G165*N(J165)/100,2))</f>
        <v/>
      </c>
      <c r="L165" s="22">
        <f>IF(G165="","",G165+I165-K165)</f>
        <v/>
      </c>
      <c r="M165" s="35">
        <f>IF(B165="","",ROUNDUP(MONTH(B165)/3,0))</f>
        <v/>
      </c>
      <c r="N165" s="35">
        <f>IF(B165="","",YEAR(B165))</f>
        <v/>
      </c>
    </row>
    <row r="166">
      <c r="B166" s="37" t="n"/>
      <c r="C166" s="31" t="n"/>
      <c r="D166" s="31" t="n"/>
      <c r="E166" s="31" t="n"/>
      <c r="F166" s="31" t="n"/>
      <c r="G166" s="33" t="n"/>
      <c r="H166" s="32" t="n"/>
      <c r="I166" s="22">
        <f>IF(G166="","",ROUND(G166*N(H166)/100,2))</f>
        <v/>
      </c>
      <c r="J166" s="32" t="n"/>
      <c r="K166" s="22">
        <f>IF(G166="","",ROUND(G166*N(J166)/100,2))</f>
        <v/>
      </c>
      <c r="L166" s="22">
        <f>IF(G166="","",G166+I166-K166)</f>
        <v/>
      </c>
      <c r="M166" s="35">
        <f>IF(B166="","",ROUNDUP(MONTH(B166)/3,0))</f>
        <v/>
      </c>
      <c r="N166" s="35">
        <f>IF(B166="","",YEAR(B166))</f>
        <v/>
      </c>
    </row>
    <row r="167">
      <c r="B167" s="37" t="n"/>
      <c r="C167" s="31" t="n"/>
      <c r="D167" s="31" t="n"/>
      <c r="E167" s="31" t="n"/>
      <c r="F167" s="31" t="n"/>
      <c r="G167" s="33" t="n"/>
      <c r="H167" s="32" t="n"/>
      <c r="I167" s="22">
        <f>IF(G167="","",ROUND(G167*N(H167)/100,2))</f>
        <v/>
      </c>
      <c r="J167" s="32" t="n"/>
      <c r="K167" s="22">
        <f>IF(G167="","",ROUND(G167*N(J167)/100,2))</f>
        <v/>
      </c>
      <c r="L167" s="22">
        <f>IF(G167="","",G167+I167-K167)</f>
        <v/>
      </c>
      <c r="M167" s="35">
        <f>IF(B167="","",ROUNDUP(MONTH(B167)/3,0))</f>
        <v/>
      </c>
      <c r="N167" s="35">
        <f>IF(B167="","",YEAR(B167))</f>
        <v/>
      </c>
    </row>
    <row r="168">
      <c r="B168" s="37" t="n"/>
      <c r="C168" s="31" t="n"/>
      <c r="D168" s="31" t="n"/>
      <c r="E168" s="31" t="n"/>
      <c r="F168" s="31" t="n"/>
      <c r="G168" s="33" t="n"/>
      <c r="H168" s="32" t="n"/>
      <c r="I168" s="22">
        <f>IF(G168="","",ROUND(G168*N(H168)/100,2))</f>
        <v/>
      </c>
      <c r="J168" s="32" t="n"/>
      <c r="K168" s="22">
        <f>IF(G168="","",ROUND(G168*N(J168)/100,2))</f>
        <v/>
      </c>
      <c r="L168" s="22">
        <f>IF(G168="","",G168+I168-K168)</f>
        <v/>
      </c>
      <c r="M168" s="35">
        <f>IF(B168="","",ROUNDUP(MONTH(B168)/3,0))</f>
        <v/>
      </c>
      <c r="N168" s="35">
        <f>IF(B168="","",YEAR(B168))</f>
        <v/>
      </c>
    </row>
    <row r="169">
      <c r="B169" s="37" t="n"/>
      <c r="C169" s="31" t="n"/>
      <c r="D169" s="31" t="n"/>
      <c r="E169" s="31" t="n"/>
      <c r="F169" s="31" t="n"/>
      <c r="G169" s="33" t="n"/>
      <c r="H169" s="32" t="n"/>
      <c r="I169" s="22">
        <f>IF(G169="","",ROUND(G169*N(H169)/100,2))</f>
        <v/>
      </c>
      <c r="J169" s="32" t="n"/>
      <c r="K169" s="22">
        <f>IF(G169="","",ROUND(G169*N(J169)/100,2))</f>
        <v/>
      </c>
      <c r="L169" s="22">
        <f>IF(G169="","",G169+I169-K169)</f>
        <v/>
      </c>
      <c r="M169" s="35">
        <f>IF(B169="","",ROUNDUP(MONTH(B169)/3,0))</f>
        <v/>
      </c>
      <c r="N169" s="35">
        <f>IF(B169="","",YEAR(B169))</f>
        <v/>
      </c>
    </row>
    <row r="170">
      <c r="B170" s="37" t="n"/>
      <c r="C170" s="31" t="n"/>
      <c r="D170" s="31" t="n"/>
      <c r="E170" s="31" t="n"/>
      <c r="F170" s="31" t="n"/>
      <c r="G170" s="33" t="n"/>
      <c r="H170" s="32" t="n"/>
      <c r="I170" s="22">
        <f>IF(G170="","",ROUND(G170*N(H170)/100,2))</f>
        <v/>
      </c>
      <c r="J170" s="32" t="n"/>
      <c r="K170" s="22">
        <f>IF(G170="","",ROUND(G170*N(J170)/100,2))</f>
        <v/>
      </c>
      <c r="L170" s="22">
        <f>IF(G170="","",G170+I170-K170)</f>
        <v/>
      </c>
      <c r="M170" s="35">
        <f>IF(B170="","",ROUNDUP(MONTH(B170)/3,0))</f>
        <v/>
      </c>
      <c r="N170" s="35">
        <f>IF(B170="","",YEAR(B170))</f>
        <v/>
      </c>
    </row>
    <row r="171">
      <c r="B171" s="37" t="n"/>
      <c r="C171" s="31" t="n"/>
      <c r="D171" s="31" t="n"/>
      <c r="E171" s="31" t="n"/>
      <c r="F171" s="31" t="n"/>
      <c r="G171" s="33" t="n"/>
      <c r="H171" s="32" t="n"/>
      <c r="I171" s="22">
        <f>IF(G171="","",ROUND(G171*N(H171)/100,2))</f>
        <v/>
      </c>
      <c r="J171" s="32" t="n"/>
      <c r="K171" s="22">
        <f>IF(G171="","",ROUND(G171*N(J171)/100,2))</f>
        <v/>
      </c>
      <c r="L171" s="22">
        <f>IF(G171="","",G171+I171-K171)</f>
        <v/>
      </c>
      <c r="M171" s="35">
        <f>IF(B171="","",ROUNDUP(MONTH(B171)/3,0))</f>
        <v/>
      </c>
      <c r="N171" s="35">
        <f>IF(B171="","",YEAR(B171))</f>
        <v/>
      </c>
    </row>
    <row r="172">
      <c r="B172" s="37" t="n"/>
      <c r="C172" s="31" t="n"/>
      <c r="D172" s="31" t="n"/>
      <c r="E172" s="31" t="n"/>
      <c r="F172" s="31" t="n"/>
      <c r="G172" s="33" t="n"/>
      <c r="H172" s="32" t="n"/>
      <c r="I172" s="22">
        <f>IF(G172="","",ROUND(G172*N(H172)/100,2))</f>
        <v/>
      </c>
      <c r="J172" s="32" t="n"/>
      <c r="K172" s="22">
        <f>IF(G172="","",ROUND(G172*N(J172)/100,2))</f>
        <v/>
      </c>
      <c r="L172" s="22">
        <f>IF(G172="","",G172+I172-K172)</f>
        <v/>
      </c>
      <c r="M172" s="35">
        <f>IF(B172="","",ROUNDUP(MONTH(B172)/3,0))</f>
        <v/>
      </c>
      <c r="N172" s="35">
        <f>IF(B172="","",YEAR(B172))</f>
        <v/>
      </c>
    </row>
    <row r="173">
      <c r="B173" s="37" t="n"/>
      <c r="C173" s="31" t="n"/>
      <c r="D173" s="31" t="n"/>
      <c r="E173" s="31" t="n"/>
      <c r="F173" s="31" t="n"/>
      <c r="G173" s="33" t="n"/>
      <c r="H173" s="32" t="n"/>
      <c r="I173" s="22">
        <f>IF(G173="","",ROUND(G173*N(H173)/100,2))</f>
        <v/>
      </c>
      <c r="J173" s="32" t="n"/>
      <c r="K173" s="22">
        <f>IF(G173="","",ROUND(G173*N(J173)/100,2))</f>
        <v/>
      </c>
      <c r="L173" s="22">
        <f>IF(G173="","",G173+I173-K173)</f>
        <v/>
      </c>
      <c r="M173" s="35">
        <f>IF(B173="","",ROUNDUP(MONTH(B173)/3,0))</f>
        <v/>
      </c>
      <c r="N173" s="35">
        <f>IF(B173="","",YEAR(B173))</f>
        <v/>
      </c>
    </row>
    <row r="174">
      <c r="B174" s="37" t="n"/>
      <c r="C174" s="31" t="n"/>
      <c r="D174" s="31" t="n"/>
      <c r="E174" s="31" t="n"/>
      <c r="F174" s="31" t="n"/>
      <c r="G174" s="33" t="n"/>
      <c r="H174" s="32" t="n"/>
      <c r="I174" s="22">
        <f>IF(G174="","",ROUND(G174*N(H174)/100,2))</f>
        <v/>
      </c>
      <c r="J174" s="32" t="n"/>
      <c r="K174" s="22">
        <f>IF(G174="","",ROUND(G174*N(J174)/100,2))</f>
        <v/>
      </c>
      <c r="L174" s="22">
        <f>IF(G174="","",G174+I174-K174)</f>
        <v/>
      </c>
      <c r="M174" s="35">
        <f>IF(B174="","",ROUNDUP(MONTH(B174)/3,0))</f>
        <v/>
      </c>
      <c r="N174" s="35">
        <f>IF(B174="","",YEAR(B174))</f>
        <v/>
      </c>
    </row>
    <row r="175">
      <c r="B175" s="37" t="n"/>
      <c r="C175" s="31" t="n"/>
      <c r="D175" s="31" t="n"/>
      <c r="E175" s="31" t="n"/>
      <c r="F175" s="31" t="n"/>
      <c r="G175" s="33" t="n"/>
      <c r="H175" s="32" t="n"/>
      <c r="I175" s="22">
        <f>IF(G175="","",ROUND(G175*N(H175)/100,2))</f>
        <v/>
      </c>
      <c r="J175" s="32" t="n"/>
      <c r="K175" s="22">
        <f>IF(G175="","",ROUND(G175*N(J175)/100,2))</f>
        <v/>
      </c>
      <c r="L175" s="22">
        <f>IF(G175="","",G175+I175-K175)</f>
        <v/>
      </c>
      <c r="M175" s="35">
        <f>IF(B175="","",ROUNDUP(MONTH(B175)/3,0))</f>
        <v/>
      </c>
      <c r="N175" s="35">
        <f>IF(B175="","",YEAR(B175))</f>
        <v/>
      </c>
    </row>
    <row r="176">
      <c r="B176" s="37" t="n"/>
      <c r="C176" s="31" t="n"/>
      <c r="D176" s="31" t="n"/>
      <c r="E176" s="31" t="n"/>
      <c r="F176" s="31" t="n"/>
      <c r="G176" s="33" t="n"/>
      <c r="H176" s="32" t="n"/>
      <c r="I176" s="22">
        <f>IF(G176="","",ROUND(G176*N(H176)/100,2))</f>
        <v/>
      </c>
      <c r="J176" s="32" t="n"/>
      <c r="K176" s="22">
        <f>IF(G176="","",ROUND(G176*N(J176)/100,2))</f>
        <v/>
      </c>
      <c r="L176" s="22">
        <f>IF(G176="","",G176+I176-K176)</f>
        <v/>
      </c>
      <c r="M176" s="35">
        <f>IF(B176="","",ROUNDUP(MONTH(B176)/3,0))</f>
        <v/>
      </c>
      <c r="N176" s="35">
        <f>IF(B176="","",YEAR(B176))</f>
        <v/>
      </c>
    </row>
    <row r="177">
      <c r="B177" s="37" t="n"/>
      <c r="C177" s="31" t="n"/>
      <c r="D177" s="31" t="n"/>
      <c r="E177" s="31" t="n"/>
      <c r="F177" s="31" t="n"/>
      <c r="G177" s="33" t="n"/>
      <c r="H177" s="32" t="n"/>
      <c r="I177" s="22">
        <f>IF(G177="","",ROUND(G177*N(H177)/100,2))</f>
        <v/>
      </c>
      <c r="J177" s="32" t="n"/>
      <c r="K177" s="22">
        <f>IF(G177="","",ROUND(G177*N(J177)/100,2))</f>
        <v/>
      </c>
      <c r="L177" s="22">
        <f>IF(G177="","",G177+I177-K177)</f>
        <v/>
      </c>
      <c r="M177" s="35">
        <f>IF(B177="","",ROUNDUP(MONTH(B177)/3,0))</f>
        <v/>
      </c>
      <c r="N177" s="35">
        <f>IF(B177="","",YEAR(B177))</f>
        <v/>
      </c>
    </row>
    <row r="178">
      <c r="B178" s="37" t="n"/>
      <c r="C178" s="31" t="n"/>
      <c r="D178" s="31" t="n"/>
      <c r="E178" s="31" t="n"/>
      <c r="F178" s="31" t="n"/>
      <c r="G178" s="33" t="n"/>
      <c r="H178" s="32" t="n"/>
      <c r="I178" s="22">
        <f>IF(G178="","",ROUND(G178*N(H178)/100,2))</f>
        <v/>
      </c>
      <c r="J178" s="32" t="n"/>
      <c r="K178" s="22">
        <f>IF(G178="","",ROUND(G178*N(J178)/100,2))</f>
        <v/>
      </c>
      <c r="L178" s="22">
        <f>IF(G178="","",G178+I178-K178)</f>
        <v/>
      </c>
      <c r="M178" s="35">
        <f>IF(B178="","",ROUNDUP(MONTH(B178)/3,0))</f>
        <v/>
      </c>
      <c r="N178" s="35">
        <f>IF(B178="","",YEAR(B178))</f>
        <v/>
      </c>
    </row>
    <row r="179">
      <c r="B179" s="37" t="n"/>
      <c r="C179" s="31" t="n"/>
      <c r="D179" s="31" t="n"/>
      <c r="E179" s="31" t="n"/>
      <c r="F179" s="31" t="n"/>
      <c r="G179" s="33" t="n"/>
      <c r="H179" s="32" t="n"/>
      <c r="I179" s="22">
        <f>IF(G179="","",ROUND(G179*N(H179)/100,2))</f>
        <v/>
      </c>
      <c r="J179" s="32" t="n"/>
      <c r="K179" s="22">
        <f>IF(G179="","",ROUND(G179*N(J179)/100,2))</f>
        <v/>
      </c>
      <c r="L179" s="22">
        <f>IF(G179="","",G179+I179-K179)</f>
        <v/>
      </c>
      <c r="M179" s="35">
        <f>IF(B179="","",ROUNDUP(MONTH(B179)/3,0))</f>
        <v/>
      </c>
      <c r="N179" s="35">
        <f>IF(B179="","",YEAR(B179))</f>
        <v/>
      </c>
    </row>
    <row r="180">
      <c r="B180" s="37" t="n"/>
      <c r="C180" s="31" t="n"/>
      <c r="D180" s="31" t="n"/>
      <c r="E180" s="31" t="n"/>
      <c r="F180" s="31" t="n"/>
      <c r="G180" s="33" t="n"/>
      <c r="H180" s="32" t="n"/>
      <c r="I180" s="22">
        <f>IF(G180="","",ROUND(G180*N(H180)/100,2))</f>
        <v/>
      </c>
      <c r="J180" s="32" t="n"/>
      <c r="K180" s="22">
        <f>IF(G180="","",ROUND(G180*N(J180)/100,2))</f>
        <v/>
      </c>
      <c r="L180" s="22">
        <f>IF(G180="","",G180+I180-K180)</f>
        <v/>
      </c>
      <c r="M180" s="35">
        <f>IF(B180="","",ROUNDUP(MONTH(B180)/3,0))</f>
        <v/>
      </c>
      <c r="N180" s="35">
        <f>IF(B180="","",YEAR(B180))</f>
        <v/>
      </c>
    </row>
    <row r="181">
      <c r="B181" s="37" t="n"/>
      <c r="C181" s="31" t="n"/>
      <c r="D181" s="31" t="n"/>
      <c r="E181" s="31" t="n"/>
      <c r="F181" s="31" t="n"/>
      <c r="G181" s="33" t="n"/>
      <c r="H181" s="32" t="n"/>
      <c r="I181" s="22">
        <f>IF(G181="","",ROUND(G181*N(H181)/100,2))</f>
        <v/>
      </c>
      <c r="J181" s="32" t="n"/>
      <c r="K181" s="22">
        <f>IF(G181="","",ROUND(G181*N(J181)/100,2))</f>
        <v/>
      </c>
      <c r="L181" s="22">
        <f>IF(G181="","",G181+I181-K181)</f>
        <v/>
      </c>
      <c r="M181" s="35">
        <f>IF(B181="","",ROUNDUP(MONTH(B181)/3,0))</f>
        <v/>
      </c>
      <c r="N181" s="35">
        <f>IF(B181="","",YEAR(B181))</f>
        <v/>
      </c>
    </row>
    <row r="182">
      <c r="B182" s="37" t="n"/>
      <c r="C182" s="31" t="n"/>
      <c r="D182" s="31" t="n"/>
      <c r="E182" s="31" t="n"/>
      <c r="F182" s="31" t="n"/>
      <c r="G182" s="33" t="n"/>
      <c r="H182" s="32" t="n"/>
      <c r="I182" s="22">
        <f>IF(G182="","",ROUND(G182*N(H182)/100,2))</f>
        <v/>
      </c>
      <c r="J182" s="32" t="n"/>
      <c r="K182" s="22">
        <f>IF(G182="","",ROUND(G182*N(J182)/100,2))</f>
        <v/>
      </c>
      <c r="L182" s="22">
        <f>IF(G182="","",G182+I182-K182)</f>
        <v/>
      </c>
      <c r="M182" s="35">
        <f>IF(B182="","",ROUNDUP(MONTH(B182)/3,0))</f>
        <v/>
      </c>
      <c r="N182" s="35">
        <f>IF(B182="","",YEAR(B182))</f>
        <v/>
      </c>
    </row>
    <row r="183">
      <c r="B183" s="37" t="n"/>
      <c r="C183" s="31" t="n"/>
      <c r="D183" s="31" t="n"/>
      <c r="E183" s="31" t="n"/>
      <c r="F183" s="31" t="n"/>
      <c r="G183" s="33" t="n"/>
      <c r="H183" s="32" t="n"/>
      <c r="I183" s="22">
        <f>IF(G183="","",ROUND(G183*N(H183)/100,2))</f>
        <v/>
      </c>
      <c r="J183" s="32" t="n"/>
      <c r="K183" s="22">
        <f>IF(G183="","",ROUND(G183*N(J183)/100,2))</f>
        <v/>
      </c>
      <c r="L183" s="22">
        <f>IF(G183="","",G183+I183-K183)</f>
        <v/>
      </c>
      <c r="M183" s="35">
        <f>IF(B183="","",ROUNDUP(MONTH(B183)/3,0))</f>
        <v/>
      </c>
      <c r="N183" s="35">
        <f>IF(B183="","",YEAR(B183))</f>
        <v/>
      </c>
    </row>
    <row r="184">
      <c r="B184" s="37" t="n"/>
      <c r="C184" s="31" t="n"/>
      <c r="D184" s="31" t="n"/>
      <c r="E184" s="31" t="n"/>
      <c r="F184" s="31" t="n"/>
      <c r="G184" s="33" t="n"/>
      <c r="H184" s="32" t="n"/>
      <c r="I184" s="22">
        <f>IF(G184="","",ROUND(G184*N(H184)/100,2))</f>
        <v/>
      </c>
      <c r="J184" s="32" t="n"/>
      <c r="K184" s="22">
        <f>IF(G184="","",ROUND(G184*N(J184)/100,2))</f>
        <v/>
      </c>
      <c r="L184" s="22">
        <f>IF(G184="","",G184+I184-K184)</f>
        <v/>
      </c>
      <c r="M184" s="35">
        <f>IF(B184="","",ROUNDUP(MONTH(B184)/3,0))</f>
        <v/>
      </c>
      <c r="N184" s="35">
        <f>IF(B184="","",YEAR(B184))</f>
        <v/>
      </c>
    </row>
    <row r="185">
      <c r="B185" s="37" t="n"/>
      <c r="C185" s="31" t="n"/>
      <c r="D185" s="31" t="n"/>
      <c r="E185" s="31" t="n"/>
      <c r="F185" s="31" t="n"/>
      <c r="G185" s="33" t="n"/>
      <c r="H185" s="32" t="n"/>
      <c r="I185" s="22">
        <f>IF(G185="","",ROUND(G185*N(H185)/100,2))</f>
        <v/>
      </c>
      <c r="J185" s="32" t="n"/>
      <c r="K185" s="22">
        <f>IF(G185="","",ROUND(G185*N(J185)/100,2))</f>
        <v/>
      </c>
      <c r="L185" s="22">
        <f>IF(G185="","",G185+I185-K185)</f>
        <v/>
      </c>
      <c r="M185" s="35">
        <f>IF(B185="","",ROUNDUP(MONTH(B185)/3,0))</f>
        <v/>
      </c>
      <c r="N185" s="35">
        <f>IF(B185="","",YEAR(B185))</f>
        <v/>
      </c>
    </row>
    <row r="186">
      <c r="B186" s="37" t="n"/>
      <c r="C186" s="31" t="n"/>
      <c r="D186" s="31" t="n"/>
      <c r="E186" s="31" t="n"/>
      <c r="F186" s="31" t="n"/>
      <c r="G186" s="33" t="n"/>
      <c r="H186" s="32" t="n"/>
      <c r="I186" s="22">
        <f>IF(G186="","",ROUND(G186*N(H186)/100,2))</f>
        <v/>
      </c>
      <c r="J186" s="32" t="n"/>
      <c r="K186" s="22">
        <f>IF(G186="","",ROUND(G186*N(J186)/100,2))</f>
        <v/>
      </c>
      <c r="L186" s="22">
        <f>IF(G186="","",G186+I186-K186)</f>
        <v/>
      </c>
      <c r="M186" s="35">
        <f>IF(B186="","",ROUNDUP(MONTH(B186)/3,0))</f>
        <v/>
      </c>
      <c r="N186" s="35">
        <f>IF(B186="","",YEAR(B186))</f>
        <v/>
      </c>
    </row>
    <row r="187">
      <c r="B187" s="37" t="n"/>
      <c r="C187" s="31" t="n"/>
      <c r="D187" s="31" t="n"/>
      <c r="E187" s="31" t="n"/>
      <c r="F187" s="31" t="n"/>
      <c r="G187" s="33" t="n"/>
      <c r="H187" s="32" t="n"/>
      <c r="I187" s="22">
        <f>IF(G187="","",ROUND(G187*N(H187)/100,2))</f>
        <v/>
      </c>
      <c r="J187" s="32" t="n"/>
      <c r="K187" s="22">
        <f>IF(G187="","",ROUND(G187*N(J187)/100,2))</f>
        <v/>
      </c>
      <c r="L187" s="22">
        <f>IF(G187="","",G187+I187-K187)</f>
        <v/>
      </c>
      <c r="M187" s="35">
        <f>IF(B187="","",ROUNDUP(MONTH(B187)/3,0))</f>
        <v/>
      </c>
      <c r="N187" s="35">
        <f>IF(B187="","",YEAR(B187))</f>
        <v/>
      </c>
    </row>
    <row r="188">
      <c r="B188" s="37" t="n"/>
      <c r="C188" s="31" t="n"/>
      <c r="D188" s="31" t="n"/>
      <c r="E188" s="31" t="n"/>
      <c r="F188" s="31" t="n"/>
      <c r="G188" s="33" t="n"/>
      <c r="H188" s="32" t="n"/>
      <c r="I188" s="22">
        <f>IF(G188="","",ROUND(G188*N(H188)/100,2))</f>
        <v/>
      </c>
      <c r="J188" s="32" t="n"/>
      <c r="K188" s="22">
        <f>IF(G188="","",ROUND(G188*N(J188)/100,2))</f>
        <v/>
      </c>
      <c r="L188" s="22">
        <f>IF(G188="","",G188+I188-K188)</f>
        <v/>
      </c>
      <c r="M188" s="35">
        <f>IF(B188="","",ROUNDUP(MONTH(B188)/3,0))</f>
        <v/>
      </c>
      <c r="N188" s="35">
        <f>IF(B188="","",YEAR(B188))</f>
        <v/>
      </c>
    </row>
    <row r="189">
      <c r="B189" s="37" t="n"/>
      <c r="C189" s="31" t="n"/>
      <c r="D189" s="31" t="n"/>
      <c r="E189" s="31" t="n"/>
      <c r="F189" s="31" t="n"/>
      <c r="G189" s="33" t="n"/>
      <c r="H189" s="32" t="n"/>
      <c r="I189" s="22">
        <f>IF(G189="","",ROUND(G189*N(H189)/100,2))</f>
        <v/>
      </c>
      <c r="J189" s="32" t="n"/>
      <c r="K189" s="22">
        <f>IF(G189="","",ROUND(G189*N(J189)/100,2))</f>
        <v/>
      </c>
      <c r="L189" s="22">
        <f>IF(G189="","",G189+I189-K189)</f>
        <v/>
      </c>
      <c r="M189" s="35">
        <f>IF(B189="","",ROUNDUP(MONTH(B189)/3,0))</f>
        <v/>
      </c>
      <c r="N189" s="35">
        <f>IF(B189="","",YEAR(B189))</f>
        <v/>
      </c>
    </row>
    <row r="190">
      <c r="B190" s="37" t="n"/>
      <c r="C190" s="31" t="n"/>
      <c r="D190" s="31" t="n"/>
      <c r="E190" s="31" t="n"/>
      <c r="F190" s="31" t="n"/>
      <c r="G190" s="33" t="n"/>
      <c r="H190" s="32" t="n"/>
      <c r="I190" s="22">
        <f>IF(G190="","",ROUND(G190*N(H190)/100,2))</f>
        <v/>
      </c>
      <c r="J190" s="32" t="n"/>
      <c r="K190" s="22">
        <f>IF(G190="","",ROUND(G190*N(J190)/100,2))</f>
        <v/>
      </c>
      <c r="L190" s="22">
        <f>IF(G190="","",G190+I190-K190)</f>
        <v/>
      </c>
      <c r="M190" s="35">
        <f>IF(B190="","",ROUNDUP(MONTH(B190)/3,0))</f>
        <v/>
      </c>
      <c r="N190" s="35">
        <f>IF(B190="","",YEAR(B190))</f>
        <v/>
      </c>
    </row>
    <row r="191">
      <c r="B191" s="37" t="n"/>
      <c r="C191" s="31" t="n"/>
      <c r="D191" s="31" t="n"/>
      <c r="E191" s="31" t="n"/>
      <c r="F191" s="31" t="n"/>
      <c r="G191" s="33" t="n"/>
      <c r="H191" s="32" t="n"/>
      <c r="I191" s="22">
        <f>IF(G191="","",ROUND(G191*N(H191)/100,2))</f>
        <v/>
      </c>
      <c r="J191" s="32" t="n"/>
      <c r="K191" s="22">
        <f>IF(G191="","",ROUND(G191*N(J191)/100,2))</f>
        <v/>
      </c>
      <c r="L191" s="22">
        <f>IF(G191="","",G191+I191-K191)</f>
        <v/>
      </c>
      <c r="M191" s="35">
        <f>IF(B191="","",ROUNDUP(MONTH(B191)/3,0))</f>
        <v/>
      </c>
      <c r="N191" s="35">
        <f>IF(B191="","",YEAR(B191))</f>
        <v/>
      </c>
    </row>
    <row r="192">
      <c r="B192" s="37" t="n"/>
      <c r="C192" s="31" t="n"/>
      <c r="D192" s="31" t="n"/>
      <c r="E192" s="31" t="n"/>
      <c r="F192" s="31" t="n"/>
      <c r="G192" s="33" t="n"/>
      <c r="H192" s="32" t="n"/>
      <c r="I192" s="22">
        <f>IF(G192="","",ROUND(G192*N(H192)/100,2))</f>
        <v/>
      </c>
      <c r="J192" s="32" t="n"/>
      <c r="K192" s="22">
        <f>IF(G192="","",ROUND(G192*N(J192)/100,2))</f>
        <v/>
      </c>
      <c r="L192" s="22">
        <f>IF(G192="","",G192+I192-K192)</f>
        <v/>
      </c>
      <c r="M192" s="35">
        <f>IF(B192="","",ROUNDUP(MONTH(B192)/3,0))</f>
        <v/>
      </c>
      <c r="N192" s="35">
        <f>IF(B192="","",YEAR(B192))</f>
        <v/>
      </c>
    </row>
    <row r="193">
      <c r="B193" s="37" t="n"/>
      <c r="C193" s="31" t="n"/>
      <c r="D193" s="31" t="n"/>
      <c r="E193" s="31" t="n"/>
      <c r="F193" s="31" t="n"/>
      <c r="G193" s="33" t="n"/>
      <c r="H193" s="32" t="n"/>
      <c r="I193" s="22">
        <f>IF(G193="","",ROUND(G193*N(H193)/100,2))</f>
        <v/>
      </c>
      <c r="J193" s="32" t="n"/>
      <c r="K193" s="22">
        <f>IF(G193="","",ROUND(G193*N(J193)/100,2))</f>
        <v/>
      </c>
      <c r="L193" s="22">
        <f>IF(G193="","",G193+I193-K193)</f>
        <v/>
      </c>
      <c r="M193" s="35">
        <f>IF(B193="","",ROUNDUP(MONTH(B193)/3,0))</f>
        <v/>
      </c>
      <c r="N193" s="35">
        <f>IF(B193="","",YEAR(B193))</f>
        <v/>
      </c>
    </row>
    <row r="194">
      <c r="B194" s="37" t="n"/>
      <c r="C194" s="31" t="n"/>
      <c r="D194" s="31" t="n"/>
      <c r="E194" s="31" t="n"/>
      <c r="F194" s="31" t="n"/>
      <c r="G194" s="33" t="n"/>
      <c r="H194" s="32" t="n"/>
      <c r="I194" s="22">
        <f>IF(G194="","",ROUND(G194*N(H194)/100,2))</f>
        <v/>
      </c>
      <c r="J194" s="32" t="n"/>
      <c r="K194" s="22">
        <f>IF(G194="","",ROUND(G194*N(J194)/100,2))</f>
        <v/>
      </c>
      <c r="L194" s="22">
        <f>IF(G194="","",G194+I194-K194)</f>
        <v/>
      </c>
      <c r="M194" s="35">
        <f>IF(B194="","",ROUNDUP(MONTH(B194)/3,0))</f>
        <v/>
      </c>
      <c r="N194" s="35">
        <f>IF(B194="","",YEAR(B194))</f>
        <v/>
      </c>
    </row>
    <row r="195">
      <c r="B195" s="37" t="n"/>
      <c r="C195" s="31" t="n"/>
      <c r="D195" s="31" t="n"/>
      <c r="E195" s="31" t="n"/>
      <c r="F195" s="31" t="n"/>
      <c r="G195" s="33" t="n"/>
      <c r="H195" s="32" t="n"/>
      <c r="I195" s="22">
        <f>IF(G195="","",ROUND(G195*N(H195)/100,2))</f>
        <v/>
      </c>
      <c r="J195" s="32" t="n"/>
      <c r="K195" s="22">
        <f>IF(G195="","",ROUND(G195*N(J195)/100,2))</f>
        <v/>
      </c>
      <c r="L195" s="22">
        <f>IF(G195="","",G195+I195-K195)</f>
        <v/>
      </c>
      <c r="M195" s="35">
        <f>IF(B195="","",ROUNDUP(MONTH(B195)/3,0))</f>
        <v/>
      </c>
      <c r="N195" s="35">
        <f>IF(B195="","",YEAR(B195))</f>
        <v/>
      </c>
    </row>
    <row r="196">
      <c r="B196" s="37" t="n"/>
      <c r="C196" s="31" t="n"/>
      <c r="D196" s="31" t="n"/>
      <c r="E196" s="31" t="n"/>
      <c r="F196" s="31" t="n"/>
      <c r="G196" s="33" t="n"/>
      <c r="H196" s="32" t="n"/>
      <c r="I196" s="22">
        <f>IF(G196="","",ROUND(G196*N(H196)/100,2))</f>
        <v/>
      </c>
      <c r="J196" s="32" t="n"/>
      <c r="K196" s="22">
        <f>IF(G196="","",ROUND(G196*N(J196)/100,2))</f>
        <v/>
      </c>
      <c r="L196" s="22">
        <f>IF(G196="","",G196+I196-K196)</f>
        <v/>
      </c>
      <c r="M196" s="35">
        <f>IF(B196="","",ROUNDUP(MONTH(B196)/3,0))</f>
        <v/>
      </c>
      <c r="N196" s="35">
        <f>IF(B196="","",YEAR(B196))</f>
        <v/>
      </c>
    </row>
    <row r="197">
      <c r="B197" s="37" t="n"/>
      <c r="C197" s="31" t="n"/>
      <c r="D197" s="31" t="n"/>
      <c r="E197" s="31" t="n"/>
      <c r="F197" s="31" t="n"/>
      <c r="G197" s="33" t="n"/>
      <c r="H197" s="32" t="n"/>
      <c r="I197" s="22">
        <f>IF(G197="","",ROUND(G197*N(H197)/100,2))</f>
        <v/>
      </c>
      <c r="J197" s="32" t="n"/>
      <c r="K197" s="22">
        <f>IF(G197="","",ROUND(G197*N(J197)/100,2))</f>
        <v/>
      </c>
      <c r="L197" s="22">
        <f>IF(G197="","",G197+I197-K197)</f>
        <v/>
      </c>
      <c r="M197" s="35">
        <f>IF(B197="","",ROUNDUP(MONTH(B197)/3,0))</f>
        <v/>
      </c>
      <c r="N197" s="35">
        <f>IF(B197="","",YEAR(B197))</f>
        <v/>
      </c>
    </row>
    <row r="198">
      <c r="B198" s="37" t="n"/>
      <c r="C198" s="31" t="n"/>
      <c r="D198" s="31" t="n"/>
      <c r="E198" s="31" t="n"/>
      <c r="F198" s="31" t="n"/>
      <c r="G198" s="33" t="n"/>
      <c r="H198" s="32" t="n"/>
      <c r="I198" s="22">
        <f>IF(G198="","",ROUND(G198*N(H198)/100,2))</f>
        <v/>
      </c>
      <c r="J198" s="32" t="n"/>
      <c r="K198" s="22">
        <f>IF(G198="","",ROUND(G198*N(J198)/100,2))</f>
        <v/>
      </c>
      <c r="L198" s="22">
        <f>IF(G198="","",G198+I198-K198)</f>
        <v/>
      </c>
      <c r="M198" s="35">
        <f>IF(B198="","",ROUNDUP(MONTH(B198)/3,0))</f>
        <v/>
      </c>
      <c r="N198" s="35">
        <f>IF(B198="","",YEAR(B198))</f>
        <v/>
      </c>
    </row>
    <row r="199">
      <c r="B199" s="37" t="n"/>
      <c r="C199" s="31" t="n"/>
      <c r="D199" s="31" t="n"/>
      <c r="E199" s="31" t="n"/>
      <c r="F199" s="31" t="n"/>
      <c r="G199" s="33" t="n"/>
      <c r="H199" s="32" t="n"/>
      <c r="I199" s="22">
        <f>IF(G199="","",ROUND(G199*N(H199)/100,2))</f>
        <v/>
      </c>
      <c r="J199" s="32" t="n"/>
      <c r="K199" s="22">
        <f>IF(G199="","",ROUND(G199*N(J199)/100,2))</f>
        <v/>
      </c>
      <c r="L199" s="22">
        <f>IF(G199="","",G199+I199-K199)</f>
        <v/>
      </c>
      <c r="M199" s="35">
        <f>IF(B199="","",ROUNDUP(MONTH(B199)/3,0))</f>
        <v/>
      </c>
      <c r="N199" s="35">
        <f>IF(B199="","",YEAR(B199))</f>
        <v/>
      </c>
    </row>
    <row r="200">
      <c r="B200" s="37" t="n"/>
      <c r="C200" s="31" t="n"/>
      <c r="D200" s="31" t="n"/>
      <c r="E200" s="31" t="n"/>
      <c r="F200" s="31" t="n"/>
      <c r="G200" s="33" t="n"/>
      <c r="H200" s="32" t="n"/>
      <c r="I200" s="22">
        <f>IF(G200="","",ROUND(G200*N(H200)/100,2))</f>
        <v/>
      </c>
      <c r="J200" s="32" t="n"/>
      <c r="K200" s="22">
        <f>IF(G200="","",ROUND(G200*N(J200)/100,2))</f>
        <v/>
      </c>
      <c r="L200" s="22">
        <f>IF(G200="","",G200+I200-K200)</f>
        <v/>
      </c>
      <c r="M200" s="35">
        <f>IF(B200="","",ROUNDUP(MONTH(B200)/3,0))</f>
        <v/>
      </c>
      <c r="N200" s="35">
        <f>IF(B200="","",YEAR(B200))</f>
        <v/>
      </c>
    </row>
    <row r="201">
      <c r="B201" s="37" t="n"/>
      <c r="C201" s="31" t="n"/>
      <c r="D201" s="31" t="n"/>
      <c r="E201" s="31" t="n"/>
      <c r="F201" s="31" t="n"/>
      <c r="G201" s="33" t="n"/>
      <c r="H201" s="32" t="n"/>
      <c r="I201" s="22">
        <f>IF(G201="","",ROUND(G201*N(H201)/100,2))</f>
        <v/>
      </c>
      <c r="J201" s="32" t="n"/>
      <c r="K201" s="22">
        <f>IF(G201="","",ROUND(G201*N(J201)/100,2))</f>
        <v/>
      </c>
      <c r="L201" s="22">
        <f>IF(G201="","",G201+I201-K201)</f>
        <v/>
      </c>
      <c r="M201" s="35">
        <f>IF(B201="","",ROUNDUP(MONTH(B201)/3,0))</f>
        <v/>
      </c>
      <c r="N201" s="35">
        <f>IF(B201="","",YEAR(B201))</f>
        <v/>
      </c>
    </row>
    <row r="202">
      <c r="B202" s="37" t="n"/>
      <c r="C202" s="31" t="n"/>
      <c r="D202" s="31" t="n"/>
      <c r="E202" s="31" t="n"/>
      <c r="F202" s="31" t="n"/>
      <c r="G202" s="33" t="n"/>
      <c r="H202" s="32" t="n"/>
      <c r="I202" s="22">
        <f>IF(G202="","",ROUND(G202*N(H202)/100,2))</f>
        <v/>
      </c>
      <c r="J202" s="32" t="n"/>
      <c r="K202" s="22">
        <f>IF(G202="","",ROUND(G202*N(J202)/100,2))</f>
        <v/>
      </c>
      <c r="L202" s="22">
        <f>IF(G202="","",G202+I202-K202)</f>
        <v/>
      </c>
      <c r="M202" s="35">
        <f>IF(B202="","",ROUNDUP(MONTH(B202)/3,0))</f>
        <v/>
      </c>
      <c r="N202" s="35">
        <f>IF(B202="","",YEAR(B202))</f>
        <v/>
      </c>
    </row>
    <row r="203">
      <c r="B203" s="37" t="n"/>
      <c r="C203" s="31" t="n"/>
      <c r="D203" s="31" t="n"/>
      <c r="E203" s="31" t="n"/>
      <c r="F203" s="31" t="n"/>
      <c r="G203" s="33" t="n"/>
      <c r="H203" s="32" t="n"/>
      <c r="I203" s="22">
        <f>IF(G203="","",ROUND(G203*N(H203)/100,2))</f>
        <v/>
      </c>
      <c r="J203" s="32" t="n"/>
      <c r="K203" s="22">
        <f>IF(G203="","",ROUND(G203*N(J203)/100,2))</f>
        <v/>
      </c>
      <c r="L203" s="22">
        <f>IF(G203="","",G203+I203-K203)</f>
        <v/>
      </c>
      <c r="M203" s="35">
        <f>IF(B203="","",ROUNDUP(MONTH(B203)/3,0))</f>
        <v/>
      </c>
      <c r="N203" s="35">
        <f>IF(B203="","",YEAR(B203))</f>
        <v/>
      </c>
    </row>
    <row r="204">
      <c r="B204" s="37" t="n"/>
      <c r="C204" s="31" t="n"/>
      <c r="D204" s="31" t="n"/>
      <c r="E204" s="31" t="n"/>
      <c r="F204" s="31" t="n"/>
      <c r="G204" s="33" t="n"/>
      <c r="H204" s="32" t="n"/>
      <c r="I204" s="22">
        <f>IF(G204="","",ROUND(G204*N(H204)/100,2))</f>
        <v/>
      </c>
      <c r="J204" s="32" t="n"/>
      <c r="K204" s="22">
        <f>IF(G204="","",ROUND(G204*N(J204)/100,2))</f>
        <v/>
      </c>
      <c r="L204" s="22">
        <f>IF(G204="","",G204+I204-K204)</f>
        <v/>
      </c>
      <c r="M204" s="35">
        <f>IF(B204="","",ROUNDUP(MONTH(B204)/3,0))</f>
        <v/>
      </c>
      <c r="N204" s="35">
        <f>IF(B204="","",YEAR(B204))</f>
        <v/>
      </c>
    </row>
    <row r="205">
      <c r="B205" s="37" t="n"/>
      <c r="C205" s="31" t="n"/>
      <c r="D205" s="31" t="n"/>
      <c r="E205" s="31" t="n"/>
      <c r="F205" s="31" t="n"/>
      <c r="G205" s="33" t="n"/>
      <c r="H205" s="32" t="n"/>
      <c r="I205" s="22">
        <f>IF(G205="","",ROUND(G205*N(H205)/100,2))</f>
        <v/>
      </c>
      <c r="J205" s="32" t="n"/>
      <c r="K205" s="22">
        <f>IF(G205="","",ROUND(G205*N(J205)/100,2))</f>
        <v/>
      </c>
      <c r="L205" s="22">
        <f>IF(G205="","",G205+I205-K205)</f>
        <v/>
      </c>
      <c r="M205" s="35">
        <f>IF(B205="","",ROUNDUP(MONTH(B205)/3,0))</f>
        <v/>
      </c>
      <c r="N205" s="35">
        <f>IF(B205="","",YEAR(B205))</f>
        <v/>
      </c>
    </row>
    <row r="206">
      <c r="B206" s="37" t="n"/>
      <c r="C206" s="31" t="n"/>
      <c r="D206" s="31" t="n"/>
      <c r="E206" s="31" t="n"/>
      <c r="F206" s="31" t="n"/>
      <c r="G206" s="33" t="n"/>
      <c r="H206" s="32" t="n"/>
      <c r="I206" s="22">
        <f>IF(G206="","",ROUND(G206*N(H206)/100,2))</f>
        <v/>
      </c>
      <c r="J206" s="32" t="n"/>
      <c r="K206" s="22">
        <f>IF(G206="","",ROUND(G206*N(J206)/100,2))</f>
        <v/>
      </c>
      <c r="L206" s="22">
        <f>IF(G206="","",G206+I206-K206)</f>
        <v/>
      </c>
      <c r="M206" s="35">
        <f>IF(B206="","",ROUNDUP(MONTH(B206)/3,0))</f>
        <v/>
      </c>
      <c r="N206" s="35">
        <f>IF(B206="","",YEAR(B206))</f>
        <v/>
      </c>
    </row>
    <row r="207">
      <c r="B207" s="37" t="n"/>
      <c r="C207" s="31" t="n"/>
      <c r="D207" s="31" t="n"/>
      <c r="E207" s="31" t="n"/>
      <c r="F207" s="31" t="n"/>
      <c r="G207" s="33" t="n"/>
      <c r="H207" s="32" t="n"/>
      <c r="I207" s="22">
        <f>IF(G207="","",ROUND(G207*N(H207)/100,2))</f>
        <v/>
      </c>
      <c r="J207" s="32" t="n"/>
      <c r="K207" s="22">
        <f>IF(G207="","",ROUND(G207*N(J207)/100,2))</f>
        <v/>
      </c>
      <c r="L207" s="22">
        <f>IF(G207="","",G207+I207-K207)</f>
        <v/>
      </c>
      <c r="M207" s="35">
        <f>IF(B207="","",ROUNDUP(MONTH(B207)/3,0))</f>
        <v/>
      </c>
      <c r="N207" s="35">
        <f>IF(B207="","",YEAR(B207))</f>
        <v/>
      </c>
    </row>
    <row r="208">
      <c r="B208" s="37" t="n"/>
      <c r="C208" s="31" t="n"/>
      <c r="D208" s="31" t="n"/>
      <c r="E208" s="31" t="n"/>
      <c r="F208" s="31" t="n"/>
      <c r="G208" s="33" t="n"/>
      <c r="H208" s="32" t="n"/>
      <c r="I208" s="22">
        <f>IF(G208="","",ROUND(G208*N(H208)/100,2))</f>
        <v/>
      </c>
      <c r="J208" s="32" t="n"/>
      <c r="K208" s="22">
        <f>IF(G208="","",ROUND(G208*N(J208)/100,2))</f>
        <v/>
      </c>
      <c r="L208" s="22">
        <f>IF(G208="","",G208+I208-K208)</f>
        <v/>
      </c>
      <c r="M208" s="35">
        <f>IF(B208="","",ROUNDUP(MONTH(B208)/3,0))</f>
        <v/>
      </c>
      <c r="N208" s="35">
        <f>IF(B208="","",YEAR(B208))</f>
        <v/>
      </c>
    </row>
    <row r="209">
      <c r="B209" s="37" t="n"/>
      <c r="C209" s="31" t="n"/>
      <c r="D209" s="31" t="n"/>
      <c r="E209" s="31" t="n"/>
      <c r="F209" s="31" t="n"/>
      <c r="G209" s="33" t="n"/>
      <c r="H209" s="32" t="n"/>
      <c r="I209" s="22">
        <f>IF(G209="","",ROUND(G209*N(H209)/100,2))</f>
        <v/>
      </c>
      <c r="J209" s="32" t="n"/>
      <c r="K209" s="22">
        <f>IF(G209="","",ROUND(G209*N(J209)/100,2))</f>
        <v/>
      </c>
      <c r="L209" s="22">
        <f>IF(G209="","",G209+I209-K209)</f>
        <v/>
      </c>
      <c r="M209" s="35">
        <f>IF(B209="","",ROUNDUP(MONTH(B209)/3,0))</f>
        <v/>
      </c>
      <c r="N209" s="35">
        <f>IF(B209="","",YEAR(B209))</f>
        <v/>
      </c>
    </row>
    <row r="210">
      <c r="B210" s="37" t="n"/>
      <c r="C210" s="31" t="n"/>
      <c r="D210" s="31" t="n"/>
      <c r="E210" s="31" t="n"/>
      <c r="F210" s="31" t="n"/>
      <c r="G210" s="33" t="n"/>
      <c r="H210" s="32" t="n"/>
      <c r="I210" s="22">
        <f>IF(G210="","",ROUND(G210*N(H210)/100,2))</f>
        <v/>
      </c>
      <c r="J210" s="32" t="n"/>
      <c r="K210" s="22">
        <f>IF(G210="","",ROUND(G210*N(J210)/100,2))</f>
        <v/>
      </c>
      <c r="L210" s="22">
        <f>IF(G210="","",G210+I210-K210)</f>
        <v/>
      </c>
      <c r="M210" s="35">
        <f>IF(B210="","",ROUNDUP(MONTH(B210)/3,0))</f>
        <v/>
      </c>
      <c r="N210" s="35">
        <f>IF(B210="","",YEAR(B210))</f>
        <v/>
      </c>
    </row>
    <row r="211">
      <c r="B211" s="37" t="n"/>
      <c r="C211" s="31" t="n"/>
      <c r="D211" s="31" t="n"/>
      <c r="E211" s="31" t="n"/>
      <c r="F211" s="31" t="n"/>
      <c r="G211" s="33" t="n"/>
      <c r="H211" s="32" t="n"/>
      <c r="I211" s="22">
        <f>IF(G211="","",ROUND(G211*N(H211)/100,2))</f>
        <v/>
      </c>
      <c r="J211" s="32" t="n"/>
      <c r="K211" s="22">
        <f>IF(G211="","",ROUND(G211*N(J211)/100,2))</f>
        <v/>
      </c>
      <c r="L211" s="22">
        <f>IF(G211="","",G211+I211-K211)</f>
        <v/>
      </c>
      <c r="M211" s="35">
        <f>IF(B211="","",ROUNDUP(MONTH(B211)/3,0))</f>
        <v/>
      </c>
      <c r="N211" s="35">
        <f>IF(B211="","",YEAR(B211))</f>
        <v/>
      </c>
    </row>
    <row r="212">
      <c r="B212" s="37" t="n"/>
      <c r="C212" s="31" t="n"/>
      <c r="D212" s="31" t="n"/>
      <c r="E212" s="31" t="n"/>
      <c r="F212" s="31" t="n"/>
      <c r="G212" s="33" t="n"/>
      <c r="H212" s="32" t="n"/>
      <c r="I212" s="22">
        <f>IF(G212="","",ROUND(G212*N(H212)/100,2))</f>
        <v/>
      </c>
      <c r="J212" s="32" t="n"/>
      <c r="K212" s="22">
        <f>IF(G212="","",ROUND(G212*N(J212)/100,2))</f>
        <v/>
      </c>
      <c r="L212" s="22">
        <f>IF(G212="","",G212+I212-K212)</f>
        <v/>
      </c>
      <c r="M212" s="35">
        <f>IF(B212="","",ROUNDUP(MONTH(B212)/3,0))</f>
        <v/>
      </c>
      <c r="N212" s="35">
        <f>IF(B212="","",YEAR(B212))</f>
        <v/>
      </c>
    </row>
    <row r="213">
      <c r="B213" s="37" t="n"/>
      <c r="C213" s="31" t="n"/>
      <c r="D213" s="31" t="n"/>
      <c r="E213" s="31" t="n"/>
      <c r="F213" s="31" t="n"/>
      <c r="G213" s="33" t="n"/>
      <c r="H213" s="32" t="n"/>
      <c r="I213" s="22">
        <f>IF(G213="","",ROUND(G213*N(H213)/100,2))</f>
        <v/>
      </c>
      <c r="J213" s="32" t="n"/>
      <c r="K213" s="22">
        <f>IF(G213="","",ROUND(G213*N(J213)/100,2))</f>
        <v/>
      </c>
      <c r="L213" s="22">
        <f>IF(G213="","",G213+I213-K213)</f>
        <v/>
      </c>
      <c r="M213" s="35">
        <f>IF(B213="","",ROUNDUP(MONTH(B213)/3,0))</f>
        <v/>
      </c>
      <c r="N213" s="35">
        <f>IF(B213="","",YEAR(B213))</f>
        <v/>
      </c>
    </row>
    <row r="214">
      <c r="B214" s="37" t="n"/>
      <c r="C214" s="31" t="n"/>
      <c r="D214" s="31" t="n"/>
      <c r="E214" s="31" t="n"/>
      <c r="F214" s="31" t="n"/>
      <c r="G214" s="33" t="n"/>
      <c r="H214" s="32" t="n"/>
      <c r="I214" s="22">
        <f>IF(G214="","",ROUND(G214*N(H214)/100,2))</f>
        <v/>
      </c>
      <c r="J214" s="32" t="n"/>
      <c r="K214" s="22">
        <f>IF(G214="","",ROUND(G214*N(J214)/100,2))</f>
        <v/>
      </c>
      <c r="L214" s="22">
        <f>IF(G214="","",G214+I214-K214)</f>
        <v/>
      </c>
      <c r="M214" s="35">
        <f>IF(B214="","",ROUNDUP(MONTH(B214)/3,0))</f>
        <v/>
      </c>
      <c r="N214" s="35">
        <f>IF(B214="","",YEAR(B214))</f>
        <v/>
      </c>
    </row>
    <row r="215">
      <c r="B215" s="37" t="n"/>
      <c r="C215" s="31" t="n"/>
      <c r="D215" s="31" t="n"/>
      <c r="E215" s="31" t="n"/>
      <c r="F215" s="31" t="n"/>
      <c r="G215" s="33" t="n"/>
      <c r="H215" s="32" t="n"/>
      <c r="I215" s="22">
        <f>IF(G215="","",ROUND(G215*N(H215)/100,2))</f>
        <v/>
      </c>
      <c r="J215" s="32" t="n"/>
      <c r="K215" s="22">
        <f>IF(G215="","",ROUND(G215*N(J215)/100,2))</f>
        <v/>
      </c>
      <c r="L215" s="22">
        <f>IF(G215="","",G215+I215-K215)</f>
        <v/>
      </c>
      <c r="M215" s="35">
        <f>IF(B215="","",ROUNDUP(MONTH(B215)/3,0))</f>
        <v/>
      </c>
      <c r="N215" s="35">
        <f>IF(B215="","",YEAR(B215))</f>
        <v/>
      </c>
    </row>
    <row r="216">
      <c r="B216" s="37" t="n"/>
      <c r="C216" s="31" t="n"/>
      <c r="D216" s="31" t="n"/>
      <c r="E216" s="31" t="n"/>
      <c r="F216" s="31" t="n"/>
      <c r="G216" s="33" t="n"/>
      <c r="H216" s="32" t="n"/>
      <c r="I216" s="22">
        <f>IF(G216="","",ROUND(G216*N(H216)/100,2))</f>
        <v/>
      </c>
      <c r="J216" s="32" t="n"/>
      <c r="K216" s="22">
        <f>IF(G216="","",ROUND(G216*N(J216)/100,2))</f>
        <v/>
      </c>
      <c r="L216" s="22">
        <f>IF(G216="","",G216+I216-K216)</f>
        <v/>
      </c>
      <c r="M216" s="35">
        <f>IF(B216="","",ROUNDUP(MONTH(B216)/3,0))</f>
        <v/>
      </c>
      <c r="N216" s="35">
        <f>IF(B216="","",YEAR(B216))</f>
        <v/>
      </c>
    </row>
    <row r="217">
      <c r="B217" s="37" t="n"/>
      <c r="C217" s="31" t="n"/>
      <c r="D217" s="31" t="n"/>
      <c r="E217" s="31" t="n"/>
      <c r="F217" s="31" t="n"/>
      <c r="G217" s="33" t="n"/>
      <c r="H217" s="32" t="n"/>
      <c r="I217" s="22">
        <f>IF(G217="","",ROUND(G217*N(H217)/100,2))</f>
        <v/>
      </c>
      <c r="J217" s="32" t="n"/>
      <c r="K217" s="22">
        <f>IF(G217="","",ROUND(G217*N(J217)/100,2))</f>
        <v/>
      </c>
      <c r="L217" s="22">
        <f>IF(G217="","",G217+I217-K217)</f>
        <v/>
      </c>
      <c r="M217" s="35">
        <f>IF(B217="","",ROUNDUP(MONTH(B217)/3,0))</f>
        <v/>
      </c>
      <c r="N217" s="35">
        <f>IF(B217="","",YEAR(B217))</f>
        <v/>
      </c>
    </row>
    <row r="218">
      <c r="B218" s="37" t="n"/>
      <c r="C218" s="31" t="n"/>
      <c r="D218" s="31" t="n"/>
      <c r="E218" s="31" t="n"/>
      <c r="F218" s="31" t="n"/>
      <c r="G218" s="33" t="n"/>
      <c r="H218" s="32" t="n"/>
      <c r="I218" s="22">
        <f>IF(G218="","",ROUND(G218*N(H218)/100,2))</f>
        <v/>
      </c>
      <c r="J218" s="32" t="n"/>
      <c r="K218" s="22">
        <f>IF(G218="","",ROUND(G218*N(J218)/100,2))</f>
        <v/>
      </c>
      <c r="L218" s="22">
        <f>IF(G218="","",G218+I218-K218)</f>
        <v/>
      </c>
      <c r="M218" s="35">
        <f>IF(B218="","",ROUNDUP(MONTH(B218)/3,0))</f>
        <v/>
      </c>
      <c r="N218" s="35">
        <f>IF(B218="","",YEAR(B218))</f>
        <v/>
      </c>
    </row>
    <row r="219">
      <c r="B219" s="37" t="n"/>
      <c r="C219" s="31" t="n"/>
      <c r="D219" s="31" t="n"/>
      <c r="E219" s="31" t="n"/>
      <c r="F219" s="31" t="n"/>
      <c r="G219" s="33" t="n"/>
      <c r="H219" s="32" t="n"/>
      <c r="I219" s="22">
        <f>IF(G219="","",ROUND(G219*N(H219)/100,2))</f>
        <v/>
      </c>
      <c r="J219" s="32" t="n"/>
      <c r="K219" s="22">
        <f>IF(G219="","",ROUND(G219*N(J219)/100,2))</f>
        <v/>
      </c>
      <c r="L219" s="22">
        <f>IF(G219="","",G219+I219-K219)</f>
        <v/>
      </c>
      <c r="M219" s="35">
        <f>IF(B219="","",ROUNDUP(MONTH(B219)/3,0))</f>
        <v/>
      </c>
      <c r="N219" s="35">
        <f>IF(B219="","",YEAR(B219))</f>
        <v/>
      </c>
    </row>
    <row r="220">
      <c r="B220" s="37" t="n"/>
      <c r="C220" s="31" t="n"/>
      <c r="D220" s="31" t="n"/>
      <c r="E220" s="31" t="n"/>
      <c r="F220" s="31" t="n"/>
      <c r="G220" s="33" t="n"/>
      <c r="H220" s="32" t="n"/>
      <c r="I220" s="22">
        <f>IF(G220="","",ROUND(G220*N(H220)/100,2))</f>
        <v/>
      </c>
      <c r="J220" s="32" t="n"/>
      <c r="K220" s="22">
        <f>IF(G220="","",ROUND(G220*N(J220)/100,2))</f>
        <v/>
      </c>
      <c r="L220" s="22">
        <f>IF(G220="","",G220+I220-K220)</f>
        <v/>
      </c>
      <c r="M220" s="35">
        <f>IF(B220="","",ROUNDUP(MONTH(B220)/3,0))</f>
        <v/>
      </c>
      <c r="N220" s="35">
        <f>IF(B220="","",YEAR(B220))</f>
        <v/>
      </c>
    </row>
    <row r="221">
      <c r="B221" s="37" t="n"/>
      <c r="C221" s="31" t="n"/>
      <c r="D221" s="31" t="n"/>
      <c r="E221" s="31" t="n"/>
      <c r="F221" s="31" t="n"/>
      <c r="G221" s="33" t="n"/>
      <c r="H221" s="32" t="n"/>
      <c r="I221" s="22">
        <f>IF(G221="","",ROUND(G221*N(H221)/100,2))</f>
        <v/>
      </c>
      <c r="J221" s="32" t="n"/>
      <c r="K221" s="22">
        <f>IF(G221="","",ROUND(G221*N(J221)/100,2))</f>
        <v/>
      </c>
      <c r="L221" s="22">
        <f>IF(G221="","",G221+I221-K221)</f>
        <v/>
      </c>
      <c r="M221" s="35">
        <f>IF(B221="","",ROUNDUP(MONTH(B221)/3,0))</f>
        <v/>
      </c>
      <c r="N221" s="35">
        <f>IF(B221="","",YEAR(B221))</f>
        <v/>
      </c>
    </row>
    <row r="222">
      <c r="B222" s="37" t="n"/>
      <c r="C222" s="31" t="n"/>
      <c r="D222" s="31" t="n"/>
      <c r="E222" s="31" t="n"/>
      <c r="F222" s="31" t="n"/>
      <c r="G222" s="33" t="n"/>
      <c r="H222" s="32" t="n"/>
      <c r="I222" s="22">
        <f>IF(G222="","",ROUND(G222*N(H222)/100,2))</f>
        <v/>
      </c>
      <c r="J222" s="32" t="n"/>
      <c r="K222" s="22">
        <f>IF(G222="","",ROUND(G222*N(J222)/100,2))</f>
        <v/>
      </c>
      <c r="L222" s="22">
        <f>IF(G222="","",G222+I222-K222)</f>
        <v/>
      </c>
      <c r="M222" s="35">
        <f>IF(B222="","",ROUNDUP(MONTH(B222)/3,0))</f>
        <v/>
      </c>
      <c r="N222" s="35">
        <f>IF(B222="","",YEAR(B222))</f>
        <v/>
      </c>
    </row>
    <row r="223">
      <c r="B223" s="37" t="n"/>
      <c r="C223" s="31" t="n"/>
      <c r="D223" s="31" t="n"/>
      <c r="E223" s="31" t="n"/>
      <c r="F223" s="31" t="n"/>
      <c r="G223" s="33" t="n"/>
      <c r="H223" s="32" t="n"/>
      <c r="I223" s="22">
        <f>IF(G223="","",ROUND(G223*N(H223)/100,2))</f>
        <v/>
      </c>
      <c r="J223" s="32" t="n"/>
      <c r="K223" s="22">
        <f>IF(G223="","",ROUND(G223*N(J223)/100,2))</f>
        <v/>
      </c>
      <c r="L223" s="22">
        <f>IF(G223="","",G223+I223-K223)</f>
        <v/>
      </c>
      <c r="M223" s="35">
        <f>IF(B223="","",ROUNDUP(MONTH(B223)/3,0))</f>
        <v/>
      </c>
      <c r="N223" s="35">
        <f>IF(B223="","",YEAR(B223))</f>
        <v/>
      </c>
    </row>
    <row r="224">
      <c r="B224" s="37" t="n"/>
      <c r="C224" s="31" t="n"/>
      <c r="D224" s="31" t="n"/>
      <c r="E224" s="31" t="n"/>
      <c r="F224" s="31" t="n"/>
      <c r="G224" s="33" t="n"/>
      <c r="H224" s="32" t="n"/>
      <c r="I224" s="22">
        <f>IF(G224="","",ROUND(G224*N(H224)/100,2))</f>
        <v/>
      </c>
      <c r="J224" s="32" t="n"/>
      <c r="K224" s="22">
        <f>IF(G224="","",ROUND(G224*N(J224)/100,2))</f>
        <v/>
      </c>
      <c r="L224" s="22">
        <f>IF(G224="","",G224+I224-K224)</f>
        <v/>
      </c>
      <c r="M224" s="35">
        <f>IF(B224="","",ROUNDUP(MONTH(B224)/3,0))</f>
        <v/>
      </c>
      <c r="N224" s="35">
        <f>IF(B224="","",YEAR(B224))</f>
        <v/>
      </c>
    </row>
    <row r="225">
      <c r="B225" s="37" t="n"/>
      <c r="C225" s="31" t="n"/>
      <c r="D225" s="31" t="n"/>
      <c r="E225" s="31" t="n"/>
      <c r="F225" s="31" t="n"/>
      <c r="G225" s="33" t="n"/>
      <c r="H225" s="32" t="n"/>
      <c r="I225" s="22">
        <f>IF(G225="","",ROUND(G225*N(H225)/100,2))</f>
        <v/>
      </c>
      <c r="J225" s="32" t="n"/>
      <c r="K225" s="22">
        <f>IF(G225="","",ROUND(G225*N(J225)/100,2))</f>
        <v/>
      </c>
      <c r="L225" s="22">
        <f>IF(G225="","",G225+I225-K225)</f>
        <v/>
      </c>
      <c r="M225" s="35">
        <f>IF(B225="","",ROUNDUP(MONTH(B225)/3,0))</f>
        <v/>
      </c>
      <c r="N225" s="35">
        <f>IF(B225="","",YEAR(B225))</f>
        <v/>
      </c>
    </row>
    <row r="226">
      <c r="B226" s="37" t="n"/>
      <c r="C226" s="31" t="n"/>
      <c r="D226" s="31" t="n"/>
      <c r="E226" s="31" t="n"/>
      <c r="F226" s="31" t="n"/>
      <c r="G226" s="33" t="n"/>
      <c r="H226" s="32" t="n"/>
      <c r="I226" s="22">
        <f>IF(G226="","",ROUND(G226*N(H226)/100,2))</f>
        <v/>
      </c>
      <c r="J226" s="32" t="n"/>
      <c r="K226" s="22">
        <f>IF(G226="","",ROUND(G226*N(J226)/100,2))</f>
        <v/>
      </c>
      <c r="L226" s="22">
        <f>IF(G226="","",G226+I226-K226)</f>
        <v/>
      </c>
      <c r="M226" s="35">
        <f>IF(B226="","",ROUNDUP(MONTH(B226)/3,0))</f>
        <v/>
      </c>
      <c r="N226" s="35">
        <f>IF(B226="","",YEAR(B226))</f>
        <v/>
      </c>
    </row>
    <row r="227">
      <c r="B227" s="37" t="n"/>
      <c r="C227" s="31" t="n"/>
      <c r="D227" s="31" t="n"/>
      <c r="E227" s="31" t="n"/>
      <c r="F227" s="31" t="n"/>
      <c r="G227" s="33" t="n"/>
      <c r="H227" s="32" t="n"/>
      <c r="I227" s="22">
        <f>IF(G227="","",ROUND(G227*N(H227)/100,2))</f>
        <v/>
      </c>
      <c r="J227" s="32" t="n"/>
      <c r="K227" s="22">
        <f>IF(G227="","",ROUND(G227*N(J227)/100,2))</f>
        <v/>
      </c>
      <c r="L227" s="22">
        <f>IF(G227="","",G227+I227-K227)</f>
        <v/>
      </c>
      <c r="M227" s="35">
        <f>IF(B227="","",ROUNDUP(MONTH(B227)/3,0))</f>
        <v/>
      </c>
      <c r="N227" s="35">
        <f>IF(B227="","",YEAR(B227))</f>
        <v/>
      </c>
    </row>
    <row r="228">
      <c r="B228" s="37" t="n"/>
      <c r="C228" s="31" t="n"/>
      <c r="D228" s="31" t="n"/>
      <c r="E228" s="31" t="n"/>
      <c r="F228" s="31" t="n"/>
      <c r="G228" s="33" t="n"/>
      <c r="H228" s="32" t="n"/>
      <c r="I228" s="22">
        <f>IF(G228="","",ROUND(G228*N(H228)/100,2))</f>
        <v/>
      </c>
      <c r="J228" s="32" t="n"/>
      <c r="K228" s="22">
        <f>IF(G228="","",ROUND(G228*N(J228)/100,2))</f>
        <v/>
      </c>
      <c r="L228" s="22">
        <f>IF(G228="","",G228+I228-K228)</f>
        <v/>
      </c>
      <c r="M228" s="35">
        <f>IF(B228="","",ROUNDUP(MONTH(B228)/3,0))</f>
        <v/>
      </c>
      <c r="N228" s="35">
        <f>IF(B228="","",YEAR(B228))</f>
        <v/>
      </c>
    </row>
    <row r="229">
      <c r="B229" s="37" t="n"/>
      <c r="C229" s="31" t="n"/>
      <c r="D229" s="31" t="n"/>
      <c r="E229" s="31" t="n"/>
      <c r="F229" s="31" t="n"/>
      <c r="G229" s="33" t="n"/>
      <c r="H229" s="32" t="n"/>
      <c r="I229" s="22">
        <f>IF(G229="","",ROUND(G229*N(H229)/100,2))</f>
        <v/>
      </c>
      <c r="J229" s="32" t="n"/>
      <c r="K229" s="22">
        <f>IF(G229="","",ROUND(G229*N(J229)/100,2))</f>
        <v/>
      </c>
      <c r="L229" s="22">
        <f>IF(G229="","",G229+I229-K229)</f>
        <v/>
      </c>
      <c r="M229" s="35">
        <f>IF(B229="","",ROUNDUP(MONTH(B229)/3,0))</f>
        <v/>
      </c>
      <c r="N229" s="35">
        <f>IF(B229="","",YEAR(B229))</f>
        <v/>
      </c>
    </row>
    <row r="230">
      <c r="B230" s="37" t="n"/>
      <c r="C230" s="31" t="n"/>
      <c r="D230" s="31" t="n"/>
      <c r="E230" s="31" t="n"/>
      <c r="F230" s="31" t="n"/>
      <c r="G230" s="33" t="n"/>
      <c r="H230" s="32" t="n"/>
      <c r="I230" s="22">
        <f>IF(G230="","",ROUND(G230*N(H230)/100,2))</f>
        <v/>
      </c>
      <c r="J230" s="32" t="n"/>
      <c r="K230" s="22">
        <f>IF(G230="","",ROUND(G230*N(J230)/100,2))</f>
        <v/>
      </c>
      <c r="L230" s="22">
        <f>IF(G230="","",G230+I230-K230)</f>
        <v/>
      </c>
      <c r="M230" s="35">
        <f>IF(B230="","",ROUNDUP(MONTH(B230)/3,0))</f>
        <v/>
      </c>
      <c r="N230" s="35">
        <f>IF(B230="","",YEAR(B230))</f>
        <v/>
      </c>
    </row>
    <row r="231">
      <c r="B231" s="37" t="n"/>
      <c r="C231" s="31" t="n"/>
      <c r="D231" s="31" t="n"/>
      <c r="E231" s="31" t="n"/>
      <c r="F231" s="31" t="n"/>
      <c r="G231" s="33" t="n"/>
      <c r="H231" s="32" t="n"/>
      <c r="I231" s="22">
        <f>IF(G231="","",ROUND(G231*N(H231)/100,2))</f>
        <v/>
      </c>
      <c r="J231" s="32" t="n"/>
      <c r="K231" s="22">
        <f>IF(G231="","",ROUND(G231*N(J231)/100,2))</f>
        <v/>
      </c>
      <c r="L231" s="22">
        <f>IF(G231="","",G231+I231-K231)</f>
        <v/>
      </c>
      <c r="M231" s="35">
        <f>IF(B231="","",ROUNDUP(MONTH(B231)/3,0))</f>
        <v/>
      </c>
      <c r="N231" s="35">
        <f>IF(B231="","",YEAR(B231))</f>
        <v/>
      </c>
    </row>
    <row r="232">
      <c r="B232" s="37" t="n"/>
      <c r="C232" s="31" t="n"/>
      <c r="D232" s="31" t="n"/>
      <c r="E232" s="31" t="n"/>
      <c r="F232" s="31" t="n"/>
      <c r="G232" s="33" t="n"/>
      <c r="H232" s="32" t="n"/>
      <c r="I232" s="22">
        <f>IF(G232="","",ROUND(G232*N(H232)/100,2))</f>
        <v/>
      </c>
      <c r="J232" s="32" t="n"/>
      <c r="K232" s="22">
        <f>IF(G232="","",ROUND(G232*N(J232)/100,2))</f>
        <v/>
      </c>
      <c r="L232" s="22">
        <f>IF(G232="","",G232+I232-K232)</f>
        <v/>
      </c>
      <c r="M232" s="35">
        <f>IF(B232="","",ROUNDUP(MONTH(B232)/3,0))</f>
        <v/>
      </c>
      <c r="N232" s="35">
        <f>IF(B232="","",YEAR(B232))</f>
        <v/>
      </c>
    </row>
    <row r="233">
      <c r="B233" s="37" t="n"/>
      <c r="C233" s="31" t="n"/>
      <c r="D233" s="31" t="n"/>
      <c r="E233" s="31" t="n"/>
      <c r="F233" s="31" t="n"/>
      <c r="G233" s="33" t="n"/>
      <c r="H233" s="32" t="n"/>
      <c r="I233" s="22">
        <f>IF(G233="","",ROUND(G233*N(H233)/100,2))</f>
        <v/>
      </c>
      <c r="J233" s="32" t="n"/>
      <c r="K233" s="22">
        <f>IF(G233="","",ROUND(G233*N(J233)/100,2))</f>
        <v/>
      </c>
      <c r="L233" s="22">
        <f>IF(G233="","",G233+I233-K233)</f>
        <v/>
      </c>
      <c r="M233" s="35">
        <f>IF(B233="","",ROUNDUP(MONTH(B233)/3,0))</f>
        <v/>
      </c>
      <c r="N233" s="35">
        <f>IF(B233="","",YEAR(B233))</f>
        <v/>
      </c>
    </row>
    <row r="234">
      <c r="B234" s="37" t="n"/>
      <c r="C234" s="31" t="n"/>
      <c r="D234" s="31" t="n"/>
      <c r="E234" s="31" t="n"/>
      <c r="F234" s="31" t="n"/>
      <c r="G234" s="33" t="n"/>
      <c r="H234" s="32" t="n"/>
      <c r="I234" s="22">
        <f>IF(G234="","",ROUND(G234*N(H234)/100,2))</f>
        <v/>
      </c>
      <c r="J234" s="32" t="n"/>
      <c r="K234" s="22">
        <f>IF(G234="","",ROUND(G234*N(J234)/100,2))</f>
        <v/>
      </c>
      <c r="L234" s="22">
        <f>IF(G234="","",G234+I234-K234)</f>
        <v/>
      </c>
      <c r="M234" s="35">
        <f>IF(B234="","",ROUNDUP(MONTH(B234)/3,0))</f>
        <v/>
      </c>
      <c r="N234" s="35">
        <f>IF(B234="","",YEAR(B234))</f>
        <v/>
      </c>
    </row>
    <row r="235">
      <c r="B235" s="37" t="n"/>
      <c r="C235" s="31" t="n"/>
      <c r="D235" s="31" t="n"/>
      <c r="E235" s="31" t="n"/>
      <c r="F235" s="31" t="n"/>
      <c r="G235" s="33" t="n"/>
      <c r="H235" s="32" t="n"/>
      <c r="I235" s="22">
        <f>IF(G235="","",ROUND(G235*N(H235)/100,2))</f>
        <v/>
      </c>
      <c r="J235" s="32" t="n"/>
      <c r="K235" s="22">
        <f>IF(G235="","",ROUND(G235*N(J235)/100,2))</f>
        <v/>
      </c>
      <c r="L235" s="22">
        <f>IF(G235="","",G235+I235-K235)</f>
        <v/>
      </c>
      <c r="M235" s="35">
        <f>IF(B235="","",ROUNDUP(MONTH(B235)/3,0))</f>
        <v/>
      </c>
      <c r="N235" s="35">
        <f>IF(B235="","",YEAR(B235))</f>
        <v/>
      </c>
    </row>
    <row r="236">
      <c r="B236" s="37" t="n"/>
      <c r="C236" s="31" t="n"/>
      <c r="D236" s="31" t="n"/>
      <c r="E236" s="31" t="n"/>
      <c r="F236" s="31" t="n"/>
      <c r="G236" s="33" t="n"/>
      <c r="H236" s="32" t="n"/>
      <c r="I236" s="22">
        <f>IF(G236="","",ROUND(G236*N(H236)/100,2))</f>
        <v/>
      </c>
      <c r="J236" s="32" t="n"/>
      <c r="K236" s="22">
        <f>IF(G236="","",ROUND(G236*N(J236)/100,2))</f>
        <v/>
      </c>
      <c r="L236" s="22">
        <f>IF(G236="","",G236+I236-K236)</f>
        <v/>
      </c>
      <c r="M236" s="35">
        <f>IF(B236="","",ROUNDUP(MONTH(B236)/3,0))</f>
        <v/>
      </c>
      <c r="N236" s="35">
        <f>IF(B236="","",YEAR(B236))</f>
        <v/>
      </c>
    </row>
    <row r="237">
      <c r="B237" s="37" t="n"/>
      <c r="C237" s="31" t="n"/>
      <c r="D237" s="31" t="n"/>
      <c r="E237" s="31" t="n"/>
      <c r="F237" s="31" t="n"/>
      <c r="G237" s="33" t="n"/>
      <c r="H237" s="32" t="n"/>
      <c r="I237" s="22">
        <f>IF(G237="","",ROUND(G237*N(H237)/100,2))</f>
        <v/>
      </c>
      <c r="J237" s="32" t="n"/>
      <c r="K237" s="22">
        <f>IF(G237="","",ROUND(G237*N(J237)/100,2))</f>
        <v/>
      </c>
      <c r="L237" s="22">
        <f>IF(G237="","",G237+I237-K237)</f>
        <v/>
      </c>
      <c r="M237" s="35">
        <f>IF(B237="","",ROUNDUP(MONTH(B237)/3,0))</f>
        <v/>
      </c>
      <c r="N237" s="35">
        <f>IF(B237="","",YEAR(B237))</f>
        <v/>
      </c>
    </row>
    <row r="238">
      <c r="B238" s="37" t="n"/>
      <c r="C238" s="31" t="n"/>
      <c r="D238" s="31" t="n"/>
      <c r="E238" s="31" t="n"/>
      <c r="F238" s="31" t="n"/>
      <c r="G238" s="33" t="n"/>
      <c r="H238" s="32" t="n"/>
      <c r="I238" s="22">
        <f>IF(G238="","",ROUND(G238*N(H238)/100,2))</f>
        <v/>
      </c>
      <c r="J238" s="32" t="n"/>
      <c r="K238" s="22">
        <f>IF(G238="","",ROUND(G238*N(J238)/100,2))</f>
        <v/>
      </c>
      <c r="L238" s="22">
        <f>IF(G238="","",G238+I238-K238)</f>
        <v/>
      </c>
      <c r="M238" s="35">
        <f>IF(B238="","",ROUNDUP(MONTH(B238)/3,0))</f>
        <v/>
      </c>
      <c r="N238" s="35">
        <f>IF(B238="","",YEAR(B238))</f>
        <v/>
      </c>
    </row>
    <row r="239">
      <c r="B239" s="37" t="n"/>
      <c r="C239" s="31" t="n"/>
      <c r="D239" s="31" t="n"/>
      <c r="E239" s="31" t="n"/>
      <c r="F239" s="31" t="n"/>
      <c r="G239" s="33" t="n"/>
      <c r="H239" s="32" t="n"/>
      <c r="I239" s="22">
        <f>IF(G239="","",ROUND(G239*N(H239)/100,2))</f>
        <v/>
      </c>
      <c r="J239" s="32" t="n"/>
      <c r="K239" s="22">
        <f>IF(G239="","",ROUND(G239*N(J239)/100,2))</f>
        <v/>
      </c>
      <c r="L239" s="22">
        <f>IF(G239="","",G239+I239-K239)</f>
        <v/>
      </c>
      <c r="M239" s="35">
        <f>IF(B239="","",ROUNDUP(MONTH(B239)/3,0))</f>
        <v/>
      </c>
      <c r="N239" s="35">
        <f>IF(B239="","",YEAR(B239))</f>
        <v/>
      </c>
    </row>
    <row r="240">
      <c r="B240" s="37" t="n"/>
      <c r="C240" s="31" t="n"/>
      <c r="D240" s="31" t="n"/>
      <c r="E240" s="31" t="n"/>
      <c r="F240" s="31" t="n"/>
      <c r="G240" s="33" t="n"/>
      <c r="H240" s="32" t="n"/>
      <c r="I240" s="22">
        <f>IF(G240="","",ROUND(G240*N(H240)/100,2))</f>
        <v/>
      </c>
      <c r="J240" s="32" t="n"/>
      <c r="K240" s="22">
        <f>IF(G240="","",ROUND(G240*N(J240)/100,2))</f>
        <v/>
      </c>
      <c r="L240" s="22">
        <f>IF(G240="","",G240+I240-K240)</f>
        <v/>
      </c>
      <c r="M240" s="35">
        <f>IF(B240="","",ROUNDUP(MONTH(B240)/3,0))</f>
        <v/>
      </c>
      <c r="N240" s="35">
        <f>IF(B240="","",YEAR(B240))</f>
        <v/>
      </c>
    </row>
    <row r="241">
      <c r="B241" s="37" t="n"/>
      <c r="C241" s="31" t="n"/>
      <c r="D241" s="31" t="n"/>
      <c r="E241" s="31" t="n"/>
      <c r="F241" s="31" t="n"/>
      <c r="G241" s="33" t="n"/>
      <c r="H241" s="32" t="n"/>
      <c r="I241" s="22">
        <f>IF(G241="","",ROUND(G241*N(H241)/100,2))</f>
        <v/>
      </c>
      <c r="J241" s="32" t="n"/>
      <c r="K241" s="22">
        <f>IF(G241="","",ROUND(G241*N(J241)/100,2))</f>
        <v/>
      </c>
      <c r="L241" s="22">
        <f>IF(G241="","",G241+I241-K241)</f>
        <v/>
      </c>
      <c r="M241" s="35">
        <f>IF(B241="","",ROUNDUP(MONTH(B241)/3,0))</f>
        <v/>
      </c>
      <c r="N241" s="35">
        <f>IF(B241="","",YEAR(B241))</f>
        <v/>
      </c>
    </row>
    <row r="242">
      <c r="B242" s="37" t="n"/>
      <c r="C242" s="31" t="n"/>
      <c r="D242" s="31" t="n"/>
      <c r="E242" s="31" t="n"/>
      <c r="F242" s="31" t="n"/>
      <c r="G242" s="33" t="n"/>
      <c r="H242" s="32" t="n"/>
      <c r="I242" s="22">
        <f>IF(G242="","",ROUND(G242*N(H242)/100,2))</f>
        <v/>
      </c>
      <c r="J242" s="32" t="n"/>
      <c r="K242" s="22">
        <f>IF(G242="","",ROUND(G242*N(J242)/100,2))</f>
        <v/>
      </c>
      <c r="L242" s="22">
        <f>IF(G242="","",G242+I242-K242)</f>
        <v/>
      </c>
      <c r="M242" s="35">
        <f>IF(B242="","",ROUNDUP(MONTH(B242)/3,0))</f>
        <v/>
      </c>
      <c r="N242" s="35">
        <f>IF(B242="","",YEAR(B242))</f>
        <v/>
      </c>
    </row>
    <row r="243">
      <c r="B243" s="37" t="n"/>
      <c r="C243" s="31" t="n"/>
      <c r="D243" s="31" t="n"/>
      <c r="E243" s="31" t="n"/>
      <c r="F243" s="31" t="n"/>
      <c r="G243" s="33" t="n"/>
      <c r="H243" s="32" t="n"/>
      <c r="I243" s="22">
        <f>IF(G243="","",ROUND(G243*N(H243)/100,2))</f>
        <v/>
      </c>
      <c r="J243" s="32" t="n"/>
      <c r="K243" s="22">
        <f>IF(G243="","",ROUND(G243*N(J243)/100,2))</f>
        <v/>
      </c>
      <c r="L243" s="22">
        <f>IF(G243="","",G243+I243-K243)</f>
        <v/>
      </c>
      <c r="M243" s="35">
        <f>IF(B243="","",ROUNDUP(MONTH(B243)/3,0))</f>
        <v/>
      </c>
      <c r="N243" s="35">
        <f>IF(B243="","",YEAR(B243))</f>
        <v/>
      </c>
    </row>
    <row r="244">
      <c r="B244" s="37" t="n"/>
      <c r="C244" s="31" t="n"/>
      <c r="D244" s="31" t="n"/>
      <c r="E244" s="31" t="n"/>
      <c r="F244" s="31" t="n"/>
      <c r="G244" s="33" t="n"/>
      <c r="H244" s="32" t="n"/>
      <c r="I244" s="22">
        <f>IF(G244="","",ROUND(G244*N(H244)/100,2))</f>
        <v/>
      </c>
      <c r="J244" s="32" t="n"/>
      <c r="K244" s="22">
        <f>IF(G244="","",ROUND(G244*N(J244)/100,2))</f>
        <v/>
      </c>
      <c r="L244" s="22">
        <f>IF(G244="","",G244+I244-K244)</f>
        <v/>
      </c>
      <c r="M244" s="35">
        <f>IF(B244="","",ROUNDUP(MONTH(B244)/3,0))</f>
        <v/>
      </c>
      <c r="N244" s="35">
        <f>IF(B244="","",YEAR(B244))</f>
        <v/>
      </c>
    </row>
    <row r="245">
      <c r="B245" s="37" t="n"/>
      <c r="C245" s="31" t="n"/>
      <c r="D245" s="31" t="n"/>
      <c r="E245" s="31" t="n"/>
      <c r="F245" s="31" t="n"/>
      <c r="G245" s="33" t="n"/>
      <c r="H245" s="32" t="n"/>
      <c r="I245" s="22">
        <f>IF(G245="","",ROUND(G245*N(H245)/100,2))</f>
        <v/>
      </c>
      <c r="J245" s="32" t="n"/>
      <c r="K245" s="22">
        <f>IF(G245="","",ROUND(G245*N(J245)/100,2))</f>
        <v/>
      </c>
      <c r="L245" s="22">
        <f>IF(G245="","",G245+I245-K245)</f>
        <v/>
      </c>
      <c r="M245" s="35">
        <f>IF(B245="","",ROUNDUP(MONTH(B245)/3,0))</f>
        <v/>
      </c>
      <c r="N245" s="35">
        <f>IF(B245="","",YEAR(B245))</f>
        <v/>
      </c>
    </row>
    <row r="246">
      <c r="B246" s="37" t="n"/>
      <c r="C246" s="31" t="n"/>
      <c r="D246" s="31" t="n"/>
      <c r="E246" s="31" t="n"/>
      <c r="F246" s="31" t="n"/>
      <c r="G246" s="33" t="n"/>
      <c r="H246" s="32" t="n"/>
      <c r="I246" s="22">
        <f>IF(G246="","",ROUND(G246*N(H246)/100,2))</f>
        <v/>
      </c>
      <c r="J246" s="32" t="n"/>
      <c r="K246" s="22">
        <f>IF(G246="","",ROUND(G246*N(J246)/100,2))</f>
        <v/>
      </c>
      <c r="L246" s="22">
        <f>IF(G246="","",G246+I246-K246)</f>
        <v/>
      </c>
      <c r="M246" s="35">
        <f>IF(B246="","",ROUNDUP(MONTH(B246)/3,0))</f>
        <v/>
      </c>
      <c r="N246" s="35">
        <f>IF(B246="","",YEAR(B246))</f>
        <v/>
      </c>
    </row>
    <row r="247">
      <c r="B247" s="37" t="n"/>
      <c r="C247" s="31" t="n"/>
      <c r="D247" s="31" t="n"/>
      <c r="E247" s="31" t="n"/>
      <c r="F247" s="31" t="n"/>
      <c r="G247" s="33" t="n"/>
      <c r="H247" s="32" t="n"/>
      <c r="I247" s="22">
        <f>IF(G247="","",ROUND(G247*N(H247)/100,2))</f>
        <v/>
      </c>
      <c r="J247" s="32" t="n"/>
      <c r="K247" s="22">
        <f>IF(G247="","",ROUND(G247*N(J247)/100,2))</f>
        <v/>
      </c>
      <c r="L247" s="22">
        <f>IF(G247="","",G247+I247-K247)</f>
        <v/>
      </c>
      <c r="M247" s="35">
        <f>IF(B247="","",ROUNDUP(MONTH(B247)/3,0))</f>
        <v/>
      </c>
      <c r="N247" s="35">
        <f>IF(B247="","",YEAR(B247))</f>
        <v/>
      </c>
    </row>
    <row r="248">
      <c r="B248" s="37" t="n"/>
      <c r="C248" s="31" t="n"/>
      <c r="D248" s="31" t="n"/>
      <c r="E248" s="31" t="n"/>
      <c r="F248" s="31" t="n"/>
      <c r="G248" s="33" t="n"/>
      <c r="H248" s="32" t="n"/>
      <c r="I248" s="22">
        <f>IF(G248="","",ROUND(G248*N(H248)/100,2))</f>
        <v/>
      </c>
      <c r="J248" s="32" t="n"/>
      <c r="K248" s="22">
        <f>IF(G248="","",ROUND(G248*N(J248)/100,2))</f>
        <v/>
      </c>
      <c r="L248" s="22">
        <f>IF(G248="","",G248+I248-K248)</f>
        <v/>
      </c>
      <c r="M248" s="35">
        <f>IF(B248="","",ROUNDUP(MONTH(B248)/3,0))</f>
        <v/>
      </c>
      <c r="N248" s="35">
        <f>IF(B248="","",YEAR(B248))</f>
        <v/>
      </c>
    </row>
    <row r="249">
      <c r="B249" s="37" t="n"/>
      <c r="C249" s="31" t="n"/>
      <c r="D249" s="31" t="n"/>
      <c r="E249" s="31" t="n"/>
      <c r="F249" s="31" t="n"/>
      <c r="G249" s="33" t="n"/>
      <c r="H249" s="32" t="n"/>
      <c r="I249" s="22">
        <f>IF(G249="","",ROUND(G249*N(H249)/100,2))</f>
        <v/>
      </c>
      <c r="J249" s="32" t="n"/>
      <c r="K249" s="22">
        <f>IF(G249="","",ROUND(G249*N(J249)/100,2))</f>
        <v/>
      </c>
      <c r="L249" s="22">
        <f>IF(G249="","",G249+I249-K249)</f>
        <v/>
      </c>
      <c r="M249" s="35">
        <f>IF(B249="","",ROUNDUP(MONTH(B249)/3,0))</f>
        <v/>
      </c>
      <c r="N249" s="35">
        <f>IF(B249="","",YEAR(B249))</f>
        <v/>
      </c>
    </row>
    <row r="250">
      <c r="B250" s="37" t="n"/>
      <c r="C250" s="31" t="n"/>
      <c r="D250" s="31" t="n"/>
      <c r="E250" s="31" t="n"/>
      <c r="F250" s="31" t="n"/>
      <c r="G250" s="33" t="n"/>
      <c r="H250" s="32" t="n"/>
      <c r="I250" s="22">
        <f>IF(G250="","",ROUND(G250*N(H250)/100,2))</f>
        <v/>
      </c>
      <c r="J250" s="32" t="n"/>
      <c r="K250" s="22">
        <f>IF(G250="","",ROUND(G250*N(J250)/100,2))</f>
        <v/>
      </c>
      <c r="L250" s="22">
        <f>IF(G250="","",G250+I250-K250)</f>
        <v/>
      </c>
      <c r="M250" s="35">
        <f>IF(B250="","",ROUNDUP(MONTH(B250)/3,0))</f>
        <v/>
      </c>
      <c r="N250" s="35">
        <f>IF(B250="","",YEAR(B250))</f>
        <v/>
      </c>
    </row>
    <row r="251">
      <c r="B251" s="37" t="n"/>
      <c r="C251" s="31" t="n"/>
      <c r="D251" s="31" t="n"/>
      <c r="E251" s="31" t="n"/>
      <c r="F251" s="31" t="n"/>
      <c r="G251" s="33" t="n"/>
      <c r="H251" s="32" t="n"/>
      <c r="I251" s="22">
        <f>IF(G251="","",ROUND(G251*N(H251)/100,2))</f>
        <v/>
      </c>
      <c r="J251" s="32" t="n"/>
      <c r="K251" s="22">
        <f>IF(G251="","",ROUND(G251*N(J251)/100,2))</f>
        <v/>
      </c>
      <c r="L251" s="22">
        <f>IF(G251="","",G251+I251-K251)</f>
        <v/>
      </c>
      <c r="M251" s="35">
        <f>IF(B251="","",ROUNDUP(MONTH(B251)/3,0))</f>
        <v/>
      </c>
      <c r="N251" s="35">
        <f>IF(B251="","",YEAR(B251))</f>
        <v/>
      </c>
    </row>
    <row r="252">
      <c r="B252" s="37" t="n"/>
      <c r="C252" s="31" t="n"/>
      <c r="D252" s="31" t="n"/>
      <c r="E252" s="31" t="n"/>
      <c r="F252" s="31" t="n"/>
      <c r="G252" s="33" t="n"/>
      <c r="H252" s="32" t="n"/>
      <c r="I252" s="22">
        <f>IF(G252="","",ROUND(G252*N(H252)/100,2))</f>
        <v/>
      </c>
      <c r="J252" s="32" t="n"/>
      <c r="K252" s="22">
        <f>IF(G252="","",ROUND(G252*N(J252)/100,2))</f>
        <v/>
      </c>
      <c r="L252" s="22">
        <f>IF(G252="","",G252+I252-K252)</f>
        <v/>
      </c>
      <c r="M252" s="35">
        <f>IF(B252="","",ROUNDUP(MONTH(B252)/3,0))</f>
        <v/>
      </c>
      <c r="N252" s="35">
        <f>IF(B252="","",YEAR(B252))</f>
        <v/>
      </c>
    </row>
    <row r="253">
      <c r="B253" s="37" t="n"/>
      <c r="C253" s="31" t="n"/>
      <c r="D253" s="31" t="n"/>
      <c r="E253" s="31" t="n"/>
      <c r="F253" s="31" t="n"/>
      <c r="G253" s="33" t="n"/>
      <c r="H253" s="32" t="n"/>
      <c r="I253" s="22">
        <f>IF(G253="","",ROUND(G253*N(H253)/100,2))</f>
        <v/>
      </c>
      <c r="J253" s="32" t="n"/>
      <c r="K253" s="22">
        <f>IF(G253="","",ROUND(G253*N(J253)/100,2))</f>
        <v/>
      </c>
      <c r="L253" s="22">
        <f>IF(G253="","",G253+I253-K253)</f>
        <v/>
      </c>
      <c r="M253" s="35">
        <f>IF(B253="","",ROUNDUP(MONTH(B253)/3,0))</f>
        <v/>
      </c>
      <c r="N253" s="35">
        <f>IF(B253="","",YEAR(B253))</f>
        <v/>
      </c>
    </row>
    <row r="254">
      <c r="B254" s="37" t="n"/>
      <c r="C254" s="31" t="n"/>
      <c r="D254" s="31" t="n"/>
      <c r="E254" s="31" t="n"/>
      <c r="F254" s="31" t="n"/>
      <c r="G254" s="33" t="n"/>
      <c r="H254" s="32" t="n"/>
      <c r="I254" s="22">
        <f>IF(G254="","",ROUND(G254*N(H254)/100,2))</f>
        <v/>
      </c>
      <c r="J254" s="32" t="n"/>
      <c r="K254" s="22">
        <f>IF(G254="","",ROUND(G254*N(J254)/100,2))</f>
        <v/>
      </c>
      <c r="L254" s="22">
        <f>IF(G254="","",G254+I254-K254)</f>
        <v/>
      </c>
      <c r="M254" s="35">
        <f>IF(B254="","",ROUNDUP(MONTH(B254)/3,0))</f>
        <v/>
      </c>
      <c r="N254" s="35">
        <f>IF(B254="","",YEAR(B254))</f>
        <v/>
      </c>
    </row>
    <row r="255">
      <c r="B255" s="37" t="n"/>
      <c r="C255" s="31" t="n"/>
      <c r="D255" s="31" t="n"/>
      <c r="E255" s="31" t="n"/>
      <c r="F255" s="31" t="n"/>
      <c r="G255" s="33" t="n"/>
      <c r="H255" s="32" t="n"/>
      <c r="I255" s="22">
        <f>IF(G255="","",ROUND(G255*N(H255)/100,2))</f>
        <v/>
      </c>
      <c r="J255" s="32" t="n"/>
      <c r="K255" s="22">
        <f>IF(G255="","",ROUND(G255*N(J255)/100,2))</f>
        <v/>
      </c>
      <c r="L255" s="22">
        <f>IF(G255="","",G255+I255-K255)</f>
        <v/>
      </c>
      <c r="M255" s="35">
        <f>IF(B255="","",ROUNDUP(MONTH(B255)/3,0))</f>
        <v/>
      </c>
      <c r="N255" s="35">
        <f>IF(B255="","",YEAR(B255))</f>
        <v/>
      </c>
    </row>
    <row r="256">
      <c r="B256" s="37" t="n"/>
      <c r="C256" s="31" t="n"/>
      <c r="D256" s="31" t="n"/>
      <c r="E256" s="31" t="n"/>
      <c r="F256" s="31" t="n"/>
      <c r="G256" s="33" t="n"/>
      <c r="H256" s="32" t="n"/>
      <c r="I256" s="22">
        <f>IF(G256="","",ROUND(G256*N(H256)/100,2))</f>
        <v/>
      </c>
      <c r="J256" s="32" t="n"/>
      <c r="K256" s="22">
        <f>IF(G256="","",ROUND(G256*N(J256)/100,2))</f>
        <v/>
      </c>
      <c r="L256" s="22">
        <f>IF(G256="","",G256+I256-K256)</f>
        <v/>
      </c>
      <c r="M256" s="35">
        <f>IF(B256="","",ROUNDUP(MONTH(B256)/3,0))</f>
        <v/>
      </c>
      <c r="N256" s="35">
        <f>IF(B256="","",YEAR(B256))</f>
        <v/>
      </c>
    </row>
    <row r="257">
      <c r="B257" s="37" t="n"/>
      <c r="C257" s="31" t="n"/>
      <c r="D257" s="31" t="n"/>
      <c r="E257" s="31" t="n"/>
      <c r="F257" s="31" t="n"/>
      <c r="G257" s="33" t="n"/>
      <c r="H257" s="32" t="n"/>
      <c r="I257" s="22">
        <f>IF(G257="","",ROUND(G257*N(H257)/100,2))</f>
        <v/>
      </c>
      <c r="J257" s="32" t="n"/>
      <c r="K257" s="22">
        <f>IF(G257="","",ROUND(G257*N(J257)/100,2))</f>
        <v/>
      </c>
      <c r="L257" s="22">
        <f>IF(G257="","",G257+I257-K257)</f>
        <v/>
      </c>
      <c r="M257" s="35">
        <f>IF(B257="","",ROUNDUP(MONTH(B257)/3,0))</f>
        <v/>
      </c>
      <c r="N257" s="35">
        <f>IF(B257="","",YEAR(B257))</f>
        <v/>
      </c>
    </row>
    <row r="258">
      <c r="B258" s="37" t="n"/>
      <c r="C258" s="31" t="n"/>
      <c r="D258" s="31" t="n"/>
      <c r="E258" s="31" t="n"/>
      <c r="F258" s="31" t="n"/>
      <c r="G258" s="33" t="n"/>
      <c r="H258" s="32" t="n"/>
      <c r="I258" s="22">
        <f>IF(G258="","",ROUND(G258*N(H258)/100,2))</f>
        <v/>
      </c>
      <c r="J258" s="32" t="n"/>
      <c r="K258" s="22">
        <f>IF(G258="","",ROUND(G258*N(J258)/100,2))</f>
        <v/>
      </c>
      <c r="L258" s="22">
        <f>IF(G258="","",G258+I258-K258)</f>
        <v/>
      </c>
      <c r="M258" s="35">
        <f>IF(B258="","",ROUNDUP(MONTH(B258)/3,0))</f>
        <v/>
      </c>
      <c r="N258" s="35">
        <f>IF(B258="","",YEAR(B258))</f>
        <v/>
      </c>
    </row>
    <row r="259">
      <c r="B259" s="37" t="n"/>
      <c r="C259" s="31" t="n"/>
      <c r="D259" s="31" t="n"/>
      <c r="E259" s="31" t="n"/>
      <c r="F259" s="31" t="n"/>
      <c r="G259" s="33" t="n"/>
      <c r="H259" s="32" t="n"/>
      <c r="I259" s="22">
        <f>IF(G259="","",ROUND(G259*N(H259)/100,2))</f>
        <v/>
      </c>
      <c r="J259" s="32" t="n"/>
      <c r="K259" s="22">
        <f>IF(G259="","",ROUND(G259*N(J259)/100,2))</f>
        <v/>
      </c>
      <c r="L259" s="22">
        <f>IF(G259="","",G259+I259-K259)</f>
        <v/>
      </c>
      <c r="M259" s="35">
        <f>IF(B259="","",ROUNDUP(MONTH(B259)/3,0))</f>
        <v/>
      </c>
      <c r="N259" s="35">
        <f>IF(B259="","",YEAR(B259))</f>
        <v/>
      </c>
    </row>
    <row r="260">
      <c r="B260" s="37" t="n"/>
      <c r="C260" s="31" t="n"/>
      <c r="D260" s="31" t="n"/>
      <c r="E260" s="31" t="n"/>
      <c r="F260" s="31" t="n"/>
      <c r="G260" s="33" t="n"/>
      <c r="H260" s="32" t="n"/>
      <c r="I260" s="22">
        <f>IF(G260="","",ROUND(G260*N(H260)/100,2))</f>
        <v/>
      </c>
      <c r="J260" s="32" t="n"/>
      <c r="K260" s="22">
        <f>IF(G260="","",ROUND(G260*N(J260)/100,2))</f>
        <v/>
      </c>
      <c r="L260" s="22">
        <f>IF(G260="","",G260+I260-K260)</f>
        <v/>
      </c>
      <c r="M260" s="35">
        <f>IF(B260="","",ROUNDUP(MONTH(B260)/3,0))</f>
        <v/>
      </c>
      <c r="N260" s="35">
        <f>IF(B260="","",YEAR(B260))</f>
        <v/>
      </c>
    </row>
    <row r="261">
      <c r="B261" s="37" t="n"/>
      <c r="C261" s="31" t="n"/>
      <c r="D261" s="31" t="n"/>
      <c r="E261" s="31" t="n"/>
      <c r="F261" s="31" t="n"/>
      <c r="G261" s="33" t="n"/>
      <c r="H261" s="32" t="n"/>
      <c r="I261" s="22">
        <f>IF(G261="","",ROUND(G261*N(H261)/100,2))</f>
        <v/>
      </c>
      <c r="J261" s="32" t="n"/>
      <c r="K261" s="22">
        <f>IF(G261="","",ROUND(G261*N(J261)/100,2))</f>
        <v/>
      </c>
      <c r="L261" s="22">
        <f>IF(G261="","",G261+I261-K261)</f>
        <v/>
      </c>
      <c r="M261" s="35">
        <f>IF(B261="","",ROUNDUP(MONTH(B261)/3,0))</f>
        <v/>
      </c>
      <c r="N261" s="35">
        <f>IF(B261="","",YEAR(B261))</f>
        <v/>
      </c>
    </row>
    <row r="262">
      <c r="B262" s="37" t="n"/>
      <c r="C262" s="31" t="n"/>
      <c r="D262" s="31" t="n"/>
      <c r="E262" s="31" t="n"/>
      <c r="F262" s="31" t="n"/>
      <c r="G262" s="33" t="n"/>
      <c r="H262" s="32" t="n"/>
      <c r="I262" s="22">
        <f>IF(G262="","",ROUND(G262*N(H262)/100,2))</f>
        <v/>
      </c>
      <c r="J262" s="32" t="n"/>
      <c r="K262" s="22">
        <f>IF(G262="","",ROUND(G262*N(J262)/100,2))</f>
        <v/>
      </c>
      <c r="L262" s="22">
        <f>IF(G262="","",G262+I262-K262)</f>
        <v/>
      </c>
      <c r="M262" s="35">
        <f>IF(B262="","",ROUNDUP(MONTH(B262)/3,0))</f>
        <v/>
      </c>
      <c r="N262" s="35">
        <f>IF(B262="","",YEAR(B262))</f>
        <v/>
      </c>
    </row>
    <row r="263">
      <c r="B263" s="37" t="n"/>
      <c r="C263" s="31" t="n"/>
      <c r="D263" s="31" t="n"/>
      <c r="E263" s="31" t="n"/>
      <c r="F263" s="31" t="n"/>
      <c r="G263" s="33" t="n"/>
      <c r="H263" s="32" t="n"/>
      <c r="I263" s="22">
        <f>IF(G263="","",ROUND(G263*N(H263)/100,2))</f>
        <v/>
      </c>
      <c r="J263" s="32" t="n"/>
      <c r="K263" s="22">
        <f>IF(G263="","",ROUND(G263*N(J263)/100,2))</f>
        <v/>
      </c>
      <c r="L263" s="22">
        <f>IF(G263="","",G263+I263-K263)</f>
        <v/>
      </c>
      <c r="M263" s="35">
        <f>IF(B263="","",ROUNDUP(MONTH(B263)/3,0))</f>
        <v/>
      </c>
      <c r="N263" s="35">
        <f>IF(B263="","",YEAR(B263))</f>
        <v/>
      </c>
    </row>
    <row r="264">
      <c r="B264" s="37" t="n"/>
      <c r="C264" s="31" t="n"/>
      <c r="D264" s="31" t="n"/>
      <c r="E264" s="31" t="n"/>
      <c r="F264" s="31" t="n"/>
      <c r="G264" s="33" t="n"/>
      <c r="H264" s="32" t="n"/>
      <c r="I264" s="22">
        <f>IF(G264="","",ROUND(G264*N(H264)/100,2))</f>
        <v/>
      </c>
      <c r="J264" s="32" t="n"/>
      <c r="K264" s="22">
        <f>IF(G264="","",ROUND(G264*N(J264)/100,2))</f>
        <v/>
      </c>
      <c r="L264" s="22">
        <f>IF(G264="","",G264+I264-K264)</f>
        <v/>
      </c>
      <c r="M264" s="35">
        <f>IF(B264="","",ROUNDUP(MONTH(B264)/3,0))</f>
        <v/>
      </c>
      <c r="N264" s="35">
        <f>IF(B264="","",YEAR(B264))</f>
        <v/>
      </c>
    </row>
    <row r="265">
      <c r="B265" s="37" t="n"/>
      <c r="C265" s="31" t="n"/>
      <c r="D265" s="31" t="n"/>
      <c r="E265" s="31" t="n"/>
      <c r="F265" s="31" t="n"/>
      <c r="G265" s="33" t="n"/>
      <c r="H265" s="32" t="n"/>
      <c r="I265" s="22">
        <f>IF(G265="","",ROUND(G265*N(H265)/100,2))</f>
        <v/>
      </c>
      <c r="J265" s="32" t="n"/>
      <c r="K265" s="22">
        <f>IF(G265="","",ROUND(G265*N(J265)/100,2))</f>
        <v/>
      </c>
      <c r="L265" s="22">
        <f>IF(G265="","",G265+I265-K265)</f>
        <v/>
      </c>
      <c r="M265" s="35">
        <f>IF(B265="","",ROUNDUP(MONTH(B265)/3,0))</f>
        <v/>
      </c>
      <c r="N265" s="35">
        <f>IF(B265="","",YEAR(B265))</f>
        <v/>
      </c>
    </row>
    <row r="266">
      <c r="B266" s="37" t="n"/>
      <c r="C266" s="31" t="n"/>
      <c r="D266" s="31" t="n"/>
      <c r="E266" s="31" t="n"/>
      <c r="F266" s="31" t="n"/>
      <c r="G266" s="33" t="n"/>
      <c r="H266" s="32" t="n"/>
      <c r="I266" s="22">
        <f>IF(G266="","",ROUND(G266*N(H266)/100,2))</f>
        <v/>
      </c>
      <c r="J266" s="32" t="n"/>
      <c r="K266" s="22">
        <f>IF(G266="","",ROUND(G266*N(J266)/100,2))</f>
        <v/>
      </c>
      <c r="L266" s="22">
        <f>IF(G266="","",G266+I266-K266)</f>
        <v/>
      </c>
      <c r="M266" s="35">
        <f>IF(B266="","",ROUNDUP(MONTH(B266)/3,0))</f>
        <v/>
      </c>
      <c r="N266" s="35">
        <f>IF(B266="","",YEAR(B266))</f>
        <v/>
      </c>
    </row>
    <row r="267">
      <c r="B267" s="37" t="n"/>
      <c r="C267" s="31" t="n"/>
      <c r="D267" s="31" t="n"/>
      <c r="E267" s="31" t="n"/>
      <c r="F267" s="31" t="n"/>
      <c r="G267" s="33" t="n"/>
      <c r="H267" s="32" t="n"/>
      <c r="I267" s="22">
        <f>IF(G267="","",ROUND(G267*N(H267)/100,2))</f>
        <v/>
      </c>
      <c r="J267" s="32" t="n"/>
      <c r="K267" s="22">
        <f>IF(G267="","",ROUND(G267*N(J267)/100,2))</f>
        <v/>
      </c>
      <c r="L267" s="22">
        <f>IF(G267="","",G267+I267-K267)</f>
        <v/>
      </c>
      <c r="M267" s="35">
        <f>IF(B267="","",ROUNDUP(MONTH(B267)/3,0))</f>
        <v/>
      </c>
      <c r="N267" s="35">
        <f>IF(B267="","",YEAR(B267))</f>
        <v/>
      </c>
    </row>
    <row r="268">
      <c r="B268" s="37" t="n"/>
      <c r="C268" s="31" t="n"/>
      <c r="D268" s="31" t="n"/>
      <c r="E268" s="31" t="n"/>
      <c r="F268" s="31" t="n"/>
      <c r="G268" s="33" t="n"/>
      <c r="H268" s="32" t="n"/>
      <c r="I268" s="22">
        <f>IF(G268="","",ROUND(G268*N(H268)/100,2))</f>
        <v/>
      </c>
      <c r="J268" s="32" t="n"/>
      <c r="K268" s="22">
        <f>IF(G268="","",ROUND(G268*N(J268)/100,2))</f>
        <v/>
      </c>
      <c r="L268" s="22">
        <f>IF(G268="","",G268+I268-K268)</f>
        <v/>
      </c>
      <c r="M268" s="35">
        <f>IF(B268="","",ROUNDUP(MONTH(B268)/3,0))</f>
        <v/>
      </c>
      <c r="N268" s="35">
        <f>IF(B268="","",YEAR(B268))</f>
        <v/>
      </c>
    </row>
    <row r="269">
      <c r="B269" s="37" t="n"/>
      <c r="C269" s="31" t="n"/>
      <c r="D269" s="31" t="n"/>
      <c r="E269" s="31" t="n"/>
      <c r="F269" s="31" t="n"/>
      <c r="G269" s="33" t="n"/>
      <c r="H269" s="32" t="n"/>
      <c r="I269" s="22">
        <f>IF(G269="","",ROUND(G269*N(H269)/100,2))</f>
        <v/>
      </c>
      <c r="J269" s="32" t="n"/>
      <c r="K269" s="22">
        <f>IF(G269="","",ROUND(G269*N(J269)/100,2))</f>
        <v/>
      </c>
      <c r="L269" s="22">
        <f>IF(G269="","",G269+I269-K269)</f>
        <v/>
      </c>
      <c r="M269" s="35">
        <f>IF(B269="","",ROUNDUP(MONTH(B269)/3,0))</f>
        <v/>
      </c>
      <c r="N269" s="35">
        <f>IF(B269="","",YEAR(B269))</f>
        <v/>
      </c>
    </row>
    <row r="270">
      <c r="B270" s="37" t="n"/>
      <c r="C270" s="31" t="n"/>
      <c r="D270" s="31" t="n"/>
      <c r="E270" s="31" t="n"/>
      <c r="F270" s="31" t="n"/>
      <c r="G270" s="33" t="n"/>
      <c r="H270" s="32" t="n"/>
      <c r="I270" s="22">
        <f>IF(G270="","",ROUND(G270*N(H270)/100,2))</f>
        <v/>
      </c>
      <c r="J270" s="32" t="n"/>
      <c r="K270" s="22">
        <f>IF(G270="","",ROUND(G270*N(J270)/100,2))</f>
        <v/>
      </c>
      <c r="L270" s="22">
        <f>IF(G270="","",G270+I270-K270)</f>
        <v/>
      </c>
      <c r="M270" s="35">
        <f>IF(B270="","",ROUNDUP(MONTH(B270)/3,0))</f>
        <v/>
      </c>
      <c r="N270" s="35">
        <f>IF(B270="","",YEAR(B270))</f>
        <v/>
      </c>
    </row>
    <row r="271">
      <c r="B271" s="37" t="n"/>
      <c r="C271" s="31" t="n"/>
      <c r="D271" s="31" t="n"/>
      <c r="E271" s="31" t="n"/>
      <c r="F271" s="31" t="n"/>
      <c r="G271" s="33" t="n"/>
      <c r="H271" s="32" t="n"/>
      <c r="I271" s="22">
        <f>IF(G271="","",ROUND(G271*N(H271)/100,2))</f>
        <v/>
      </c>
      <c r="J271" s="32" t="n"/>
      <c r="K271" s="22">
        <f>IF(G271="","",ROUND(G271*N(J271)/100,2))</f>
        <v/>
      </c>
      <c r="L271" s="22">
        <f>IF(G271="","",G271+I271-K271)</f>
        <v/>
      </c>
      <c r="M271" s="35">
        <f>IF(B271="","",ROUNDUP(MONTH(B271)/3,0))</f>
        <v/>
      </c>
      <c r="N271" s="35">
        <f>IF(B271="","",YEAR(B271))</f>
        <v/>
      </c>
    </row>
    <row r="272">
      <c r="B272" s="37" t="n"/>
      <c r="C272" s="31" t="n"/>
      <c r="D272" s="31" t="n"/>
      <c r="E272" s="31" t="n"/>
      <c r="F272" s="31" t="n"/>
      <c r="G272" s="33" t="n"/>
      <c r="H272" s="32" t="n"/>
      <c r="I272" s="22">
        <f>IF(G272="","",ROUND(G272*N(H272)/100,2))</f>
        <v/>
      </c>
      <c r="J272" s="32" t="n"/>
      <c r="K272" s="22">
        <f>IF(G272="","",ROUND(G272*N(J272)/100,2))</f>
        <v/>
      </c>
      <c r="L272" s="22">
        <f>IF(G272="","",G272+I272-K272)</f>
        <v/>
      </c>
      <c r="M272" s="35">
        <f>IF(B272="","",ROUNDUP(MONTH(B272)/3,0))</f>
        <v/>
      </c>
      <c r="N272" s="35">
        <f>IF(B272="","",YEAR(B272))</f>
        <v/>
      </c>
    </row>
    <row r="273">
      <c r="B273" s="37" t="n"/>
      <c r="C273" s="31" t="n"/>
      <c r="D273" s="31" t="n"/>
      <c r="E273" s="31" t="n"/>
      <c r="F273" s="31" t="n"/>
      <c r="G273" s="33" t="n"/>
      <c r="H273" s="32" t="n"/>
      <c r="I273" s="22">
        <f>IF(G273="","",ROUND(G273*N(H273)/100,2))</f>
        <v/>
      </c>
      <c r="J273" s="32" t="n"/>
      <c r="K273" s="22">
        <f>IF(G273="","",ROUND(G273*N(J273)/100,2))</f>
        <v/>
      </c>
      <c r="L273" s="22">
        <f>IF(G273="","",G273+I273-K273)</f>
        <v/>
      </c>
      <c r="M273" s="35">
        <f>IF(B273="","",ROUNDUP(MONTH(B273)/3,0))</f>
        <v/>
      </c>
      <c r="N273" s="35">
        <f>IF(B273="","",YEAR(B273))</f>
        <v/>
      </c>
    </row>
    <row r="274">
      <c r="B274" s="37" t="n"/>
      <c r="C274" s="31" t="n"/>
      <c r="D274" s="31" t="n"/>
      <c r="E274" s="31" t="n"/>
      <c r="F274" s="31" t="n"/>
      <c r="G274" s="33" t="n"/>
      <c r="H274" s="32" t="n"/>
      <c r="I274" s="22">
        <f>IF(G274="","",ROUND(G274*N(H274)/100,2))</f>
        <v/>
      </c>
      <c r="J274" s="32" t="n"/>
      <c r="K274" s="22">
        <f>IF(G274="","",ROUND(G274*N(J274)/100,2))</f>
        <v/>
      </c>
      <c r="L274" s="22">
        <f>IF(G274="","",G274+I274-K274)</f>
        <v/>
      </c>
      <c r="M274" s="35">
        <f>IF(B274="","",ROUNDUP(MONTH(B274)/3,0))</f>
        <v/>
      </c>
      <c r="N274" s="35">
        <f>IF(B274="","",YEAR(B274))</f>
        <v/>
      </c>
    </row>
    <row r="275">
      <c r="B275" s="37" t="n"/>
      <c r="C275" s="31" t="n"/>
      <c r="D275" s="31" t="n"/>
      <c r="E275" s="31" t="n"/>
      <c r="F275" s="31" t="n"/>
      <c r="G275" s="33" t="n"/>
      <c r="H275" s="32" t="n"/>
      <c r="I275" s="22">
        <f>IF(G275="","",ROUND(G275*N(H275)/100,2))</f>
        <v/>
      </c>
      <c r="J275" s="32" t="n"/>
      <c r="K275" s="22">
        <f>IF(G275="","",ROUND(G275*N(J275)/100,2))</f>
        <v/>
      </c>
      <c r="L275" s="22">
        <f>IF(G275="","",G275+I275-K275)</f>
        <v/>
      </c>
      <c r="M275" s="35">
        <f>IF(B275="","",ROUNDUP(MONTH(B275)/3,0))</f>
        <v/>
      </c>
      <c r="N275" s="35">
        <f>IF(B275="","",YEAR(B275))</f>
        <v/>
      </c>
    </row>
    <row r="276">
      <c r="B276" s="37" t="n"/>
      <c r="C276" s="31" t="n"/>
      <c r="D276" s="31" t="n"/>
      <c r="E276" s="31" t="n"/>
      <c r="F276" s="31" t="n"/>
      <c r="G276" s="33" t="n"/>
      <c r="H276" s="32" t="n"/>
      <c r="I276" s="22">
        <f>IF(G276="","",ROUND(G276*N(H276)/100,2))</f>
        <v/>
      </c>
      <c r="J276" s="32" t="n"/>
      <c r="K276" s="22">
        <f>IF(G276="","",ROUND(G276*N(J276)/100,2))</f>
        <v/>
      </c>
      <c r="L276" s="22">
        <f>IF(G276="","",G276+I276-K276)</f>
        <v/>
      </c>
      <c r="M276" s="35">
        <f>IF(B276="","",ROUNDUP(MONTH(B276)/3,0))</f>
        <v/>
      </c>
      <c r="N276" s="35">
        <f>IF(B276="","",YEAR(B276))</f>
        <v/>
      </c>
    </row>
    <row r="277">
      <c r="B277" s="37" t="n"/>
      <c r="C277" s="31" t="n"/>
      <c r="D277" s="31" t="n"/>
      <c r="E277" s="31" t="n"/>
      <c r="F277" s="31" t="n"/>
      <c r="G277" s="33" t="n"/>
      <c r="H277" s="32" t="n"/>
      <c r="I277" s="22">
        <f>IF(G277="","",ROUND(G277*N(H277)/100,2))</f>
        <v/>
      </c>
      <c r="J277" s="32" t="n"/>
      <c r="K277" s="22">
        <f>IF(G277="","",ROUND(G277*N(J277)/100,2))</f>
        <v/>
      </c>
      <c r="L277" s="22">
        <f>IF(G277="","",G277+I277-K277)</f>
        <v/>
      </c>
      <c r="M277" s="35">
        <f>IF(B277="","",ROUNDUP(MONTH(B277)/3,0))</f>
        <v/>
      </c>
      <c r="N277" s="35">
        <f>IF(B277="","",YEAR(B277))</f>
        <v/>
      </c>
    </row>
    <row r="278">
      <c r="B278" s="37" t="n"/>
      <c r="C278" s="31" t="n"/>
      <c r="D278" s="31" t="n"/>
      <c r="E278" s="31" t="n"/>
      <c r="F278" s="31" t="n"/>
      <c r="G278" s="33" t="n"/>
      <c r="H278" s="32" t="n"/>
      <c r="I278" s="22">
        <f>IF(G278="","",ROUND(G278*N(H278)/100,2))</f>
        <v/>
      </c>
      <c r="J278" s="32" t="n"/>
      <c r="K278" s="22">
        <f>IF(G278="","",ROUND(G278*N(J278)/100,2))</f>
        <v/>
      </c>
      <c r="L278" s="22">
        <f>IF(G278="","",G278+I278-K278)</f>
        <v/>
      </c>
      <c r="M278" s="35">
        <f>IF(B278="","",ROUNDUP(MONTH(B278)/3,0))</f>
        <v/>
      </c>
      <c r="N278" s="35">
        <f>IF(B278="","",YEAR(B278))</f>
        <v/>
      </c>
    </row>
    <row r="279">
      <c r="B279" s="37" t="n"/>
      <c r="C279" s="31" t="n"/>
      <c r="D279" s="31" t="n"/>
      <c r="E279" s="31" t="n"/>
      <c r="F279" s="31" t="n"/>
      <c r="G279" s="33" t="n"/>
      <c r="H279" s="32" t="n"/>
      <c r="I279" s="22">
        <f>IF(G279="","",ROUND(G279*N(H279)/100,2))</f>
        <v/>
      </c>
      <c r="J279" s="32" t="n"/>
      <c r="K279" s="22">
        <f>IF(G279="","",ROUND(G279*N(J279)/100,2))</f>
        <v/>
      </c>
      <c r="L279" s="22">
        <f>IF(G279="","",G279+I279-K279)</f>
        <v/>
      </c>
      <c r="M279" s="35">
        <f>IF(B279="","",ROUNDUP(MONTH(B279)/3,0))</f>
        <v/>
      </c>
      <c r="N279" s="35">
        <f>IF(B279="","",YEAR(B279))</f>
        <v/>
      </c>
    </row>
    <row r="280">
      <c r="B280" s="37" t="n"/>
      <c r="C280" s="31" t="n"/>
      <c r="D280" s="31" t="n"/>
      <c r="E280" s="31" t="n"/>
      <c r="F280" s="31" t="n"/>
      <c r="G280" s="33" t="n"/>
      <c r="H280" s="32" t="n"/>
      <c r="I280" s="22">
        <f>IF(G280="","",ROUND(G280*N(H280)/100,2))</f>
        <v/>
      </c>
      <c r="J280" s="32" t="n"/>
      <c r="K280" s="22">
        <f>IF(G280="","",ROUND(G280*N(J280)/100,2))</f>
        <v/>
      </c>
      <c r="L280" s="22">
        <f>IF(G280="","",G280+I280-K280)</f>
        <v/>
      </c>
      <c r="M280" s="35">
        <f>IF(B280="","",ROUNDUP(MONTH(B280)/3,0))</f>
        <v/>
      </c>
      <c r="N280" s="35">
        <f>IF(B280="","",YEAR(B280))</f>
        <v/>
      </c>
    </row>
    <row r="281">
      <c r="B281" s="37" t="n"/>
      <c r="C281" s="31" t="n"/>
      <c r="D281" s="31" t="n"/>
      <c r="E281" s="31" t="n"/>
      <c r="F281" s="31" t="n"/>
      <c r="G281" s="33" t="n"/>
      <c r="H281" s="32" t="n"/>
      <c r="I281" s="22">
        <f>IF(G281="","",ROUND(G281*N(H281)/100,2))</f>
        <v/>
      </c>
      <c r="J281" s="32" t="n"/>
      <c r="K281" s="22">
        <f>IF(G281="","",ROUND(G281*N(J281)/100,2))</f>
        <v/>
      </c>
      <c r="L281" s="22">
        <f>IF(G281="","",G281+I281-K281)</f>
        <v/>
      </c>
      <c r="M281" s="35">
        <f>IF(B281="","",ROUNDUP(MONTH(B281)/3,0))</f>
        <v/>
      </c>
      <c r="N281" s="35">
        <f>IF(B281="","",YEAR(B281))</f>
        <v/>
      </c>
    </row>
    <row r="282">
      <c r="B282" s="37" t="n"/>
      <c r="C282" s="31" t="n"/>
      <c r="D282" s="31" t="n"/>
      <c r="E282" s="31" t="n"/>
      <c r="F282" s="31" t="n"/>
      <c r="G282" s="33" t="n"/>
      <c r="H282" s="32" t="n"/>
      <c r="I282" s="22">
        <f>IF(G282="","",ROUND(G282*N(H282)/100,2))</f>
        <v/>
      </c>
      <c r="J282" s="32" t="n"/>
      <c r="K282" s="22">
        <f>IF(G282="","",ROUND(G282*N(J282)/100,2))</f>
        <v/>
      </c>
      <c r="L282" s="22">
        <f>IF(G282="","",G282+I282-K282)</f>
        <v/>
      </c>
      <c r="M282" s="35">
        <f>IF(B282="","",ROUNDUP(MONTH(B282)/3,0))</f>
        <v/>
      </c>
      <c r="N282" s="35">
        <f>IF(B282="","",YEAR(B282))</f>
        <v/>
      </c>
    </row>
    <row r="283">
      <c r="B283" s="37" t="n"/>
      <c r="C283" s="31" t="n"/>
      <c r="D283" s="31" t="n"/>
      <c r="E283" s="31" t="n"/>
      <c r="F283" s="31" t="n"/>
      <c r="G283" s="33" t="n"/>
      <c r="H283" s="32" t="n"/>
      <c r="I283" s="22">
        <f>IF(G283="","",ROUND(G283*N(H283)/100,2))</f>
        <v/>
      </c>
      <c r="J283" s="32" t="n"/>
      <c r="K283" s="22">
        <f>IF(G283="","",ROUND(G283*N(J283)/100,2))</f>
        <v/>
      </c>
      <c r="L283" s="22">
        <f>IF(G283="","",G283+I283-K283)</f>
        <v/>
      </c>
      <c r="M283" s="35">
        <f>IF(B283="","",ROUNDUP(MONTH(B283)/3,0))</f>
        <v/>
      </c>
      <c r="N283" s="35">
        <f>IF(B283="","",YEAR(B283))</f>
        <v/>
      </c>
    </row>
    <row r="284">
      <c r="B284" s="37" t="n"/>
      <c r="C284" s="31" t="n"/>
      <c r="D284" s="31" t="n"/>
      <c r="E284" s="31" t="n"/>
      <c r="F284" s="31" t="n"/>
      <c r="G284" s="33" t="n"/>
      <c r="H284" s="32" t="n"/>
      <c r="I284" s="22">
        <f>IF(G284="","",ROUND(G284*N(H284)/100,2))</f>
        <v/>
      </c>
      <c r="J284" s="32" t="n"/>
      <c r="K284" s="22">
        <f>IF(G284="","",ROUND(G284*N(J284)/100,2))</f>
        <v/>
      </c>
      <c r="L284" s="22">
        <f>IF(G284="","",G284+I284-K284)</f>
        <v/>
      </c>
      <c r="M284" s="35">
        <f>IF(B284="","",ROUNDUP(MONTH(B284)/3,0))</f>
        <v/>
      </c>
      <c r="N284" s="35">
        <f>IF(B284="","",YEAR(B284))</f>
        <v/>
      </c>
    </row>
    <row r="285">
      <c r="B285" s="37" t="n"/>
      <c r="C285" s="31" t="n"/>
      <c r="D285" s="31" t="n"/>
      <c r="E285" s="31" t="n"/>
      <c r="F285" s="31" t="n"/>
      <c r="G285" s="33" t="n"/>
      <c r="H285" s="32" t="n"/>
      <c r="I285" s="22">
        <f>IF(G285="","",ROUND(G285*N(H285)/100,2))</f>
        <v/>
      </c>
      <c r="J285" s="32" t="n"/>
      <c r="K285" s="22">
        <f>IF(G285="","",ROUND(G285*N(J285)/100,2))</f>
        <v/>
      </c>
      <c r="L285" s="22">
        <f>IF(G285="","",G285+I285-K285)</f>
        <v/>
      </c>
      <c r="M285" s="35">
        <f>IF(B285="","",ROUNDUP(MONTH(B285)/3,0))</f>
        <v/>
      </c>
      <c r="N285" s="35">
        <f>IF(B285="","",YEAR(B285))</f>
        <v/>
      </c>
    </row>
    <row r="286">
      <c r="B286" s="37" t="n"/>
      <c r="C286" s="31" t="n"/>
      <c r="D286" s="31" t="n"/>
      <c r="E286" s="31" t="n"/>
      <c r="F286" s="31" t="n"/>
      <c r="G286" s="33" t="n"/>
      <c r="H286" s="32" t="n"/>
      <c r="I286" s="22">
        <f>IF(G286="","",ROUND(G286*N(H286)/100,2))</f>
        <v/>
      </c>
      <c r="J286" s="32" t="n"/>
      <c r="K286" s="22">
        <f>IF(G286="","",ROUND(G286*N(J286)/100,2))</f>
        <v/>
      </c>
      <c r="L286" s="22">
        <f>IF(G286="","",G286+I286-K286)</f>
        <v/>
      </c>
      <c r="M286" s="35">
        <f>IF(B286="","",ROUNDUP(MONTH(B286)/3,0))</f>
        <v/>
      </c>
      <c r="N286" s="35">
        <f>IF(B286="","",YEAR(B286))</f>
        <v/>
      </c>
    </row>
    <row r="287">
      <c r="B287" s="37" t="n"/>
      <c r="C287" s="31" t="n"/>
      <c r="D287" s="31" t="n"/>
      <c r="E287" s="31" t="n"/>
      <c r="F287" s="31" t="n"/>
      <c r="G287" s="33" t="n"/>
      <c r="H287" s="32" t="n"/>
      <c r="I287" s="22">
        <f>IF(G287="","",ROUND(G287*N(H287)/100,2))</f>
        <v/>
      </c>
      <c r="J287" s="32" t="n"/>
      <c r="K287" s="22">
        <f>IF(G287="","",ROUND(G287*N(J287)/100,2))</f>
        <v/>
      </c>
      <c r="L287" s="22">
        <f>IF(G287="","",G287+I287-K287)</f>
        <v/>
      </c>
      <c r="M287" s="35">
        <f>IF(B287="","",ROUNDUP(MONTH(B287)/3,0))</f>
        <v/>
      </c>
      <c r="N287" s="35">
        <f>IF(B287="","",YEAR(B287))</f>
        <v/>
      </c>
    </row>
    <row r="288">
      <c r="B288" s="37" t="n"/>
      <c r="C288" s="31" t="n"/>
      <c r="D288" s="31" t="n"/>
      <c r="E288" s="31" t="n"/>
      <c r="F288" s="31" t="n"/>
      <c r="G288" s="33" t="n"/>
      <c r="H288" s="32" t="n"/>
      <c r="I288" s="22">
        <f>IF(G288="","",ROUND(G288*N(H288)/100,2))</f>
        <v/>
      </c>
      <c r="J288" s="32" t="n"/>
      <c r="K288" s="22">
        <f>IF(G288="","",ROUND(G288*N(J288)/100,2))</f>
        <v/>
      </c>
      <c r="L288" s="22">
        <f>IF(G288="","",G288+I288-K288)</f>
        <v/>
      </c>
      <c r="M288" s="35">
        <f>IF(B288="","",ROUNDUP(MONTH(B288)/3,0))</f>
        <v/>
      </c>
      <c r="N288" s="35">
        <f>IF(B288="","",YEAR(B288))</f>
        <v/>
      </c>
    </row>
    <row r="289">
      <c r="B289" s="37" t="n"/>
      <c r="C289" s="31" t="n"/>
      <c r="D289" s="31" t="n"/>
      <c r="E289" s="31" t="n"/>
      <c r="F289" s="31" t="n"/>
      <c r="G289" s="33" t="n"/>
      <c r="H289" s="32" t="n"/>
      <c r="I289" s="22">
        <f>IF(G289="","",ROUND(G289*N(H289)/100,2))</f>
        <v/>
      </c>
      <c r="J289" s="32" t="n"/>
      <c r="K289" s="22">
        <f>IF(G289="","",ROUND(G289*N(J289)/100,2))</f>
        <v/>
      </c>
      <c r="L289" s="22">
        <f>IF(G289="","",G289+I289-K289)</f>
        <v/>
      </c>
      <c r="M289" s="35">
        <f>IF(B289="","",ROUNDUP(MONTH(B289)/3,0))</f>
        <v/>
      </c>
      <c r="N289" s="35">
        <f>IF(B289="","",YEAR(B289))</f>
        <v/>
      </c>
    </row>
    <row r="290">
      <c r="B290" s="37" t="n"/>
      <c r="C290" s="31" t="n"/>
      <c r="D290" s="31" t="n"/>
      <c r="E290" s="31" t="n"/>
      <c r="F290" s="31" t="n"/>
      <c r="G290" s="33" t="n"/>
      <c r="H290" s="32" t="n"/>
      <c r="I290" s="22">
        <f>IF(G290="","",ROUND(G290*N(H290)/100,2))</f>
        <v/>
      </c>
      <c r="J290" s="32" t="n"/>
      <c r="K290" s="22">
        <f>IF(G290="","",ROUND(G290*N(J290)/100,2))</f>
        <v/>
      </c>
      <c r="L290" s="22">
        <f>IF(G290="","",G290+I290-K290)</f>
        <v/>
      </c>
      <c r="M290" s="35">
        <f>IF(B290="","",ROUNDUP(MONTH(B290)/3,0))</f>
        <v/>
      </c>
      <c r="N290" s="35">
        <f>IF(B290="","",YEAR(B290))</f>
        <v/>
      </c>
    </row>
    <row r="291">
      <c r="B291" s="37" t="n"/>
      <c r="C291" s="31" t="n"/>
      <c r="D291" s="31" t="n"/>
      <c r="E291" s="31" t="n"/>
      <c r="F291" s="31" t="n"/>
      <c r="G291" s="33" t="n"/>
      <c r="H291" s="32" t="n"/>
      <c r="I291" s="22">
        <f>IF(G291="","",ROUND(G291*N(H291)/100,2))</f>
        <v/>
      </c>
      <c r="J291" s="32" t="n"/>
      <c r="K291" s="22">
        <f>IF(G291="","",ROUND(G291*N(J291)/100,2))</f>
        <v/>
      </c>
      <c r="L291" s="22">
        <f>IF(G291="","",G291+I291-K291)</f>
        <v/>
      </c>
      <c r="M291" s="35">
        <f>IF(B291="","",ROUNDUP(MONTH(B291)/3,0))</f>
        <v/>
      </c>
      <c r="N291" s="35">
        <f>IF(B291="","",YEAR(B291))</f>
        <v/>
      </c>
    </row>
    <row r="292">
      <c r="B292" s="37" t="n"/>
      <c r="C292" s="31" t="n"/>
      <c r="D292" s="31" t="n"/>
      <c r="E292" s="31" t="n"/>
      <c r="F292" s="31" t="n"/>
      <c r="G292" s="33" t="n"/>
      <c r="H292" s="32" t="n"/>
      <c r="I292" s="22">
        <f>IF(G292="","",ROUND(G292*N(H292)/100,2))</f>
        <v/>
      </c>
      <c r="J292" s="32" t="n"/>
      <c r="K292" s="22">
        <f>IF(G292="","",ROUND(G292*N(J292)/100,2))</f>
        <v/>
      </c>
      <c r="L292" s="22">
        <f>IF(G292="","",G292+I292-K292)</f>
        <v/>
      </c>
      <c r="M292" s="35">
        <f>IF(B292="","",ROUNDUP(MONTH(B292)/3,0))</f>
        <v/>
      </c>
      <c r="N292" s="35">
        <f>IF(B292="","",YEAR(B292))</f>
        <v/>
      </c>
    </row>
    <row r="293">
      <c r="B293" s="37" t="n"/>
      <c r="C293" s="31" t="n"/>
      <c r="D293" s="31" t="n"/>
      <c r="E293" s="31" t="n"/>
      <c r="F293" s="31" t="n"/>
      <c r="G293" s="33" t="n"/>
      <c r="H293" s="32" t="n"/>
      <c r="I293" s="22">
        <f>IF(G293="","",ROUND(G293*N(H293)/100,2))</f>
        <v/>
      </c>
      <c r="J293" s="32" t="n"/>
      <c r="K293" s="22">
        <f>IF(G293="","",ROUND(G293*N(J293)/100,2))</f>
        <v/>
      </c>
      <c r="L293" s="22">
        <f>IF(G293="","",G293+I293-K293)</f>
        <v/>
      </c>
      <c r="M293" s="35">
        <f>IF(B293="","",ROUNDUP(MONTH(B293)/3,0))</f>
        <v/>
      </c>
      <c r="N293" s="35">
        <f>IF(B293="","",YEAR(B293))</f>
        <v/>
      </c>
    </row>
    <row r="294">
      <c r="B294" s="37" t="n"/>
      <c r="C294" s="31" t="n"/>
      <c r="D294" s="31" t="n"/>
      <c r="E294" s="31" t="n"/>
      <c r="F294" s="31" t="n"/>
      <c r="G294" s="33" t="n"/>
      <c r="H294" s="32" t="n"/>
      <c r="I294" s="22">
        <f>IF(G294="","",ROUND(G294*N(H294)/100,2))</f>
        <v/>
      </c>
      <c r="J294" s="32" t="n"/>
      <c r="K294" s="22">
        <f>IF(G294="","",ROUND(G294*N(J294)/100,2))</f>
        <v/>
      </c>
      <c r="L294" s="22">
        <f>IF(G294="","",G294+I294-K294)</f>
        <v/>
      </c>
      <c r="M294" s="35">
        <f>IF(B294="","",ROUNDUP(MONTH(B294)/3,0))</f>
        <v/>
      </c>
      <c r="N294" s="35">
        <f>IF(B294="","",YEAR(B294))</f>
        <v/>
      </c>
    </row>
    <row r="295">
      <c r="B295" s="37" t="n"/>
      <c r="C295" s="31" t="n"/>
      <c r="D295" s="31" t="n"/>
      <c r="E295" s="31" t="n"/>
      <c r="F295" s="31" t="n"/>
      <c r="G295" s="33" t="n"/>
      <c r="H295" s="32" t="n"/>
      <c r="I295" s="22">
        <f>IF(G295="","",ROUND(G295*N(H295)/100,2))</f>
        <v/>
      </c>
      <c r="J295" s="32" t="n"/>
      <c r="K295" s="22">
        <f>IF(G295="","",ROUND(G295*N(J295)/100,2))</f>
        <v/>
      </c>
      <c r="L295" s="22">
        <f>IF(G295="","",G295+I295-K295)</f>
        <v/>
      </c>
      <c r="M295" s="35">
        <f>IF(B295="","",ROUNDUP(MONTH(B295)/3,0))</f>
        <v/>
      </c>
      <c r="N295" s="35">
        <f>IF(B295="","",YEAR(B295))</f>
        <v/>
      </c>
    </row>
    <row r="296">
      <c r="B296" s="37" t="n"/>
      <c r="C296" s="31" t="n"/>
      <c r="D296" s="31" t="n"/>
      <c r="E296" s="31" t="n"/>
      <c r="F296" s="31" t="n"/>
      <c r="G296" s="33" t="n"/>
      <c r="H296" s="32" t="n"/>
      <c r="I296" s="22">
        <f>IF(G296="","",ROUND(G296*N(H296)/100,2))</f>
        <v/>
      </c>
      <c r="J296" s="32" t="n"/>
      <c r="K296" s="22">
        <f>IF(G296="","",ROUND(G296*N(J296)/100,2))</f>
        <v/>
      </c>
      <c r="L296" s="22">
        <f>IF(G296="","",G296+I296-K296)</f>
        <v/>
      </c>
      <c r="M296" s="35">
        <f>IF(B296="","",ROUNDUP(MONTH(B296)/3,0))</f>
        <v/>
      </c>
      <c r="N296" s="35">
        <f>IF(B296="","",YEAR(B296))</f>
        <v/>
      </c>
    </row>
    <row r="297">
      <c r="B297" s="37" t="n"/>
      <c r="C297" s="31" t="n"/>
      <c r="D297" s="31" t="n"/>
      <c r="E297" s="31" t="n"/>
      <c r="F297" s="31" t="n"/>
      <c r="G297" s="33" t="n"/>
      <c r="H297" s="32" t="n"/>
      <c r="I297" s="22">
        <f>IF(G297="","",ROUND(G297*N(H297)/100,2))</f>
        <v/>
      </c>
      <c r="J297" s="32" t="n"/>
      <c r="K297" s="22">
        <f>IF(G297="","",ROUND(G297*N(J297)/100,2))</f>
        <v/>
      </c>
      <c r="L297" s="22">
        <f>IF(G297="","",G297+I297-K297)</f>
        <v/>
      </c>
      <c r="M297" s="35">
        <f>IF(B297="","",ROUNDUP(MONTH(B297)/3,0))</f>
        <v/>
      </c>
      <c r="N297" s="35">
        <f>IF(B297="","",YEAR(B297))</f>
        <v/>
      </c>
    </row>
    <row r="298">
      <c r="B298" s="37" t="n"/>
      <c r="C298" s="31" t="n"/>
      <c r="D298" s="31" t="n"/>
      <c r="E298" s="31" t="n"/>
      <c r="F298" s="31" t="n"/>
      <c r="G298" s="33" t="n"/>
      <c r="H298" s="32" t="n"/>
      <c r="I298" s="22">
        <f>IF(G298="","",ROUND(G298*N(H298)/100,2))</f>
        <v/>
      </c>
      <c r="J298" s="32" t="n"/>
      <c r="K298" s="22">
        <f>IF(G298="","",ROUND(G298*N(J298)/100,2))</f>
        <v/>
      </c>
      <c r="L298" s="22">
        <f>IF(G298="","",G298+I298-K298)</f>
        <v/>
      </c>
      <c r="M298" s="35">
        <f>IF(B298="","",ROUNDUP(MONTH(B298)/3,0))</f>
        <v/>
      </c>
      <c r="N298" s="35">
        <f>IF(B298="","",YEAR(B298))</f>
        <v/>
      </c>
    </row>
    <row r="299">
      <c r="B299" s="37" t="n"/>
      <c r="C299" s="31" t="n"/>
      <c r="D299" s="31" t="n"/>
      <c r="E299" s="31" t="n"/>
      <c r="F299" s="31" t="n"/>
      <c r="G299" s="33" t="n"/>
      <c r="H299" s="32" t="n"/>
      <c r="I299" s="22">
        <f>IF(G299="","",ROUND(G299*N(H299)/100,2))</f>
        <v/>
      </c>
      <c r="J299" s="32" t="n"/>
      <c r="K299" s="22">
        <f>IF(G299="","",ROUND(G299*N(J299)/100,2))</f>
        <v/>
      </c>
      <c r="L299" s="22">
        <f>IF(G299="","",G299+I299-K299)</f>
        <v/>
      </c>
      <c r="M299" s="35">
        <f>IF(B299="","",ROUNDUP(MONTH(B299)/3,0))</f>
        <v/>
      </c>
      <c r="N299" s="35">
        <f>IF(B299="","",YEAR(B299))</f>
        <v/>
      </c>
    </row>
    <row r="300">
      <c r="B300" s="37" t="n"/>
      <c r="C300" s="31" t="n"/>
      <c r="D300" s="31" t="n"/>
      <c r="E300" s="31" t="n"/>
      <c r="F300" s="31" t="n"/>
      <c r="G300" s="33" t="n"/>
      <c r="H300" s="32" t="n"/>
      <c r="I300" s="22">
        <f>IF(G300="","",ROUND(G300*N(H300)/100,2))</f>
        <v/>
      </c>
      <c r="J300" s="32" t="n"/>
      <c r="K300" s="22">
        <f>IF(G300="","",ROUND(G300*N(J300)/100,2))</f>
        <v/>
      </c>
      <c r="L300" s="22">
        <f>IF(G300="","",G300+I300-K300)</f>
        <v/>
      </c>
      <c r="M300" s="35">
        <f>IF(B300="","",ROUNDUP(MONTH(B300)/3,0))</f>
        <v/>
      </c>
      <c r="N300" s="35">
        <f>IF(B300="","",YEAR(B300))</f>
        <v/>
      </c>
    </row>
    <row r="301">
      <c r="B301" s="37" t="n"/>
      <c r="C301" s="31" t="n"/>
      <c r="D301" s="31" t="n"/>
      <c r="E301" s="31" t="n"/>
      <c r="F301" s="31" t="n"/>
      <c r="G301" s="33" t="n"/>
      <c r="H301" s="32" t="n"/>
      <c r="I301" s="22">
        <f>IF(G301="","",ROUND(G301*N(H301)/100,2))</f>
        <v/>
      </c>
      <c r="J301" s="32" t="n"/>
      <c r="K301" s="22">
        <f>IF(G301="","",ROUND(G301*N(J301)/100,2))</f>
        <v/>
      </c>
      <c r="L301" s="22">
        <f>IF(G301="","",G301+I301-K301)</f>
        <v/>
      </c>
      <c r="M301" s="35">
        <f>IF(B301="","",ROUNDUP(MONTH(B301)/3,0))</f>
        <v/>
      </c>
      <c r="N301" s="35">
        <f>IF(B301="","",YEAR(B301))</f>
        <v/>
      </c>
    </row>
    <row r="302">
      <c r="B302" s="37" t="n"/>
      <c r="C302" s="31" t="n"/>
      <c r="D302" s="31" t="n"/>
      <c r="E302" s="31" t="n"/>
      <c r="F302" s="31" t="n"/>
      <c r="G302" s="33" t="n"/>
      <c r="H302" s="32" t="n"/>
      <c r="I302" s="22">
        <f>IF(G302="","",ROUND(G302*N(H302)/100,2))</f>
        <v/>
      </c>
      <c r="J302" s="32" t="n"/>
      <c r="K302" s="22">
        <f>IF(G302="","",ROUND(G302*N(J302)/100,2))</f>
        <v/>
      </c>
      <c r="L302" s="22">
        <f>IF(G302="","",G302+I302-K302)</f>
        <v/>
      </c>
      <c r="M302" s="35">
        <f>IF(B302="","",ROUNDUP(MONTH(B302)/3,0))</f>
        <v/>
      </c>
      <c r="N302" s="35">
        <f>IF(B302="","",YEAR(B302))</f>
        <v/>
      </c>
    </row>
    <row r="303">
      <c r="B303" s="37" t="n"/>
      <c r="C303" s="31" t="n"/>
      <c r="D303" s="31" t="n"/>
      <c r="E303" s="31" t="n"/>
      <c r="F303" s="31" t="n"/>
      <c r="G303" s="33" t="n"/>
      <c r="H303" s="32" t="n"/>
      <c r="I303" s="22">
        <f>IF(G303="","",ROUND(G303*N(H303)/100,2))</f>
        <v/>
      </c>
      <c r="J303" s="32" t="n"/>
      <c r="K303" s="22">
        <f>IF(G303="","",ROUND(G303*N(J303)/100,2))</f>
        <v/>
      </c>
      <c r="L303" s="22">
        <f>IF(G303="","",G303+I303-K303)</f>
        <v/>
      </c>
      <c r="M303" s="35">
        <f>IF(B303="","",ROUNDUP(MONTH(B303)/3,0))</f>
        <v/>
      </c>
      <c r="N303" s="35">
        <f>IF(B303="","",YEAR(B303))</f>
        <v/>
      </c>
    </row>
    <row r="304">
      <c r="B304" s="37" t="n"/>
      <c r="C304" s="31" t="n"/>
      <c r="D304" s="31" t="n"/>
      <c r="E304" s="31" t="n"/>
      <c r="F304" s="31" t="n"/>
      <c r="G304" s="33" t="n"/>
      <c r="H304" s="32" t="n"/>
      <c r="I304" s="22">
        <f>IF(G304="","",ROUND(G304*N(H304)/100,2))</f>
        <v/>
      </c>
      <c r="J304" s="32" t="n"/>
      <c r="K304" s="22">
        <f>IF(G304="","",ROUND(G304*N(J304)/100,2))</f>
        <v/>
      </c>
      <c r="L304" s="22">
        <f>IF(G304="","",G304+I304-K304)</f>
        <v/>
      </c>
      <c r="M304" s="35">
        <f>IF(B304="","",ROUNDUP(MONTH(B304)/3,0))</f>
        <v/>
      </c>
      <c r="N304" s="35">
        <f>IF(B304="","",YEAR(B304))</f>
        <v/>
      </c>
    </row>
    <row r="305">
      <c r="B305" s="37" t="n"/>
      <c r="C305" s="31" t="n"/>
      <c r="D305" s="31" t="n"/>
      <c r="E305" s="31" t="n"/>
      <c r="F305" s="31" t="n"/>
      <c r="G305" s="33" t="n"/>
      <c r="H305" s="32" t="n"/>
      <c r="I305" s="22">
        <f>IF(G305="","",ROUND(G305*N(H305)/100,2))</f>
        <v/>
      </c>
      <c r="J305" s="32" t="n"/>
      <c r="K305" s="22">
        <f>IF(G305="","",ROUND(G305*N(J305)/100,2))</f>
        <v/>
      </c>
      <c r="L305" s="22">
        <f>IF(G305="","",G305+I305-K305)</f>
        <v/>
      </c>
      <c r="M305" s="35">
        <f>IF(B305="","",ROUNDUP(MONTH(B305)/3,0))</f>
        <v/>
      </c>
      <c r="N305" s="35">
        <f>IF(B305="","",YEAR(B305))</f>
        <v/>
      </c>
    </row>
    <row r="306">
      <c r="B306" s="37" t="n"/>
      <c r="C306" s="31" t="n"/>
      <c r="D306" s="31" t="n"/>
      <c r="E306" s="31" t="n"/>
      <c r="F306" s="31" t="n"/>
      <c r="G306" s="33" t="n"/>
      <c r="H306" s="32" t="n"/>
      <c r="I306" s="22">
        <f>IF(G306="","",ROUND(G306*N(H306)/100,2))</f>
        <v/>
      </c>
      <c r="J306" s="32" t="n"/>
      <c r="K306" s="22">
        <f>IF(G306="","",ROUND(G306*N(J306)/100,2))</f>
        <v/>
      </c>
      <c r="L306" s="22">
        <f>IF(G306="","",G306+I306-K306)</f>
        <v/>
      </c>
      <c r="M306" s="35">
        <f>IF(B306="","",ROUNDUP(MONTH(B306)/3,0))</f>
        <v/>
      </c>
      <c r="N306" s="35">
        <f>IF(B306="","",YEAR(B306))</f>
        <v/>
      </c>
    </row>
    <row r="307">
      <c r="B307" s="37" t="n"/>
      <c r="C307" s="31" t="n"/>
      <c r="D307" s="31" t="n"/>
      <c r="E307" s="31" t="n"/>
      <c r="F307" s="31" t="n"/>
      <c r="G307" s="33" t="n"/>
      <c r="H307" s="32" t="n"/>
      <c r="I307" s="22">
        <f>IF(G307="","",ROUND(G307*N(H307)/100,2))</f>
        <v/>
      </c>
      <c r="J307" s="32" t="n"/>
      <c r="K307" s="22">
        <f>IF(G307="","",ROUND(G307*N(J307)/100,2))</f>
        <v/>
      </c>
      <c r="L307" s="22">
        <f>IF(G307="","",G307+I307-K307)</f>
        <v/>
      </c>
      <c r="M307" s="35">
        <f>IF(B307="","",ROUNDUP(MONTH(B307)/3,0))</f>
        <v/>
      </c>
      <c r="N307" s="35">
        <f>IF(B307="","",YEAR(B307))</f>
        <v/>
      </c>
    </row>
    <row r="308">
      <c r="B308" s="37" t="n"/>
      <c r="C308" s="31" t="n"/>
      <c r="D308" s="31" t="n"/>
      <c r="E308" s="31" t="n"/>
      <c r="F308" s="31" t="n"/>
      <c r="G308" s="33" t="n"/>
      <c r="H308" s="32" t="n"/>
      <c r="I308" s="22">
        <f>IF(G308="","",ROUND(G308*N(H308)/100,2))</f>
        <v/>
      </c>
      <c r="J308" s="32" t="n"/>
      <c r="K308" s="22">
        <f>IF(G308="","",ROUND(G308*N(J308)/100,2))</f>
        <v/>
      </c>
      <c r="L308" s="22">
        <f>IF(G308="","",G308+I308-K308)</f>
        <v/>
      </c>
      <c r="M308" s="35">
        <f>IF(B308="","",ROUNDUP(MONTH(B308)/3,0))</f>
        <v/>
      </c>
      <c r="N308" s="35">
        <f>IF(B308="","",YEAR(B308))</f>
        <v/>
      </c>
    </row>
    <row r="309">
      <c r="B309" s="37" t="n"/>
      <c r="C309" s="31" t="n"/>
      <c r="D309" s="31" t="n"/>
      <c r="E309" s="31" t="n"/>
      <c r="F309" s="31" t="n"/>
      <c r="G309" s="33" t="n"/>
      <c r="H309" s="32" t="n"/>
      <c r="I309" s="22">
        <f>IF(G309="","",ROUND(G309*N(H309)/100,2))</f>
        <v/>
      </c>
      <c r="J309" s="32" t="n"/>
      <c r="K309" s="22">
        <f>IF(G309="","",ROUND(G309*N(J309)/100,2))</f>
        <v/>
      </c>
      <c r="L309" s="22">
        <f>IF(G309="","",G309+I309-K309)</f>
        <v/>
      </c>
      <c r="M309" s="35">
        <f>IF(B309="","",ROUNDUP(MONTH(B309)/3,0))</f>
        <v/>
      </c>
      <c r="N309" s="35">
        <f>IF(B309="","",YEAR(B309))</f>
        <v/>
      </c>
    </row>
    <row r="310">
      <c r="B310" s="37" t="n"/>
      <c r="C310" s="31" t="n"/>
      <c r="D310" s="31" t="n"/>
      <c r="E310" s="31" t="n"/>
      <c r="F310" s="31" t="n"/>
      <c r="G310" s="33" t="n"/>
      <c r="H310" s="32" t="n"/>
      <c r="I310" s="22">
        <f>IF(G310="","",ROUND(G310*N(H310)/100,2))</f>
        <v/>
      </c>
      <c r="J310" s="32" t="n"/>
      <c r="K310" s="22">
        <f>IF(G310="","",ROUND(G310*N(J310)/100,2))</f>
        <v/>
      </c>
      <c r="L310" s="22">
        <f>IF(G310="","",G310+I310-K310)</f>
        <v/>
      </c>
      <c r="M310" s="35">
        <f>IF(B310="","",ROUNDUP(MONTH(B310)/3,0))</f>
        <v/>
      </c>
      <c r="N310" s="35">
        <f>IF(B310="","",YEAR(B310))</f>
        <v/>
      </c>
    </row>
    <row r="311">
      <c r="B311" s="37" t="n"/>
      <c r="C311" s="31" t="n"/>
      <c r="D311" s="31" t="n"/>
      <c r="E311" s="31" t="n"/>
      <c r="F311" s="31" t="n"/>
      <c r="G311" s="33" t="n"/>
      <c r="H311" s="32" t="n"/>
      <c r="I311" s="22">
        <f>IF(G311="","",ROUND(G311*N(H311)/100,2))</f>
        <v/>
      </c>
      <c r="J311" s="32" t="n"/>
      <c r="K311" s="22">
        <f>IF(G311="","",ROUND(G311*N(J311)/100,2))</f>
        <v/>
      </c>
      <c r="L311" s="22">
        <f>IF(G311="","",G311+I311-K311)</f>
        <v/>
      </c>
      <c r="M311" s="35">
        <f>IF(B311="","",ROUNDUP(MONTH(B311)/3,0))</f>
        <v/>
      </c>
      <c r="N311" s="35">
        <f>IF(B311="","",YEAR(B311))</f>
        <v/>
      </c>
    </row>
    <row r="312">
      <c r="B312" s="37" t="n"/>
      <c r="C312" s="31" t="n"/>
      <c r="D312" s="31" t="n"/>
      <c r="E312" s="31" t="n"/>
      <c r="F312" s="31" t="n"/>
      <c r="G312" s="33" t="n"/>
      <c r="H312" s="32" t="n"/>
      <c r="I312" s="22">
        <f>IF(G312="","",ROUND(G312*N(H312)/100,2))</f>
        <v/>
      </c>
      <c r="J312" s="32" t="n"/>
      <c r="K312" s="22">
        <f>IF(G312="","",ROUND(G312*N(J312)/100,2))</f>
        <v/>
      </c>
      <c r="L312" s="22">
        <f>IF(G312="","",G312+I312-K312)</f>
        <v/>
      </c>
      <c r="M312" s="35">
        <f>IF(B312="","",ROUNDUP(MONTH(B312)/3,0))</f>
        <v/>
      </c>
      <c r="N312" s="35">
        <f>IF(B312="","",YEAR(B312))</f>
        <v/>
      </c>
    </row>
    <row r="313">
      <c r="B313" s="37" t="n"/>
      <c r="C313" s="31" t="n"/>
      <c r="D313" s="31" t="n"/>
      <c r="E313" s="31" t="n"/>
      <c r="F313" s="31" t="n"/>
      <c r="G313" s="33" t="n"/>
      <c r="H313" s="32" t="n"/>
      <c r="I313" s="22">
        <f>IF(G313="","",ROUND(G313*N(H313)/100,2))</f>
        <v/>
      </c>
      <c r="J313" s="32" t="n"/>
      <c r="K313" s="22">
        <f>IF(G313="","",ROUND(G313*N(J313)/100,2))</f>
        <v/>
      </c>
      <c r="L313" s="22">
        <f>IF(G313="","",G313+I313-K313)</f>
        <v/>
      </c>
      <c r="M313" s="35">
        <f>IF(B313="","",ROUNDUP(MONTH(B313)/3,0))</f>
        <v/>
      </c>
      <c r="N313" s="35">
        <f>IF(B313="","",YEAR(B313))</f>
        <v/>
      </c>
    </row>
    <row r="314">
      <c r="B314" s="37" t="n"/>
      <c r="C314" s="31" t="n"/>
      <c r="D314" s="31" t="n"/>
      <c r="E314" s="31" t="n"/>
      <c r="F314" s="31" t="n"/>
      <c r="G314" s="33" t="n"/>
      <c r="H314" s="32" t="n"/>
      <c r="I314" s="22">
        <f>IF(G314="","",ROUND(G314*N(H314)/100,2))</f>
        <v/>
      </c>
      <c r="J314" s="32" t="n"/>
      <c r="K314" s="22">
        <f>IF(G314="","",ROUND(G314*N(J314)/100,2))</f>
        <v/>
      </c>
      <c r="L314" s="22">
        <f>IF(G314="","",G314+I314-K314)</f>
        <v/>
      </c>
      <c r="M314" s="35">
        <f>IF(B314="","",ROUNDUP(MONTH(B314)/3,0))</f>
        <v/>
      </c>
      <c r="N314" s="35">
        <f>IF(B314="","",YEAR(B314))</f>
        <v/>
      </c>
    </row>
    <row r="315">
      <c r="B315" s="37" t="n"/>
      <c r="C315" s="31" t="n"/>
      <c r="D315" s="31" t="n"/>
      <c r="E315" s="31" t="n"/>
      <c r="F315" s="31" t="n"/>
      <c r="G315" s="33" t="n"/>
      <c r="H315" s="32" t="n"/>
      <c r="I315" s="22">
        <f>IF(G315="","",ROUND(G315*N(H315)/100,2))</f>
        <v/>
      </c>
      <c r="J315" s="32" t="n"/>
      <c r="K315" s="22">
        <f>IF(G315="","",ROUND(G315*N(J315)/100,2))</f>
        <v/>
      </c>
      <c r="L315" s="22">
        <f>IF(G315="","",G315+I315-K315)</f>
        <v/>
      </c>
      <c r="M315" s="35">
        <f>IF(B315="","",ROUNDUP(MONTH(B315)/3,0))</f>
        <v/>
      </c>
      <c r="N315" s="35">
        <f>IF(B315="","",YEAR(B315))</f>
        <v/>
      </c>
    </row>
    <row r="316">
      <c r="B316" s="37" t="n"/>
      <c r="C316" s="31" t="n"/>
      <c r="D316" s="31" t="n"/>
      <c r="E316" s="31" t="n"/>
      <c r="F316" s="31" t="n"/>
      <c r="G316" s="33" t="n"/>
      <c r="H316" s="32" t="n"/>
      <c r="I316" s="22">
        <f>IF(G316="","",ROUND(G316*N(H316)/100,2))</f>
        <v/>
      </c>
      <c r="J316" s="32" t="n"/>
      <c r="K316" s="22">
        <f>IF(G316="","",ROUND(G316*N(J316)/100,2))</f>
        <v/>
      </c>
      <c r="L316" s="22">
        <f>IF(G316="","",G316+I316-K316)</f>
        <v/>
      </c>
      <c r="M316" s="35">
        <f>IF(B316="","",ROUNDUP(MONTH(B316)/3,0))</f>
        <v/>
      </c>
      <c r="N316" s="35">
        <f>IF(B316="","",YEAR(B316))</f>
        <v/>
      </c>
    </row>
    <row r="317">
      <c r="B317" s="37" t="n"/>
      <c r="C317" s="31" t="n"/>
      <c r="D317" s="31" t="n"/>
      <c r="E317" s="31" t="n"/>
      <c r="F317" s="31" t="n"/>
      <c r="G317" s="33" t="n"/>
      <c r="H317" s="32" t="n"/>
      <c r="I317" s="22">
        <f>IF(G317="","",ROUND(G317*N(H317)/100,2))</f>
        <v/>
      </c>
      <c r="J317" s="32" t="n"/>
      <c r="K317" s="22">
        <f>IF(G317="","",ROUND(G317*N(J317)/100,2))</f>
        <v/>
      </c>
      <c r="L317" s="22">
        <f>IF(G317="","",G317+I317-K317)</f>
        <v/>
      </c>
      <c r="M317" s="35">
        <f>IF(B317="","",ROUNDUP(MONTH(B317)/3,0))</f>
        <v/>
      </c>
      <c r="N317" s="35">
        <f>IF(B317="","",YEAR(B317))</f>
        <v/>
      </c>
    </row>
    <row r="318">
      <c r="B318" s="37" t="n"/>
      <c r="C318" s="31" t="n"/>
      <c r="D318" s="31" t="n"/>
      <c r="E318" s="31" t="n"/>
      <c r="F318" s="31" t="n"/>
      <c r="G318" s="33" t="n"/>
      <c r="H318" s="32" t="n"/>
      <c r="I318" s="22">
        <f>IF(G318="","",ROUND(G318*N(H318)/100,2))</f>
        <v/>
      </c>
      <c r="J318" s="32" t="n"/>
      <c r="K318" s="22">
        <f>IF(G318="","",ROUND(G318*N(J318)/100,2))</f>
        <v/>
      </c>
      <c r="L318" s="22">
        <f>IF(G318="","",G318+I318-K318)</f>
        <v/>
      </c>
      <c r="M318" s="35">
        <f>IF(B318="","",ROUNDUP(MONTH(B318)/3,0))</f>
        <v/>
      </c>
      <c r="N318" s="35">
        <f>IF(B318="","",YEAR(B318))</f>
        <v/>
      </c>
    </row>
    <row r="319">
      <c r="B319" s="37" t="n"/>
      <c r="C319" s="31" t="n"/>
      <c r="D319" s="31" t="n"/>
      <c r="E319" s="31" t="n"/>
      <c r="F319" s="31" t="n"/>
      <c r="G319" s="33" t="n"/>
      <c r="H319" s="32" t="n"/>
      <c r="I319" s="22">
        <f>IF(G319="","",ROUND(G319*N(H319)/100,2))</f>
        <v/>
      </c>
      <c r="J319" s="32" t="n"/>
      <c r="K319" s="22">
        <f>IF(G319="","",ROUND(G319*N(J319)/100,2))</f>
        <v/>
      </c>
      <c r="L319" s="22">
        <f>IF(G319="","",G319+I319-K319)</f>
        <v/>
      </c>
      <c r="M319" s="35">
        <f>IF(B319="","",ROUNDUP(MONTH(B319)/3,0))</f>
        <v/>
      </c>
      <c r="N319" s="35">
        <f>IF(B319="","",YEAR(B319))</f>
        <v/>
      </c>
    </row>
    <row r="320">
      <c r="B320" s="37" t="n"/>
      <c r="C320" s="31" t="n"/>
      <c r="D320" s="31" t="n"/>
      <c r="E320" s="31" t="n"/>
      <c r="F320" s="31" t="n"/>
      <c r="G320" s="33" t="n"/>
      <c r="H320" s="32" t="n"/>
      <c r="I320" s="22">
        <f>IF(G320="","",ROUND(G320*N(H320)/100,2))</f>
        <v/>
      </c>
      <c r="J320" s="32" t="n"/>
      <c r="K320" s="22">
        <f>IF(G320="","",ROUND(G320*N(J320)/100,2))</f>
        <v/>
      </c>
      <c r="L320" s="22">
        <f>IF(G320="","",G320+I320-K320)</f>
        <v/>
      </c>
      <c r="M320" s="35">
        <f>IF(B320="","",ROUNDUP(MONTH(B320)/3,0))</f>
        <v/>
      </c>
      <c r="N320" s="35">
        <f>IF(B320="","",YEAR(B320))</f>
        <v/>
      </c>
    </row>
    <row r="321">
      <c r="B321" s="37" t="n"/>
      <c r="C321" s="31" t="n"/>
      <c r="D321" s="31" t="n"/>
      <c r="E321" s="31" t="n"/>
      <c r="F321" s="31" t="n"/>
      <c r="G321" s="33" t="n"/>
      <c r="H321" s="32" t="n"/>
      <c r="I321" s="22">
        <f>IF(G321="","",ROUND(G321*N(H321)/100,2))</f>
        <v/>
      </c>
      <c r="J321" s="32" t="n"/>
      <c r="K321" s="22">
        <f>IF(G321="","",ROUND(G321*N(J321)/100,2))</f>
        <v/>
      </c>
      <c r="L321" s="22">
        <f>IF(G321="","",G321+I321-K321)</f>
        <v/>
      </c>
      <c r="M321" s="35">
        <f>IF(B321="","",ROUNDUP(MONTH(B321)/3,0))</f>
        <v/>
      </c>
      <c r="N321" s="35">
        <f>IF(B321="","",YEAR(B321))</f>
        <v/>
      </c>
    </row>
    <row r="322">
      <c r="B322" s="37" t="n"/>
      <c r="C322" s="31" t="n"/>
      <c r="D322" s="31" t="n"/>
      <c r="E322" s="31" t="n"/>
      <c r="F322" s="31" t="n"/>
      <c r="G322" s="33" t="n"/>
      <c r="H322" s="32" t="n"/>
      <c r="I322" s="22">
        <f>IF(G322="","",ROUND(G322*N(H322)/100,2))</f>
        <v/>
      </c>
      <c r="J322" s="32" t="n"/>
      <c r="K322" s="22">
        <f>IF(G322="","",ROUND(G322*N(J322)/100,2))</f>
        <v/>
      </c>
      <c r="L322" s="22">
        <f>IF(G322="","",G322+I322-K322)</f>
        <v/>
      </c>
      <c r="M322" s="35">
        <f>IF(B322="","",ROUNDUP(MONTH(B322)/3,0))</f>
        <v/>
      </c>
      <c r="N322" s="35">
        <f>IF(B322="","",YEAR(B322))</f>
        <v/>
      </c>
    </row>
    <row r="323">
      <c r="B323" s="37" t="n"/>
      <c r="C323" s="31" t="n"/>
      <c r="D323" s="31" t="n"/>
      <c r="E323" s="31" t="n"/>
      <c r="F323" s="31" t="n"/>
      <c r="G323" s="33" t="n"/>
      <c r="H323" s="32" t="n"/>
      <c r="I323" s="22">
        <f>IF(G323="","",ROUND(G323*N(H323)/100,2))</f>
        <v/>
      </c>
      <c r="J323" s="32" t="n"/>
      <c r="K323" s="22">
        <f>IF(G323="","",ROUND(G323*N(J323)/100,2))</f>
        <v/>
      </c>
      <c r="L323" s="22">
        <f>IF(G323="","",G323+I323-K323)</f>
        <v/>
      </c>
      <c r="M323" s="35">
        <f>IF(B323="","",ROUNDUP(MONTH(B323)/3,0))</f>
        <v/>
      </c>
      <c r="N323" s="35">
        <f>IF(B323="","",YEAR(B323))</f>
        <v/>
      </c>
    </row>
    <row r="324">
      <c r="B324" s="37" t="n"/>
      <c r="C324" s="31" t="n"/>
      <c r="D324" s="31" t="n"/>
      <c r="E324" s="31" t="n"/>
      <c r="F324" s="31" t="n"/>
      <c r="G324" s="33" t="n"/>
      <c r="H324" s="32" t="n"/>
      <c r="I324" s="22">
        <f>IF(G324="","",ROUND(G324*N(H324)/100,2))</f>
        <v/>
      </c>
      <c r="J324" s="32" t="n"/>
      <c r="K324" s="22">
        <f>IF(G324="","",ROUND(G324*N(J324)/100,2))</f>
        <v/>
      </c>
      <c r="L324" s="22">
        <f>IF(G324="","",G324+I324-K324)</f>
        <v/>
      </c>
      <c r="M324" s="35">
        <f>IF(B324="","",ROUNDUP(MONTH(B324)/3,0))</f>
        <v/>
      </c>
      <c r="N324" s="35">
        <f>IF(B324="","",YEAR(B324))</f>
        <v/>
      </c>
    </row>
    <row r="325">
      <c r="B325" s="37" t="n"/>
      <c r="C325" s="31" t="n"/>
      <c r="D325" s="31" t="n"/>
      <c r="E325" s="31" t="n"/>
      <c r="F325" s="31" t="n"/>
      <c r="G325" s="33" t="n"/>
      <c r="H325" s="32" t="n"/>
      <c r="I325" s="22">
        <f>IF(G325="","",ROUND(G325*N(H325)/100,2))</f>
        <v/>
      </c>
      <c r="J325" s="32" t="n"/>
      <c r="K325" s="22">
        <f>IF(G325="","",ROUND(G325*N(J325)/100,2))</f>
        <v/>
      </c>
      <c r="L325" s="22">
        <f>IF(G325="","",G325+I325-K325)</f>
        <v/>
      </c>
      <c r="M325" s="35">
        <f>IF(B325="","",ROUNDUP(MONTH(B325)/3,0))</f>
        <v/>
      </c>
      <c r="N325" s="35">
        <f>IF(B325="","",YEAR(B325))</f>
        <v/>
      </c>
    </row>
    <row r="326">
      <c r="B326" s="37" t="n"/>
      <c r="C326" s="31" t="n"/>
      <c r="D326" s="31" t="n"/>
      <c r="E326" s="31" t="n"/>
      <c r="F326" s="31" t="n"/>
      <c r="G326" s="33" t="n"/>
      <c r="H326" s="32" t="n"/>
      <c r="I326" s="22">
        <f>IF(G326="","",ROUND(G326*N(H326)/100,2))</f>
        <v/>
      </c>
      <c r="J326" s="32" t="n"/>
      <c r="K326" s="22">
        <f>IF(G326="","",ROUND(G326*N(J326)/100,2))</f>
        <v/>
      </c>
      <c r="L326" s="22">
        <f>IF(G326="","",G326+I326-K326)</f>
        <v/>
      </c>
      <c r="M326" s="35">
        <f>IF(B326="","",ROUNDUP(MONTH(B326)/3,0))</f>
        <v/>
      </c>
      <c r="N326" s="35">
        <f>IF(B326="","",YEAR(B326))</f>
        <v/>
      </c>
    </row>
    <row r="327">
      <c r="B327" s="37" t="n"/>
      <c r="C327" s="31" t="n"/>
      <c r="D327" s="31" t="n"/>
      <c r="E327" s="31" t="n"/>
      <c r="F327" s="31" t="n"/>
      <c r="G327" s="33" t="n"/>
      <c r="H327" s="32" t="n"/>
      <c r="I327" s="22">
        <f>IF(G327="","",ROUND(G327*N(H327)/100,2))</f>
        <v/>
      </c>
      <c r="J327" s="32" t="n"/>
      <c r="K327" s="22">
        <f>IF(G327="","",ROUND(G327*N(J327)/100,2))</f>
        <v/>
      </c>
      <c r="L327" s="22">
        <f>IF(G327="","",G327+I327-K327)</f>
        <v/>
      </c>
      <c r="M327" s="35">
        <f>IF(B327="","",ROUNDUP(MONTH(B327)/3,0))</f>
        <v/>
      </c>
      <c r="N327" s="35">
        <f>IF(B327="","",YEAR(B327))</f>
        <v/>
      </c>
    </row>
    <row r="328">
      <c r="B328" s="37" t="n"/>
      <c r="C328" s="31" t="n"/>
      <c r="D328" s="31" t="n"/>
      <c r="E328" s="31" t="n"/>
      <c r="F328" s="31" t="n"/>
      <c r="G328" s="33" t="n"/>
      <c r="H328" s="32" t="n"/>
      <c r="I328" s="22">
        <f>IF(G328="","",ROUND(G328*N(H328)/100,2))</f>
        <v/>
      </c>
      <c r="J328" s="32" t="n"/>
      <c r="K328" s="22">
        <f>IF(G328="","",ROUND(G328*N(J328)/100,2))</f>
        <v/>
      </c>
      <c r="L328" s="22">
        <f>IF(G328="","",G328+I328-K328)</f>
        <v/>
      </c>
      <c r="M328" s="35">
        <f>IF(B328="","",ROUNDUP(MONTH(B328)/3,0))</f>
        <v/>
      </c>
      <c r="N328" s="35">
        <f>IF(B328="","",YEAR(B328))</f>
        <v/>
      </c>
    </row>
    <row r="329">
      <c r="B329" s="37" t="n"/>
      <c r="C329" s="31" t="n"/>
      <c r="D329" s="31" t="n"/>
      <c r="E329" s="31" t="n"/>
      <c r="F329" s="31" t="n"/>
      <c r="G329" s="33" t="n"/>
      <c r="H329" s="32" t="n"/>
      <c r="I329" s="22">
        <f>IF(G329="","",ROUND(G329*N(H329)/100,2))</f>
        <v/>
      </c>
      <c r="J329" s="32" t="n"/>
      <c r="K329" s="22">
        <f>IF(G329="","",ROUND(G329*N(J329)/100,2))</f>
        <v/>
      </c>
      <c r="L329" s="22">
        <f>IF(G329="","",G329+I329-K329)</f>
        <v/>
      </c>
      <c r="M329" s="35">
        <f>IF(B329="","",ROUNDUP(MONTH(B329)/3,0))</f>
        <v/>
      </c>
      <c r="N329" s="35">
        <f>IF(B329="","",YEAR(B329))</f>
        <v/>
      </c>
    </row>
    <row r="330">
      <c r="B330" s="37" t="n"/>
      <c r="C330" s="31" t="n"/>
      <c r="D330" s="31" t="n"/>
      <c r="E330" s="31" t="n"/>
      <c r="F330" s="31" t="n"/>
      <c r="G330" s="33" t="n"/>
      <c r="H330" s="32" t="n"/>
      <c r="I330" s="22">
        <f>IF(G330="","",ROUND(G330*N(H330)/100,2))</f>
        <v/>
      </c>
      <c r="J330" s="32" t="n"/>
      <c r="K330" s="22">
        <f>IF(G330="","",ROUND(G330*N(J330)/100,2))</f>
        <v/>
      </c>
      <c r="L330" s="22">
        <f>IF(G330="","",G330+I330-K330)</f>
        <v/>
      </c>
      <c r="M330" s="35">
        <f>IF(B330="","",ROUNDUP(MONTH(B330)/3,0))</f>
        <v/>
      </c>
      <c r="N330" s="35">
        <f>IF(B330="","",YEAR(B330))</f>
        <v/>
      </c>
    </row>
    <row r="331">
      <c r="B331" s="37" t="n"/>
      <c r="C331" s="31" t="n"/>
      <c r="D331" s="31" t="n"/>
      <c r="E331" s="31" t="n"/>
      <c r="F331" s="31" t="n"/>
      <c r="G331" s="33" t="n"/>
      <c r="H331" s="32" t="n"/>
      <c r="I331" s="22">
        <f>IF(G331="","",ROUND(G331*N(H331)/100,2))</f>
        <v/>
      </c>
      <c r="J331" s="32" t="n"/>
      <c r="K331" s="22">
        <f>IF(G331="","",ROUND(G331*N(J331)/100,2))</f>
        <v/>
      </c>
      <c r="L331" s="22">
        <f>IF(G331="","",G331+I331-K331)</f>
        <v/>
      </c>
      <c r="M331" s="35">
        <f>IF(B331="","",ROUNDUP(MONTH(B331)/3,0))</f>
        <v/>
      </c>
      <c r="N331" s="35">
        <f>IF(B331="","",YEAR(B331))</f>
        <v/>
      </c>
    </row>
    <row r="332">
      <c r="B332" s="37" t="n"/>
      <c r="C332" s="31" t="n"/>
      <c r="D332" s="31" t="n"/>
      <c r="E332" s="31" t="n"/>
      <c r="F332" s="31" t="n"/>
      <c r="G332" s="33" t="n"/>
      <c r="H332" s="32" t="n"/>
      <c r="I332" s="22">
        <f>IF(G332="","",ROUND(G332*N(H332)/100,2))</f>
        <v/>
      </c>
      <c r="J332" s="32" t="n"/>
      <c r="K332" s="22">
        <f>IF(G332="","",ROUND(G332*N(J332)/100,2))</f>
        <v/>
      </c>
      <c r="L332" s="22">
        <f>IF(G332="","",G332+I332-K332)</f>
        <v/>
      </c>
      <c r="M332" s="35">
        <f>IF(B332="","",ROUNDUP(MONTH(B332)/3,0))</f>
        <v/>
      </c>
      <c r="N332" s="35">
        <f>IF(B332="","",YEAR(B332))</f>
        <v/>
      </c>
    </row>
    <row r="333">
      <c r="B333" s="37" t="n"/>
      <c r="C333" s="31" t="n"/>
      <c r="D333" s="31" t="n"/>
      <c r="E333" s="31" t="n"/>
      <c r="F333" s="31" t="n"/>
      <c r="G333" s="33" t="n"/>
      <c r="H333" s="32" t="n"/>
      <c r="I333" s="22">
        <f>IF(G333="","",ROUND(G333*N(H333)/100,2))</f>
        <v/>
      </c>
      <c r="J333" s="32" t="n"/>
      <c r="K333" s="22">
        <f>IF(G333="","",ROUND(G333*N(J333)/100,2))</f>
        <v/>
      </c>
      <c r="L333" s="22">
        <f>IF(G333="","",G333+I333-K333)</f>
        <v/>
      </c>
      <c r="M333" s="35">
        <f>IF(B333="","",ROUNDUP(MONTH(B333)/3,0))</f>
        <v/>
      </c>
      <c r="N333" s="35">
        <f>IF(B333="","",YEAR(B333))</f>
        <v/>
      </c>
    </row>
    <row r="334">
      <c r="B334" s="37" t="n"/>
      <c r="C334" s="31" t="n"/>
      <c r="D334" s="31" t="n"/>
      <c r="E334" s="31" t="n"/>
      <c r="F334" s="31" t="n"/>
      <c r="G334" s="33" t="n"/>
      <c r="H334" s="32" t="n"/>
      <c r="I334" s="22">
        <f>IF(G334="","",ROUND(G334*N(H334)/100,2))</f>
        <v/>
      </c>
      <c r="J334" s="32" t="n"/>
      <c r="K334" s="22">
        <f>IF(G334="","",ROUND(G334*N(J334)/100,2))</f>
        <v/>
      </c>
      <c r="L334" s="22">
        <f>IF(G334="","",G334+I334-K334)</f>
        <v/>
      </c>
      <c r="M334" s="35">
        <f>IF(B334="","",ROUNDUP(MONTH(B334)/3,0))</f>
        <v/>
      </c>
      <c r="N334" s="35">
        <f>IF(B334="","",YEAR(B334))</f>
        <v/>
      </c>
    </row>
    <row r="335">
      <c r="B335" s="37" t="n"/>
      <c r="C335" s="31" t="n"/>
      <c r="D335" s="31" t="n"/>
      <c r="E335" s="31" t="n"/>
      <c r="F335" s="31" t="n"/>
      <c r="G335" s="33" t="n"/>
      <c r="H335" s="32" t="n"/>
      <c r="I335" s="22">
        <f>IF(G335="","",ROUND(G335*N(H335)/100,2))</f>
        <v/>
      </c>
      <c r="J335" s="32" t="n"/>
      <c r="K335" s="22">
        <f>IF(G335="","",ROUND(G335*N(J335)/100,2))</f>
        <v/>
      </c>
      <c r="L335" s="22">
        <f>IF(G335="","",G335+I335-K335)</f>
        <v/>
      </c>
      <c r="M335" s="35">
        <f>IF(B335="","",ROUNDUP(MONTH(B335)/3,0))</f>
        <v/>
      </c>
      <c r="N335" s="35">
        <f>IF(B335="","",YEAR(B335))</f>
        <v/>
      </c>
    </row>
    <row r="336">
      <c r="B336" s="37" t="n"/>
      <c r="C336" s="31" t="n"/>
      <c r="D336" s="31" t="n"/>
      <c r="E336" s="31" t="n"/>
      <c r="F336" s="31" t="n"/>
      <c r="G336" s="33" t="n"/>
      <c r="H336" s="32" t="n"/>
      <c r="I336" s="22">
        <f>IF(G336="","",ROUND(G336*N(H336)/100,2))</f>
        <v/>
      </c>
      <c r="J336" s="32" t="n"/>
      <c r="K336" s="22">
        <f>IF(G336="","",ROUND(G336*N(J336)/100,2))</f>
        <v/>
      </c>
      <c r="L336" s="22">
        <f>IF(G336="","",G336+I336-K336)</f>
        <v/>
      </c>
      <c r="M336" s="35">
        <f>IF(B336="","",ROUNDUP(MONTH(B336)/3,0))</f>
        <v/>
      </c>
      <c r="N336" s="35">
        <f>IF(B336="","",YEAR(B336))</f>
        <v/>
      </c>
    </row>
    <row r="337">
      <c r="B337" s="37" t="n"/>
      <c r="C337" s="31" t="n"/>
      <c r="D337" s="31" t="n"/>
      <c r="E337" s="31" t="n"/>
      <c r="F337" s="31" t="n"/>
      <c r="G337" s="33" t="n"/>
      <c r="H337" s="32" t="n"/>
      <c r="I337" s="22">
        <f>IF(G337="","",ROUND(G337*N(H337)/100,2))</f>
        <v/>
      </c>
      <c r="J337" s="32" t="n"/>
      <c r="K337" s="22">
        <f>IF(G337="","",ROUND(G337*N(J337)/100,2))</f>
        <v/>
      </c>
      <c r="L337" s="22">
        <f>IF(G337="","",G337+I337-K337)</f>
        <v/>
      </c>
      <c r="M337" s="35">
        <f>IF(B337="","",ROUNDUP(MONTH(B337)/3,0))</f>
        <v/>
      </c>
      <c r="N337" s="35">
        <f>IF(B337="","",YEAR(B337))</f>
        <v/>
      </c>
    </row>
    <row r="338">
      <c r="B338" s="37" t="n"/>
      <c r="C338" s="31" t="n"/>
      <c r="D338" s="31" t="n"/>
      <c r="E338" s="31" t="n"/>
      <c r="F338" s="31" t="n"/>
      <c r="G338" s="33" t="n"/>
      <c r="H338" s="32" t="n"/>
      <c r="I338" s="22">
        <f>IF(G338="","",ROUND(G338*N(H338)/100,2))</f>
        <v/>
      </c>
      <c r="J338" s="32" t="n"/>
      <c r="K338" s="22">
        <f>IF(G338="","",ROUND(G338*N(J338)/100,2))</f>
        <v/>
      </c>
      <c r="L338" s="22">
        <f>IF(G338="","",G338+I338-K338)</f>
        <v/>
      </c>
      <c r="M338" s="35">
        <f>IF(B338="","",ROUNDUP(MONTH(B338)/3,0))</f>
        <v/>
      </c>
      <c r="N338" s="35">
        <f>IF(B338="","",YEAR(B338))</f>
        <v/>
      </c>
    </row>
    <row r="339">
      <c r="B339" s="37" t="n"/>
      <c r="C339" s="31" t="n"/>
      <c r="D339" s="31" t="n"/>
      <c r="E339" s="31" t="n"/>
      <c r="F339" s="31" t="n"/>
      <c r="G339" s="33" t="n"/>
      <c r="H339" s="32" t="n"/>
      <c r="I339" s="22">
        <f>IF(G339="","",ROUND(G339*N(H339)/100,2))</f>
        <v/>
      </c>
      <c r="J339" s="32" t="n"/>
      <c r="K339" s="22">
        <f>IF(G339="","",ROUND(G339*N(J339)/100,2))</f>
        <v/>
      </c>
      <c r="L339" s="22">
        <f>IF(G339="","",G339+I339-K339)</f>
        <v/>
      </c>
      <c r="M339" s="35">
        <f>IF(B339="","",ROUNDUP(MONTH(B339)/3,0))</f>
        <v/>
      </c>
      <c r="N339" s="35">
        <f>IF(B339="","",YEAR(B339))</f>
        <v/>
      </c>
    </row>
    <row r="340">
      <c r="B340" s="37" t="n"/>
      <c r="C340" s="31" t="n"/>
      <c r="D340" s="31" t="n"/>
      <c r="E340" s="31" t="n"/>
      <c r="F340" s="31" t="n"/>
      <c r="G340" s="33" t="n"/>
      <c r="H340" s="32" t="n"/>
      <c r="I340" s="22">
        <f>IF(G340="","",ROUND(G340*N(H340)/100,2))</f>
        <v/>
      </c>
      <c r="J340" s="32" t="n"/>
      <c r="K340" s="22">
        <f>IF(G340="","",ROUND(G340*N(J340)/100,2))</f>
        <v/>
      </c>
      <c r="L340" s="22">
        <f>IF(G340="","",G340+I340-K340)</f>
        <v/>
      </c>
      <c r="M340" s="35">
        <f>IF(B340="","",ROUNDUP(MONTH(B340)/3,0))</f>
        <v/>
      </c>
      <c r="N340" s="35">
        <f>IF(B340="","",YEAR(B340))</f>
        <v/>
      </c>
    </row>
    <row r="341">
      <c r="B341" s="37" t="n"/>
      <c r="C341" s="31" t="n"/>
      <c r="D341" s="31" t="n"/>
      <c r="E341" s="31" t="n"/>
      <c r="F341" s="31" t="n"/>
      <c r="G341" s="33" t="n"/>
      <c r="H341" s="32" t="n"/>
      <c r="I341" s="22">
        <f>IF(G341="","",ROUND(G341*N(H341)/100,2))</f>
        <v/>
      </c>
      <c r="J341" s="32" t="n"/>
      <c r="K341" s="22">
        <f>IF(G341="","",ROUND(G341*N(J341)/100,2))</f>
        <v/>
      </c>
      <c r="L341" s="22">
        <f>IF(G341="","",G341+I341-K341)</f>
        <v/>
      </c>
      <c r="M341" s="35">
        <f>IF(B341="","",ROUNDUP(MONTH(B341)/3,0))</f>
        <v/>
      </c>
      <c r="N341" s="35">
        <f>IF(B341="","",YEAR(B341))</f>
        <v/>
      </c>
    </row>
    <row r="342">
      <c r="B342" s="37" t="n"/>
      <c r="C342" s="31" t="n"/>
      <c r="D342" s="31" t="n"/>
      <c r="E342" s="31" t="n"/>
      <c r="F342" s="31" t="n"/>
      <c r="G342" s="33" t="n"/>
      <c r="H342" s="32" t="n"/>
      <c r="I342" s="22">
        <f>IF(G342="","",ROUND(G342*N(H342)/100,2))</f>
        <v/>
      </c>
      <c r="J342" s="32" t="n"/>
      <c r="K342" s="22">
        <f>IF(G342="","",ROUND(G342*N(J342)/100,2))</f>
        <v/>
      </c>
      <c r="L342" s="22">
        <f>IF(G342="","",G342+I342-K342)</f>
        <v/>
      </c>
      <c r="M342" s="35">
        <f>IF(B342="","",ROUNDUP(MONTH(B342)/3,0))</f>
        <v/>
      </c>
      <c r="N342" s="35">
        <f>IF(B342="","",YEAR(B342))</f>
        <v/>
      </c>
    </row>
    <row r="343">
      <c r="B343" s="37" t="n"/>
      <c r="C343" s="31" t="n"/>
      <c r="D343" s="31" t="n"/>
      <c r="E343" s="31" t="n"/>
      <c r="F343" s="31" t="n"/>
      <c r="G343" s="33" t="n"/>
      <c r="H343" s="32" t="n"/>
      <c r="I343" s="22">
        <f>IF(G343="","",ROUND(G343*N(H343)/100,2))</f>
        <v/>
      </c>
      <c r="J343" s="32" t="n"/>
      <c r="K343" s="22">
        <f>IF(G343="","",ROUND(G343*N(J343)/100,2))</f>
        <v/>
      </c>
      <c r="L343" s="22">
        <f>IF(G343="","",G343+I343-K343)</f>
        <v/>
      </c>
      <c r="M343" s="35">
        <f>IF(B343="","",ROUNDUP(MONTH(B343)/3,0))</f>
        <v/>
      </c>
      <c r="N343" s="35">
        <f>IF(B343="","",YEAR(B343))</f>
        <v/>
      </c>
    </row>
    <row r="344">
      <c r="B344" s="37" t="n"/>
      <c r="C344" s="31" t="n"/>
      <c r="D344" s="31" t="n"/>
      <c r="E344" s="31" t="n"/>
      <c r="F344" s="31" t="n"/>
      <c r="G344" s="33" t="n"/>
      <c r="H344" s="32" t="n"/>
      <c r="I344" s="22">
        <f>IF(G344="","",ROUND(G344*N(H344)/100,2))</f>
        <v/>
      </c>
      <c r="J344" s="32" t="n"/>
      <c r="K344" s="22">
        <f>IF(G344="","",ROUND(G344*N(J344)/100,2))</f>
        <v/>
      </c>
      <c r="L344" s="22">
        <f>IF(G344="","",G344+I344-K344)</f>
        <v/>
      </c>
      <c r="M344" s="35">
        <f>IF(B344="","",ROUNDUP(MONTH(B344)/3,0))</f>
        <v/>
      </c>
      <c r="N344" s="35">
        <f>IF(B344="","",YEAR(B344))</f>
        <v/>
      </c>
    </row>
    <row r="345">
      <c r="B345" s="37" t="n"/>
      <c r="C345" s="31" t="n"/>
      <c r="D345" s="31" t="n"/>
      <c r="E345" s="31" t="n"/>
      <c r="F345" s="31" t="n"/>
      <c r="G345" s="33" t="n"/>
      <c r="H345" s="32" t="n"/>
      <c r="I345" s="22">
        <f>IF(G345="","",ROUND(G345*N(H345)/100,2))</f>
        <v/>
      </c>
      <c r="J345" s="32" t="n"/>
      <c r="K345" s="22">
        <f>IF(G345="","",ROUND(G345*N(J345)/100,2))</f>
        <v/>
      </c>
      <c r="L345" s="22">
        <f>IF(G345="","",G345+I345-K345)</f>
        <v/>
      </c>
      <c r="M345" s="35">
        <f>IF(B345="","",ROUNDUP(MONTH(B345)/3,0))</f>
        <v/>
      </c>
      <c r="N345" s="35">
        <f>IF(B345="","",YEAR(B345))</f>
        <v/>
      </c>
    </row>
    <row r="346">
      <c r="B346" s="37" t="n"/>
      <c r="C346" s="31" t="n"/>
      <c r="D346" s="31" t="n"/>
      <c r="E346" s="31" t="n"/>
      <c r="F346" s="31" t="n"/>
      <c r="G346" s="33" t="n"/>
      <c r="H346" s="32" t="n"/>
      <c r="I346" s="22">
        <f>IF(G346="","",ROUND(G346*N(H346)/100,2))</f>
        <v/>
      </c>
      <c r="J346" s="32" t="n"/>
      <c r="K346" s="22">
        <f>IF(G346="","",ROUND(G346*N(J346)/100,2))</f>
        <v/>
      </c>
      <c r="L346" s="22">
        <f>IF(G346="","",G346+I346-K346)</f>
        <v/>
      </c>
      <c r="M346" s="35">
        <f>IF(B346="","",ROUNDUP(MONTH(B346)/3,0))</f>
        <v/>
      </c>
      <c r="N346" s="35">
        <f>IF(B346="","",YEAR(B346))</f>
        <v/>
      </c>
    </row>
    <row r="347">
      <c r="B347" s="37" t="n"/>
      <c r="C347" s="31" t="n"/>
      <c r="D347" s="31" t="n"/>
      <c r="E347" s="31" t="n"/>
      <c r="F347" s="31" t="n"/>
      <c r="G347" s="33" t="n"/>
      <c r="H347" s="32" t="n"/>
      <c r="I347" s="22">
        <f>IF(G347="","",ROUND(G347*N(H347)/100,2))</f>
        <v/>
      </c>
      <c r="J347" s="32" t="n"/>
      <c r="K347" s="22">
        <f>IF(G347="","",ROUND(G347*N(J347)/100,2))</f>
        <v/>
      </c>
      <c r="L347" s="22">
        <f>IF(G347="","",G347+I347-K347)</f>
        <v/>
      </c>
      <c r="M347" s="35">
        <f>IF(B347="","",ROUNDUP(MONTH(B347)/3,0))</f>
        <v/>
      </c>
      <c r="N347" s="35">
        <f>IF(B347="","",YEAR(B347))</f>
        <v/>
      </c>
    </row>
    <row r="348">
      <c r="B348" s="37" t="n"/>
      <c r="C348" s="31" t="n"/>
      <c r="D348" s="31" t="n"/>
      <c r="E348" s="31" t="n"/>
      <c r="F348" s="31" t="n"/>
      <c r="G348" s="33" t="n"/>
      <c r="H348" s="32" t="n"/>
      <c r="I348" s="22">
        <f>IF(G348="","",ROUND(G348*N(H348)/100,2))</f>
        <v/>
      </c>
      <c r="J348" s="32" t="n"/>
      <c r="K348" s="22">
        <f>IF(G348="","",ROUND(G348*N(J348)/100,2))</f>
        <v/>
      </c>
      <c r="L348" s="22">
        <f>IF(G348="","",G348+I348-K348)</f>
        <v/>
      </c>
      <c r="M348" s="35">
        <f>IF(B348="","",ROUNDUP(MONTH(B348)/3,0))</f>
        <v/>
      </c>
      <c r="N348" s="35">
        <f>IF(B348="","",YEAR(B348))</f>
        <v/>
      </c>
    </row>
    <row r="349">
      <c r="B349" s="37" t="n"/>
      <c r="C349" s="31" t="n"/>
      <c r="D349" s="31" t="n"/>
      <c r="E349" s="31" t="n"/>
      <c r="F349" s="31" t="n"/>
      <c r="G349" s="33" t="n"/>
      <c r="H349" s="32" t="n"/>
      <c r="I349" s="22">
        <f>IF(G349="","",ROUND(G349*N(H349)/100,2))</f>
        <v/>
      </c>
      <c r="J349" s="32" t="n"/>
      <c r="K349" s="22">
        <f>IF(G349="","",ROUND(G349*N(J349)/100,2))</f>
        <v/>
      </c>
      <c r="L349" s="22">
        <f>IF(G349="","",G349+I349-K349)</f>
        <v/>
      </c>
      <c r="M349" s="35">
        <f>IF(B349="","",ROUNDUP(MONTH(B349)/3,0))</f>
        <v/>
      </c>
      <c r="N349" s="35">
        <f>IF(B349="","",YEAR(B349))</f>
        <v/>
      </c>
    </row>
    <row r="350">
      <c r="B350" s="37" t="n"/>
      <c r="C350" s="31" t="n"/>
      <c r="D350" s="31" t="n"/>
      <c r="E350" s="31" t="n"/>
      <c r="F350" s="31" t="n"/>
      <c r="G350" s="33" t="n"/>
      <c r="H350" s="32" t="n"/>
      <c r="I350" s="22">
        <f>IF(G350="","",ROUND(G350*N(H350)/100,2))</f>
        <v/>
      </c>
      <c r="J350" s="32" t="n"/>
      <c r="K350" s="22">
        <f>IF(G350="","",ROUND(G350*N(J350)/100,2))</f>
        <v/>
      </c>
      <c r="L350" s="22">
        <f>IF(G350="","",G350+I350-K350)</f>
        <v/>
      </c>
      <c r="M350" s="35">
        <f>IF(B350="","",ROUNDUP(MONTH(B350)/3,0))</f>
        <v/>
      </c>
      <c r="N350" s="35">
        <f>IF(B350="","",YEAR(B350))</f>
        <v/>
      </c>
    </row>
    <row r="351">
      <c r="B351" s="37" t="n"/>
      <c r="C351" s="31" t="n"/>
      <c r="D351" s="31" t="n"/>
      <c r="E351" s="31" t="n"/>
      <c r="F351" s="31" t="n"/>
      <c r="G351" s="33" t="n"/>
      <c r="H351" s="32" t="n"/>
      <c r="I351" s="22">
        <f>IF(G351="","",ROUND(G351*N(H351)/100,2))</f>
        <v/>
      </c>
      <c r="J351" s="32" t="n"/>
      <c r="K351" s="22">
        <f>IF(G351="","",ROUND(G351*N(J351)/100,2))</f>
        <v/>
      </c>
      <c r="L351" s="22">
        <f>IF(G351="","",G351+I351-K351)</f>
        <v/>
      </c>
      <c r="M351" s="35">
        <f>IF(B351="","",ROUNDUP(MONTH(B351)/3,0))</f>
        <v/>
      </c>
      <c r="N351" s="35">
        <f>IF(B351="","",YEAR(B351))</f>
        <v/>
      </c>
    </row>
    <row r="352">
      <c r="B352" s="37" t="n"/>
      <c r="C352" s="31" t="n"/>
      <c r="D352" s="31" t="n"/>
      <c r="E352" s="31" t="n"/>
      <c r="F352" s="31" t="n"/>
      <c r="G352" s="33" t="n"/>
      <c r="H352" s="32" t="n"/>
      <c r="I352" s="22">
        <f>IF(G352="","",ROUND(G352*N(H352)/100,2))</f>
        <v/>
      </c>
      <c r="J352" s="32" t="n"/>
      <c r="K352" s="22">
        <f>IF(G352="","",ROUND(G352*N(J352)/100,2))</f>
        <v/>
      </c>
      <c r="L352" s="22">
        <f>IF(G352="","",G352+I352-K352)</f>
        <v/>
      </c>
      <c r="M352" s="35">
        <f>IF(B352="","",ROUNDUP(MONTH(B352)/3,0))</f>
        <v/>
      </c>
      <c r="N352" s="35">
        <f>IF(B352="","",YEAR(B352))</f>
        <v/>
      </c>
    </row>
    <row r="353">
      <c r="B353" s="37" t="n"/>
      <c r="C353" s="31" t="n"/>
      <c r="D353" s="31" t="n"/>
      <c r="E353" s="31" t="n"/>
      <c r="F353" s="31" t="n"/>
      <c r="G353" s="33" t="n"/>
      <c r="H353" s="32" t="n"/>
      <c r="I353" s="22">
        <f>IF(G353="","",ROUND(G353*N(H353)/100,2))</f>
        <v/>
      </c>
      <c r="J353" s="32" t="n"/>
      <c r="K353" s="22">
        <f>IF(G353="","",ROUND(G353*N(J353)/100,2))</f>
        <v/>
      </c>
      <c r="L353" s="22">
        <f>IF(G353="","",G353+I353-K353)</f>
        <v/>
      </c>
      <c r="M353" s="35">
        <f>IF(B353="","",ROUNDUP(MONTH(B353)/3,0))</f>
        <v/>
      </c>
      <c r="N353" s="35">
        <f>IF(B353="","",YEAR(B353))</f>
        <v/>
      </c>
    </row>
    <row r="354">
      <c r="B354" s="37" t="n"/>
      <c r="C354" s="31" t="n"/>
      <c r="D354" s="31" t="n"/>
      <c r="E354" s="31" t="n"/>
      <c r="F354" s="31" t="n"/>
      <c r="G354" s="33" t="n"/>
      <c r="H354" s="32" t="n"/>
      <c r="I354" s="22">
        <f>IF(G354="","",ROUND(G354*N(H354)/100,2))</f>
        <v/>
      </c>
      <c r="J354" s="32" t="n"/>
      <c r="K354" s="22">
        <f>IF(G354="","",ROUND(G354*N(J354)/100,2))</f>
        <v/>
      </c>
      <c r="L354" s="22">
        <f>IF(G354="","",G354+I354-K354)</f>
        <v/>
      </c>
      <c r="M354" s="35">
        <f>IF(B354="","",ROUNDUP(MONTH(B354)/3,0))</f>
        <v/>
      </c>
      <c r="N354" s="35">
        <f>IF(B354="","",YEAR(B354))</f>
        <v/>
      </c>
    </row>
    <row r="355">
      <c r="B355" s="37" t="n"/>
      <c r="C355" s="31" t="n"/>
      <c r="D355" s="31" t="n"/>
      <c r="E355" s="31" t="n"/>
      <c r="F355" s="31" t="n"/>
      <c r="G355" s="33" t="n"/>
      <c r="H355" s="32" t="n"/>
      <c r="I355" s="22">
        <f>IF(G355="","",ROUND(G355*N(H355)/100,2))</f>
        <v/>
      </c>
      <c r="J355" s="32" t="n"/>
      <c r="K355" s="22">
        <f>IF(G355="","",ROUND(G355*N(J355)/100,2))</f>
        <v/>
      </c>
      <c r="L355" s="22">
        <f>IF(G355="","",G355+I355-K355)</f>
        <v/>
      </c>
      <c r="M355" s="35">
        <f>IF(B355="","",ROUNDUP(MONTH(B355)/3,0))</f>
        <v/>
      </c>
      <c r="N355" s="35">
        <f>IF(B355="","",YEAR(B355))</f>
        <v/>
      </c>
    </row>
    <row r="356">
      <c r="B356" s="37" t="n"/>
      <c r="C356" s="31" t="n"/>
      <c r="D356" s="31" t="n"/>
      <c r="E356" s="31" t="n"/>
      <c r="F356" s="31" t="n"/>
      <c r="G356" s="33" t="n"/>
      <c r="H356" s="32" t="n"/>
      <c r="I356" s="22">
        <f>IF(G356="","",ROUND(G356*N(H356)/100,2))</f>
        <v/>
      </c>
      <c r="J356" s="32" t="n"/>
      <c r="K356" s="22">
        <f>IF(G356="","",ROUND(G356*N(J356)/100,2))</f>
        <v/>
      </c>
      <c r="L356" s="22">
        <f>IF(G356="","",G356+I356-K356)</f>
        <v/>
      </c>
      <c r="M356" s="35">
        <f>IF(B356="","",ROUNDUP(MONTH(B356)/3,0))</f>
        <v/>
      </c>
      <c r="N356" s="35">
        <f>IF(B356="","",YEAR(B356))</f>
        <v/>
      </c>
    </row>
    <row r="357">
      <c r="B357" s="37" t="n"/>
      <c r="C357" s="31" t="n"/>
      <c r="D357" s="31" t="n"/>
      <c r="E357" s="31" t="n"/>
      <c r="F357" s="31" t="n"/>
      <c r="G357" s="33" t="n"/>
      <c r="H357" s="32" t="n"/>
      <c r="I357" s="22">
        <f>IF(G357="","",ROUND(G357*N(H357)/100,2))</f>
        <v/>
      </c>
      <c r="J357" s="32" t="n"/>
      <c r="K357" s="22">
        <f>IF(G357="","",ROUND(G357*N(J357)/100,2))</f>
        <v/>
      </c>
      <c r="L357" s="22">
        <f>IF(G357="","",G357+I357-K357)</f>
        <v/>
      </c>
      <c r="M357" s="35">
        <f>IF(B357="","",ROUNDUP(MONTH(B357)/3,0))</f>
        <v/>
      </c>
      <c r="N357" s="35">
        <f>IF(B357="","",YEAR(B357))</f>
        <v/>
      </c>
    </row>
    <row r="358">
      <c r="B358" s="37" t="n"/>
      <c r="C358" s="31" t="n"/>
      <c r="D358" s="31" t="n"/>
      <c r="E358" s="31" t="n"/>
      <c r="F358" s="31" t="n"/>
      <c r="G358" s="33" t="n"/>
      <c r="H358" s="32" t="n"/>
      <c r="I358" s="22">
        <f>IF(G358="","",ROUND(G358*N(H358)/100,2))</f>
        <v/>
      </c>
      <c r="J358" s="32" t="n"/>
      <c r="K358" s="22">
        <f>IF(G358="","",ROUND(G358*N(J358)/100,2))</f>
        <v/>
      </c>
      <c r="L358" s="22">
        <f>IF(G358="","",G358+I358-K358)</f>
        <v/>
      </c>
      <c r="M358" s="35">
        <f>IF(B358="","",ROUNDUP(MONTH(B358)/3,0))</f>
        <v/>
      </c>
      <c r="N358" s="35">
        <f>IF(B358="","",YEAR(B358))</f>
        <v/>
      </c>
    </row>
    <row r="359">
      <c r="B359" s="37" t="n"/>
      <c r="C359" s="31" t="n"/>
      <c r="D359" s="31" t="n"/>
      <c r="E359" s="31" t="n"/>
      <c r="F359" s="31" t="n"/>
      <c r="G359" s="33" t="n"/>
      <c r="H359" s="32" t="n"/>
      <c r="I359" s="22">
        <f>IF(G359="","",ROUND(G359*N(H359)/100,2))</f>
        <v/>
      </c>
      <c r="J359" s="32" t="n"/>
      <c r="K359" s="22">
        <f>IF(G359="","",ROUND(G359*N(J359)/100,2))</f>
        <v/>
      </c>
      <c r="L359" s="22">
        <f>IF(G359="","",G359+I359-K359)</f>
        <v/>
      </c>
      <c r="M359" s="35">
        <f>IF(B359="","",ROUNDUP(MONTH(B359)/3,0))</f>
        <v/>
      </c>
      <c r="N359" s="35">
        <f>IF(B359="","",YEAR(B359))</f>
        <v/>
      </c>
    </row>
    <row r="360">
      <c r="B360" s="37" t="n"/>
      <c r="C360" s="31" t="n"/>
      <c r="D360" s="31" t="n"/>
      <c r="E360" s="31" t="n"/>
      <c r="F360" s="31" t="n"/>
      <c r="G360" s="33" t="n"/>
      <c r="H360" s="32" t="n"/>
      <c r="I360" s="22">
        <f>IF(G360="","",ROUND(G360*N(H360)/100,2))</f>
        <v/>
      </c>
      <c r="J360" s="32" t="n"/>
      <c r="K360" s="22">
        <f>IF(G360="","",ROUND(G360*N(J360)/100,2))</f>
        <v/>
      </c>
      <c r="L360" s="22">
        <f>IF(G360="","",G360+I360-K360)</f>
        <v/>
      </c>
      <c r="M360" s="35">
        <f>IF(B360="","",ROUNDUP(MONTH(B360)/3,0))</f>
        <v/>
      </c>
      <c r="N360" s="35">
        <f>IF(B360="","",YEAR(B360))</f>
        <v/>
      </c>
    </row>
    <row r="361">
      <c r="B361" s="37" t="n"/>
      <c r="C361" s="31" t="n"/>
      <c r="D361" s="31" t="n"/>
      <c r="E361" s="31" t="n"/>
      <c r="F361" s="31" t="n"/>
      <c r="G361" s="33" t="n"/>
      <c r="H361" s="32" t="n"/>
      <c r="I361" s="22">
        <f>IF(G361="","",ROUND(G361*N(H361)/100,2))</f>
        <v/>
      </c>
      <c r="J361" s="32" t="n"/>
      <c r="K361" s="22">
        <f>IF(G361="","",ROUND(G361*N(J361)/100,2))</f>
        <v/>
      </c>
      <c r="L361" s="22">
        <f>IF(G361="","",G361+I361-K361)</f>
        <v/>
      </c>
      <c r="M361" s="35">
        <f>IF(B361="","",ROUNDUP(MONTH(B361)/3,0))</f>
        <v/>
      </c>
      <c r="N361" s="35">
        <f>IF(B361="","",YEAR(B361))</f>
        <v/>
      </c>
    </row>
    <row r="362">
      <c r="B362" s="37" t="n"/>
      <c r="C362" s="31" t="n"/>
      <c r="D362" s="31" t="n"/>
      <c r="E362" s="31" t="n"/>
      <c r="F362" s="31" t="n"/>
      <c r="G362" s="33" t="n"/>
      <c r="H362" s="32" t="n"/>
      <c r="I362" s="22">
        <f>IF(G362="","",ROUND(G362*N(H362)/100,2))</f>
        <v/>
      </c>
      <c r="J362" s="32" t="n"/>
      <c r="K362" s="22">
        <f>IF(G362="","",ROUND(G362*N(J362)/100,2))</f>
        <v/>
      </c>
      <c r="L362" s="22">
        <f>IF(G362="","",G362+I362-K362)</f>
        <v/>
      </c>
      <c r="M362" s="35">
        <f>IF(B362="","",ROUNDUP(MONTH(B362)/3,0))</f>
        <v/>
      </c>
      <c r="N362" s="35">
        <f>IF(B362="","",YEAR(B362))</f>
        <v/>
      </c>
    </row>
    <row r="363">
      <c r="B363" s="37" t="n"/>
      <c r="C363" s="31" t="n"/>
      <c r="D363" s="31" t="n"/>
      <c r="E363" s="31" t="n"/>
      <c r="F363" s="31" t="n"/>
      <c r="G363" s="33" t="n"/>
      <c r="H363" s="32" t="n"/>
      <c r="I363" s="22">
        <f>IF(G363="","",ROUND(G363*N(H363)/100,2))</f>
        <v/>
      </c>
      <c r="J363" s="32" t="n"/>
      <c r="K363" s="22">
        <f>IF(G363="","",ROUND(G363*N(J363)/100,2))</f>
        <v/>
      </c>
      <c r="L363" s="22">
        <f>IF(G363="","",G363+I363-K363)</f>
        <v/>
      </c>
      <c r="M363" s="35">
        <f>IF(B363="","",ROUNDUP(MONTH(B363)/3,0))</f>
        <v/>
      </c>
      <c r="N363" s="35">
        <f>IF(B363="","",YEAR(B363))</f>
        <v/>
      </c>
    </row>
    <row r="364">
      <c r="B364" s="37" t="n"/>
      <c r="C364" s="31" t="n"/>
      <c r="D364" s="31" t="n"/>
      <c r="E364" s="31" t="n"/>
      <c r="F364" s="31" t="n"/>
      <c r="G364" s="33" t="n"/>
      <c r="H364" s="32" t="n"/>
      <c r="I364" s="22">
        <f>IF(G364="","",ROUND(G364*N(H364)/100,2))</f>
        <v/>
      </c>
      <c r="J364" s="32" t="n"/>
      <c r="K364" s="22">
        <f>IF(G364="","",ROUND(G364*N(J364)/100,2))</f>
        <v/>
      </c>
      <c r="L364" s="22">
        <f>IF(G364="","",G364+I364-K364)</f>
        <v/>
      </c>
      <c r="M364" s="35">
        <f>IF(B364="","",ROUNDUP(MONTH(B364)/3,0))</f>
        <v/>
      </c>
      <c r="N364" s="35">
        <f>IF(B364="","",YEAR(B364))</f>
        <v/>
      </c>
    </row>
    <row r="365">
      <c r="B365" s="37" t="n"/>
      <c r="C365" s="31" t="n"/>
      <c r="D365" s="31" t="n"/>
      <c r="E365" s="31" t="n"/>
      <c r="F365" s="31" t="n"/>
      <c r="G365" s="33" t="n"/>
      <c r="H365" s="32" t="n"/>
      <c r="I365" s="22">
        <f>IF(G365="","",ROUND(G365*N(H365)/100,2))</f>
        <v/>
      </c>
      <c r="J365" s="32" t="n"/>
      <c r="K365" s="22">
        <f>IF(G365="","",ROUND(G365*N(J365)/100,2))</f>
        <v/>
      </c>
      <c r="L365" s="22">
        <f>IF(G365="","",G365+I365-K365)</f>
        <v/>
      </c>
      <c r="M365" s="35">
        <f>IF(B365="","",ROUNDUP(MONTH(B365)/3,0))</f>
        <v/>
      </c>
      <c r="N365" s="35">
        <f>IF(B365="","",YEAR(B365))</f>
        <v/>
      </c>
    </row>
    <row r="366">
      <c r="B366" s="37" t="n"/>
      <c r="C366" s="31" t="n"/>
      <c r="D366" s="31" t="n"/>
      <c r="E366" s="31" t="n"/>
      <c r="F366" s="31" t="n"/>
      <c r="G366" s="33" t="n"/>
      <c r="H366" s="32" t="n"/>
      <c r="I366" s="22">
        <f>IF(G366="","",ROUND(G366*N(H366)/100,2))</f>
        <v/>
      </c>
      <c r="J366" s="32" t="n"/>
      <c r="K366" s="22">
        <f>IF(G366="","",ROUND(G366*N(J366)/100,2))</f>
        <v/>
      </c>
      <c r="L366" s="22">
        <f>IF(G366="","",G366+I366-K366)</f>
        <v/>
      </c>
      <c r="M366" s="35">
        <f>IF(B366="","",ROUNDUP(MONTH(B366)/3,0))</f>
        <v/>
      </c>
      <c r="N366" s="35">
        <f>IF(B366="","",YEAR(B366))</f>
        <v/>
      </c>
    </row>
    <row r="367">
      <c r="B367" s="37" t="n"/>
      <c r="C367" s="31" t="n"/>
      <c r="D367" s="31" t="n"/>
      <c r="E367" s="31" t="n"/>
      <c r="F367" s="31" t="n"/>
      <c r="G367" s="33" t="n"/>
      <c r="H367" s="32" t="n"/>
      <c r="I367" s="22">
        <f>IF(G367="","",ROUND(G367*N(H367)/100,2))</f>
        <v/>
      </c>
      <c r="J367" s="32" t="n"/>
      <c r="K367" s="22">
        <f>IF(G367="","",ROUND(G367*N(J367)/100,2))</f>
        <v/>
      </c>
      <c r="L367" s="22">
        <f>IF(G367="","",G367+I367-K367)</f>
        <v/>
      </c>
      <c r="M367" s="35">
        <f>IF(B367="","",ROUNDUP(MONTH(B367)/3,0))</f>
        <v/>
      </c>
      <c r="N367" s="35">
        <f>IF(B367="","",YEAR(B367))</f>
        <v/>
      </c>
    </row>
    <row r="368">
      <c r="B368" s="37" t="n"/>
      <c r="C368" s="31" t="n"/>
      <c r="D368" s="31" t="n"/>
      <c r="E368" s="31" t="n"/>
      <c r="F368" s="31" t="n"/>
      <c r="G368" s="33" t="n"/>
      <c r="H368" s="32" t="n"/>
      <c r="I368" s="22">
        <f>IF(G368="","",ROUND(G368*N(H368)/100,2))</f>
        <v/>
      </c>
      <c r="J368" s="32" t="n"/>
      <c r="K368" s="22">
        <f>IF(G368="","",ROUND(G368*N(J368)/100,2))</f>
        <v/>
      </c>
      <c r="L368" s="22">
        <f>IF(G368="","",G368+I368-K368)</f>
        <v/>
      </c>
      <c r="M368" s="35">
        <f>IF(B368="","",ROUNDUP(MONTH(B368)/3,0))</f>
        <v/>
      </c>
      <c r="N368" s="35">
        <f>IF(B368="","",YEAR(B368))</f>
        <v/>
      </c>
    </row>
    <row r="369">
      <c r="B369" s="37" t="n"/>
      <c r="C369" s="31" t="n"/>
      <c r="D369" s="31" t="n"/>
      <c r="E369" s="31" t="n"/>
      <c r="F369" s="31" t="n"/>
      <c r="G369" s="33" t="n"/>
      <c r="H369" s="32" t="n"/>
      <c r="I369" s="22">
        <f>IF(G369="","",ROUND(G369*N(H369)/100,2))</f>
        <v/>
      </c>
      <c r="J369" s="32" t="n"/>
      <c r="K369" s="22">
        <f>IF(G369="","",ROUND(G369*N(J369)/100,2))</f>
        <v/>
      </c>
      <c r="L369" s="22">
        <f>IF(G369="","",G369+I369-K369)</f>
        <v/>
      </c>
      <c r="M369" s="35">
        <f>IF(B369="","",ROUNDUP(MONTH(B369)/3,0))</f>
        <v/>
      </c>
      <c r="N369" s="35">
        <f>IF(B369="","",YEAR(B369))</f>
        <v/>
      </c>
    </row>
    <row r="370">
      <c r="B370" s="37" t="n"/>
      <c r="C370" s="31" t="n"/>
      <c r="D370" s="31" t="n"/>
      <c r="E370" s="31" t="n"/>
      <c r="F370" s="31" t="n"/>
      <c r="G370" s="33" t="n"/>
      <c r="H370" s="32" t="n"/>
      <c r="I370" s="22">
        <f>IF(G370="","",ROUND(G370*N(H370)/100,2))</f>
        <v/>
      </c>
      <c r="J370" s="32" t="n"/>
      <c r="K370" s="22">
        <f>IF(G370="","",ROUND(G370*N(J370)/100,2))</f>
        <v/>
      </c>
      <c r="L370" s="22">
        <f>IF(G370="","",G370+I370-K370)</f>
        <v/>
      </c>
      <c r="M370" s="35">
        <f>IF(B370="","",ROUNDUP(MONTH(B370)/3,0))</f>
        <v/>
      </c>
      <c r="N370" s="35">
        <f>IF(B370="","",YEAR(B370))</f>
        <v/>
      </c>
    </row>
    <row r="371">
      <c r="B371" s="37" t="n"/>
      <c r="C371" s="31" t="n"/>
      <c r="D371" s="31" t="n"/>
      <c r="E371" s="31" t="n"/>
      <c r="F371" s="31" t="n"/>
      <c r="G371" s="33" t="n"/>
      <c r="H371" s="32" t="n"/>
      <c r="I371" s="22">
        <f>IF(G371="","",ROUND(G371*N(H371)/100,2))</f>
        <v/>
      </c>
      <c r="J371" s="32" t="n"/>
      <c r="K371" s="22">
        <f>IF(G371="","",ROUND(G371*N(J371)/100,2))</f>
        <v/>
      </c>
      <c r="L371" s="22">
        <f>IF(G371="","",G371+I371-K371)</f>
        <v/>
      </c>
      <c r="M371" s="35">
        <f>IF(B371="","",ROUNDUP(MONTH(B371)/3,0))</f>
        <v/>
      </c>
      <c r="N371" s="35">
        <f>IF(B371="","",YEAR(B371))</f>
        <v/>
      </c>
    </row>
    <row r="372">
      <c r="B372" s="37" t="n"/>
      <c r="C372" s="31" t="n"/>
      <c r="D372" s="31" t="n"/>
      <c r="E372" s="31" t="n"/>
      <c r="F372" s="31" t="n"/>
      <c r="G372" s="33" t="n"/>
      <c r="H372" s="32" t="n"/>
      <c r="I372" s="22">
        <f>IF(G372="","",ROUND(G372*N(H372)/100,2))</f>
        <v/>
      </c>
      <c r="J372" s="32" t="n"/>
      <c r="K372" s="22">
        <f>IF(G372="","",ROUND(G372*N(J372)/100,2))</f>
        <v/>
      </c>
      <c r="L372" s="22">
        <f>IF(G372="","",G372+I372-K372)</f>
        <v/>
      </c>
      <c r="M372" s="35">
        <f>IF(B372="","",ROUNDUP(MONTH(B372)/3,0))</f>
        <v/>
      </c>
      <c r="N372" s="35">
        <f>IF(B372="","",YEAR(B372))</f>
        <v/>
      </c>
    </row>
    <row r="373">
      <c r="B373" s="37" t="n"/>
      <c r="C373" s="31" t="n"/>
      <c r="D373" s="31" t="n"/>
      <c r="E373" s="31" t="n"/>
      <c r="F373" s="31" t="n"/>
      <c r="G373" s="33" t="n"/>
      <c r="H373" s="32" t="n"/>
      <c r="I373" s="22">
        <f>IF(G373="","",ROUND(G373*N(H373)/100,2))</f>
        <v/>
      </c>
      <c r="J373" s="32" t="n"/>
      <c r="K373" s="22">
        <f>IF(G373="","",ROUND(G373*N(J373)/100,2))</f>
        <v/>
      </c>
      <c r="L373" s="22">
        <f>IF(G373="","",G373+I373-K373)</f>
        <v/>
      </c>
      <c r="M373" s="35">
        <f>IF(B373="","",ROUNDUP(MONTH(B373)/3,0))</f>
        <v/>
      </c>
      <c r="N373" s="35">
        <f>IF(B373="","",YEAR(B373))</f>
        <v/>
      </c>
    </row>
    <row r="374">
      <c r="B374" s="37" t="n"/>
      <c r="C374" s="31" t="n"/>
      <c r="D374" s="31" t="n"/>
      <c r="E374" s="31" t="n"/>
      <c r="F374" s="31" t="n"/>
      <c r="G374" s="33" t="n"/>
      <c r="H374" s="32" t="n"/>
      <c r="I374" s="22">
        <f>IF(G374="","",ROUND(G374*N(H374)/100,2))</f>
        <v/>
      </c>
      <c r="J374" s="32" t="n"/>
      <c r="K374" s="22">
        <f>IF(G374="","",ROUND(G374*N(J374)/100,2))</f>
        <v/>
      </c>
      <c r="L374" s="22">
        <f>IF(G374="","",G374+I374-K374)</f>
        <v/>
      </c>
      <c r="M374" s="35">
        <f>IF(B374="","",ROUNDUP(MONTH(B374)/3,0))</f>
        <v/>
      </c>
      <c r="N374" s="35">
        <f>IF(B374="","",YEAR(B374))</f>
        <v/>
      </c>
    </row>
    <row r="375">
      <c r="B375" s="37" t="n"/>
      <c r="C375" s="31" t="n"/>
      <c r="D375" s="31" t="n"/>
      <c r="E375" s="31" t="n"/>
      <c r="F375" s="31" t="n"/>
      <c r="G375" s="33" t="n"/>
      <c r="H375" s="32" t="n"/>
      <c r="I375" s="22">
        <f>IF(G375="","",ROUND(G375*N(H375)/100,2))</f>
        <v/>
      </c>
      <c r="J375" s="32" t="n"/>
      <c r="K375" s="22">
        <f>IF(G375="","",ROUND(G375*N(J375)/100,2))</f>
        <v/>
      </c>
      <c r="L375" s="22">
        <f>IF(G375="","",G375+I375-K375)</f>
        <v/>
      </c>
      <c r="M375" s="35">
        <f>IF(B375="","",ROUNDUP(MONTH(B375)/3,0))</f>
        <v/>
      </c>
      <c r="N375" s="35">
        <f>IF(B375="","",YEAR(B375))</f>
        <v/>
      </c>
    </row>
    <row r="376">
      <c r="B376" s="37" t="n"/>
      <c r="C376" s="31" t="n"/>
      <c r="D376" s="31" t="n"/>
      <c r="E376" s="31" t="n"/>
      <c r="F376" s="31" t="n"/>
      <c r="G376" s="33" t="n"/>
      <c r="H376" s="32" t="n"/>
      <c r="I376" s="22">
        <f>IF(G376="","",ROUND(G376*N(H376)/100,2))</f>
        <v/>
      </c>
      <c r="J376" s="32" t="n"/>
      <c r="K376" s="22">
        <f>IF(G376="","",ROUND(G376*N(J376)/100,2))</f>
        <v/>
      </c>
      <c r="L376" s="22">
        <f>IF(G376="","",G376+I376-K376)</f>
        <v/>
      </c>
      <c r="M376" s="35">
        <f>IF(B376="","",ROUNDUP(MONTH(B376)/3,0))</f>
        <v/>
      </c>
      <c r="N376" s="35">
        <f>IF(B376="","",YEAR(B376))</f>
        <v/>
      </c>
    </row>
    <row r="377">
      <c r="B377" s="37" t="n"/>
      <c r="C377" s="31" t="n"/>
      <c r="D377" s="31" t="n"/>
      <c r="E377" s="31" t="n"/>
      <c r="F377" s="31" t="n"/>
      <c r="G377" s="33" t="n"/>
      <c r="H377" s="32" t="n"/>
      <c r="I377" s="22">
        <f>IF(G377="","",ROUND(G377*N(H377)/100,2))</f>
        <v/>
      </c>
      <c r="J377" s="32" t="n"/>
      <c r="K377" s="22">
        <f>IF(G377="","",ROUND(G377*N(J377)/100,2))</f>
        <v/>
      </c>
      <c r="L377" s="22">
        <f>IF(G377="","",G377+I377-K377)</f>
        <v/>
      </c>
      <c r="M377" s="35">
        <f>IF(B377="","",ROUNDUP(MONTH(B377)/3,0))</f>
        <v/>
      </c>
      <c r="N377" s="35">
        <f>IF(B377="","",YEAR(B377))</f>
        <v/>
      </c>
    </row>
    <row r="378">
      <c r="B378" s="37" t="n"/>
      <c r="C378" s="31" t="n"/>
      <c r="D378" s="31" t="n"/>
      <c r="E378" s="31" t="n"/>
      <c r="F378" s="31" t="n"/>
      <c r="G378" s="33" t="n"/>
      <c r="H378" s="32" t="n"/>
      <c r="I378" s="22">
        <f>IF(G378="","",ROUND(G378*N(H378)/100,2))</f>
        <v/>
      </c>
      <c r="J378" s="32" t="n"/>
      <c r="K378" s="22">
        <f>IF(G378="","",ROUND(G378*N(J378)/100,2))</f>
        <v/>
      </c>
      <c r="L378" s="22">
        <f>IF(G378="","",G378+I378-K378)</f>
        <v/>
      </c>
      <c r="M378" s="35">
        <f>IF(B378="","",ROUNDUP(MONTH(B378)/3,0))</f>
        <v/>
      </c>
      <c r="N378" s="35">
        <f>IF(B378="","",YEAR(B378))</f>
        <v/>
      </c>
    </row>
    <row r="379">
      <c r="B379" s="37" t="n"/>
      <c r="C379" s="31" t="n"/>
      <c r="D379" s="31" t="n"/>
      <c r="E379" s="31" t="n"/>
      <c r="F379" s="31" t="n"/>
      <c r="G379" s="33" t="n"/>
      <c r="H379" s="32" t="n"/>
      <c r="I379" s="22">
        <f>IF(G379="","",ROUND(G379*N(H379)/100,2))</f>
        <v/>
      </c>
      <c r="J379" s="32" t="n"/>
      <c r="K379" s="22">
        <f>IF(G379="","",ROUND(G379*N(J379)/100,2))</f>
        <v/>
      </c>
      <c r="L379" s="22">
        <f>IF(G379="","",G379+I379-K379)</f>
        <v/>
      </c>
      <c r="M379" s="35">
        <f>IF(B379="","",ROUNDUP(MONTH(B379)/3,0))</f>
        <v/>
      </c>
      <c r="N379" s="35">
        <f>IF(B379="","",YEAR(B379))</f>
        <v/>
      </c>
    </row>
    <row r="380">
      <c r="B380" s="37" t="n"/>
      <c r="C380" s="31" t="n"/>
      <c r="D380" s="31" t="n"/>
      <c r="E380" s="31" t="n"/>
      <c r="F380" s="31" t="n"/>
      <c r="G380" s="33" t="n"/>
      <c r="H380" s="32" t="n"/>
      <c r="I380" s="22">
        <f>IF(G380="","",ROUND(G380*N(H380)/100,2))</f>
        <v/>
      </c>
      <c r="J380" s="32" t="n"/>
      <c r="K380" s="22">
        <f>IF(G380="","",ROUND(G380*N(J380)/100,2))</f>
        <v/>
      </c>
      <c r="L380" s="22">
        <f>IF(G380="","",G380+I380-K380)</f>
        <v/>
      </c>
      <c r="M380" s="35">
        <f>IF(B380="","",ROUNDUP(MONTH(B380)/3,0))</f>
        <v/>
      </c>
      <c r="N380" s="35">
        <f>IF(B380="","",YEAR(B380))</f>
        <v/>
      </c>
    </row>
    <row r="381">
      <c r="B381" s="37" t="n"/>
      <c r="C381" s="31" t="n"/>
      <c r="D381" s="31" t="n"/>
      <c r="E381" s="31" t="n"/>
      <c r="F381" s="31" t="n"/>
      <c r="G381" s="33" t="n"/>
      <c r="H381" s="32" t="n"/>
      <c r="I381" s="22">
        <f>IF(G381="","",ROUND(G381*N(H381)/100,2))</f>
        <v/>
      </c>
      <c r="J381" s="32" t="n"/>
      <c r="K381" s="22">
        <f>IF(G381="","",ROUND(G381*N(J381)/100,2))</f>
        <v/>
      </c>
      <c r="L381" s="22">
        <f>IF(G381="","",G381+I381-K381)</f>
        <v/>
      </c>
      <c r="M381" s="35">
        <f>IF(B381="","",ROUNDUP(MONTH(B381)/3,0))</f>
        <v/>
      </c>
      <c r="N381" s="35">
        <f>IF(B381="","",YEAR(B381))</f>
        <v/>
      </c>
    </row>
    <row r="382">
      <c r="B382" s="37" t="n"/>
      <c r="C382" s="31" t="n"/>
      <c r="D382" s="31" t="n"/>
      <c r="E382" s="31" t="n"/>
      <c r="F382" s="31" t="n"/>
      <c r="G382" s="33" t="n"/>
      <c r="H382" s="32" t="n"/>
      <c r="I382" s="22">
        <f>IF(G382="","",ROUND(G382*N(H382)/100,2))</f>
        <v/>
      </c>
      <c r="J382" s="32" t="n"/>
      <c r="K382" s="22">
        <f>IF(G382="","",ROUND(G382*N(J382)/100,2))</f>
        <v/>
      </c>
      <c r="L382" s="22">
        <f>IF(G382="","",G382+I382-K382)</f>
        <v/>
      </c>
      <c r="M382" s="35">
        <f>IF(B382="","",ROUNDUP(MONTH(B382)/3,0))</f>
        <v/>
      </c>
      <c r="N382" s="35">
        <f>IF(B382="","",YEAR(B382))</f>
        <v/>
      </c>
    </row>
    <row r="383">
      <c r="B383" s="37" t="n"/>
      <c r="C383" s="31" t="n"/>
      <c r="D383" s="31" t="n"/>
      <c r="E383" s="31" t="n"/>
      <c r="F383" s="31" t="n"/>
      <c r="G383" s="33" t="n"/>
      <c r="H383" s="32" t="n"/>
      <c r="I383" s="22">
        <f>IF(G383="","",ROUND(G383*N(H383)/100,2))</f>
        <v/>
      </c>
      <c r="J383" s="32" t="n"/>
      <c r="K383" s="22">
        <f>IF(G383="","",ROUND(G383*N(J383)/100,2))</f>
        <v/>
      </c>
      <c r="L383" s="22">
        <f>IF(G383="","",G383+I383-K383)</f>
        <v/>
      </c>
      <c r="M383" s="35">
        <f>IF(B383="","",ROUNDUP(MONTH(B383)/3,0))</f>
        <v/>
      </c>
      <c r="N383" s="35">
        <f>IF(B383="","",YEAR(B383))</f>
        <v/>
      </c>
    </row>
    <row r="384">
      <c r="B384" s="37" t="n"/>
      <c r="C384" s="31" t="n"/>
      <c r="D384" s="31" t="n"/>
      <c r="E384" s="31" t="n"/>
      <c r="F384" s="31" t="n"/>
      <c r="G384" s="33" t="n"/>
      <c r="H384" s="32" t="n"/>
      <c r="I384" s="22">
        <f>IF(G384="","",ROUND(G384*N(H384)/100,2))</f>
        <v/>
      </c>
      <c r="J384" s="32" t="n"/>
      <c r="K384" s="22">
        <f>IF(G384="","",ROUND(G384*N(J384)/100,2))</f>
        <v/>
      </c>
      <c r="L384" s="22">
        <f>IF(G384="","",G384+I384-K384)</f>
        <v/>
      </c>
      <c r="M384" s="35">
        <f>IF(B384="","",ROUNDUP(MONTH(B384)/3,0))</f>
        <v/>
      </c>
      <c r="N384" s="35">
        <f>IF(B384="","",YEAR(B384))</f>
        <v/>
      </c>
    </row>
    <row r="385">
      <c r="B385" s="37" t="n"/>
      <c r="C385" s="31" t="n"/>
      <c r="D385" s="31" t="n"/>
      <c r="E385" s="31" t="n"/>
      <c r="F385" s="31" t="n"/>
      <c r="G385" s="33" t="n"/>
      <c r="H385" s="32" t="n"/>
      <c r="I385" s="22">
        <f>IF(G385="","",ROUND(G385*N(H385)/100,2))</f>
        <v/>
      </c>
      <c r="J385" s="32" t="n"/>
      <c r="K385" s="22">
        <f>IF(G385="","",ROUND(G385*N(J385)/100,2))</f>
        <v/>
      </c>
      <c r="L385" s="22">
        <f>IF(G385="","",G385+I385-K385)</f>
        <v/>
      </c>
      <c r="M385" s="35">
        <f>IF(B385="","",ROUNDUP(MONTH(B385)/3,0))</f>
        <v/>
      </c>
      <c r="N385" s="35">
        <f>IF(B385="","",YEAR(B385))</f>
        <v/>
      </c>
    </row>
    <row r="386">
      <c r="B386" s="37" t="n"/>
      <c r="C386" s="31" t="n"/>
      <c r="D386" s="31" t="n"/>
      <c r="E386" s="31" t="n"/>
      <c r="F386" s="31" t="n"/>
      <c r="G386" s="33" t="n"/>
      <c r="H386" s="32" t="n"/>
      <c r="I386" s="22">
        <f>IF(G386="","",ROUND(G386*N(H386)/100,2))</f>
        <v/>
      </c>
      <c r="J386" s="32" t="n"/>
      <c r="K386" s="22">
        <f>IF(G386="","",ROUND(G386*N(J386)/100,2))</f>
        <v/>
      </c>
      <c r="L386" s="22">
        <f>IF(G386="","",G386+I386-K386)</f>
        <v/>
      </c>
      <c r="M386" s="35">
        <f>IF(B386="","",ROUNDUP(MONTH(B386)/3,0))</f>
        <v/>
      </c>
      <c r="N386" s="35">
        <f>IF(B386="","",YEAR(B386))</f>
        <v/>
      </c>
    </row>
    <row r="387">
      <c r="B387" s="37" t="n"/>
      <c r="C387" s="31" t="n"/>
      <c r="D387" s="31" t="n"/>
      <c r="E387" s="31" t="n"/>
      <c r="F387" s="31" t="n"/>
      <c r="G387" s="33" t="n"/>
      <c r="H387" s="32" t="n"/>
      <c r="I387" s="22">
        <f>IF(G387="","",ROUND(G387*N(H387)/100,2))</f>
        <v/>
      </c>
      <c r="J387" s="32" t="n"/>
      <c r="K387" s="22">
        <f>IF(G387="","",ROUND(G387*N(J387)/100,2))</f>
        <v/>
      </c>
      <c r="L387" s="22">
        <f>IF(G387="","",G387+I387-K387)</f>
        <v/>
      </c>
      <c r="M387" s="35">
        <f>IF(B387="","",ROUNDUP(MONTH(B387)/3,0))</f>
        <v/>
      </c>
      <c r="N387" s="35">
        <f>IF(B387="","",YEAR(B387))</f>
        <v/>
      </c>
    </row>
    <row r="388">
      <c r="B388" s="37" t="n"/>
      <c r="C388" s="31" t="n"/>
      <c r="D388" s="31" t="n"/>
      <c r="E388" s="31" t="n"/>
      <c r="F388" s="31" t="n"/>
      <c r="G388" s="33" t="n"/>
      <c r="H388" s="32" t="n"/>
      <c r="I388" s="22">
        <f>IF(G388="","",ROUND(G388*N(H388)/100,2))</f>
        <v/>
      </c>
      <c r="J388" s="32" t="n"/>
      <c r="K388" s="22">
        <f>IF(G388="","",ROUND(G388*N(J388)/100,2))</f>
        <v/>
      </c>
      <c r="L388" s="22">
        <f>IF(G388="","",G388+I388-K388)</f>
        <v/>
      </c>
      <c r="M388" s="35">
        <f>IF(B388="","",ROUNDUP(MONTH(B388)/3,0))</f>
        <v/>
      </c>
      <c r="N388" s="35">
        <f>IF(B388="","",YEAR(B388))</f>
        <v/>
      </c>
    </row>
    <row r="389">
      <c r="B389" s="37" t="n"/>
      <c r="C389" s="31" t="n"/>
      <c r="D389" s="31" t="n"/>
      <c r="E389" s="31" t="n"/>
      <c r="F389" s="31" t="n"/>
      <c r="G389" s="33" t="n"/>
      <c r="H389" s="32" t="n"/>
      <c r="I389" s="22">
        <f>IF(G389="","",ROUND(G389*N(H389)/100,2))</f>
        <v/>
      </c>
      <c r="J389" s="32" t="n"/>
      <c r="K389" s="22">
        <f>IF(G389="","",ROUND(G389*N(J389)/100,2))</f>
        <v/>
      </c>
      <c r="L389" s="22">
        <f>IF(G389="","",G389+I389-K389)</f>
        <v/>
      </c>
      <c r="M389" s="35">
        <f>IF(B389="","",ROUNDUP(MONTH(B389)/3,0))</f>
        <v/>
      </c>
      <c r="N389" s="35">
        <f>IF(B389="","",YEAR(B389))</f>
        <v/>
      </c>
    </row>
    <row r="390">
      <c r="B390" s="37" t="n"/>
      <c r="C390" s="31" t="n"/>
      <c r="D390" s="31" t="n"/>
      <c r="E390" s="31" t="n"/>
      <c r="F390" s="31" t="n"/>
      <c r="G390" s="33" t="n"/>
      <c r="H390" s="32" t="n"/>
      <c r="I390" s="22">
        <f>IF(G390="","",ROUND(G390*N(H390)/100,2))</f>
        <v/>
      </c>
      <c r="J390" s="32" t="n"/>
      <c r="K390" s="22">
        <f>IF(G390="","",ROUND(G390*N(J390)/100,2))</f>
        <v/>
      </c>
      <c r="L390" s="22">
        <f>IF(G390="","",G390+I390-K390)</f>
        <v/>
      </c>
      <c r="M390" s="35">
        <f>IF(B390="","",ROUNDUP(MONTH(B390)/3,0))</f>
        <v/>
      </c>
      <c r="N390" s="35">
        <f>IF(B390="","",YEAR(B390))</f>
        <v/>
      </c>
    </row>
    <row r="391">
      <c r="B391" s="37" t="n"/>
      <c r="C391" s="31" t="n"/>
      <c r="D391" s="31" t="n"/>
      <c r="E391" s="31" t="n"/>
      <c r="F391" s="31" t="n"/>
      <c r="G391" s="33" t="n"/>
      <c r="H391" s="32" t="n"/>
      <c r="I391" s="22">
        <f>IF(G391="","",ROUND(G391*N(H391)/100,2))</f>
        <v/>
      </c>
      <c r="J391" s="32" t="n"/>
      <c r="K391" s="22">
        <f>IF(G391="","",ROUND(G391*N(J391)/100,2))</f>
        <v/>
      </c>
      <c r="L391" s="22">
        <f>IF(G391="","",G391+I391-K391)</f>
        <v/>
      </c>
      <c r="M391" s="35">
        <f>IF(B391="","",ROUNDUP(MONTH(B391)/3,0))</f>
        <v/>
      </c>
      <c r="N391" s="35">
        <f>IF(B391="","",YEAR(B391))</f>
        <v/>
      </c>
    </row>
    <row r="392">
      <c r="B392" s="37" t="n"/>
      <c r="C392" s="31" t="n"/>
      <c r="D392" s="31" t="n"/>
      <c r="E392" s="31" t="n"/>
      <c r="F392" s="31" t="n"/>
      <c r="G392" s="33" t="n"/>
      <c r="H392" s="32" t="n"/>
      <c r="I392" s="22">
        <f>IF(G392="","",ROUND(G392*N(H392)/100,2))</f>
        <v/>
      </c>
      <c r="J392" s="32" t="n"/>
      <c r="K392" s="22">
        <f>IF(G392="","",ROUND(G392*N(J392)/100,2))</f>
        <v/>
      </c>
      <c r="L392" s="22">
        <f>IF(G392="","",G392+I392-K392)</f>
        <v/>
      </c>
      <c r="M392" s="35">
        <f>IF(B392="","",ROUNDUP(MONTH(B392)/3,0))</f>
        <v/>
      </c>
      <c r="N392" s="35">
        <f>IF(B392="","",YEAR(B392))</f>
        <v/>
      </c>
    </row>
    <row r="393">
      <c r="B393" s="37" t="n"/>
      <c r="C393" s="31" t="n"/>
      <c r="D393" s="31" t="n"/>
      <c r="E393" s="31" t="n"/>
      <c r="F393" s="31" t="n"/>
      <c r="G393" s="33" t="n"/>
      <c r="H393" s="32" t="n"/>
      <c r="I393" s="22">
        <f>IF(G393="","",ROUND(G393*N(H393)/100,2))</f>
        <v/>
      </c>
      <c r="J393" s="32" t="n"/>
      <c r="K393" s="22">
        <f>IF(G393="","",ROUND(G393*N(J393)/100,2))</f>
        <v/>
      </c>
      <c r="L393" s="22">
        <f>IF(G393="","",G393+I393-K393)</f>
        <v/>
      </c>
      <c r="M393" s="35">
        <f>IF(B393="","",ROUNDUP(MONTH(B393)/3,0))</f>
        <v/>
      </c>
      <c r="N393" s="35">
        <f>IF(B393="","",YEAR(B393))</f>
        <v/>
      </c>
    </row>
    <row r="394">
      <c r="B394" s="37" t="n"/>
      <c r="C394" s="31" t="n"/>
      <c r="D394" s="31" t="n"/>
      <c r="E394" s="31" t="n"/>
      <c r="F394" s="31" t="n"/>
      <c r="G394" s="33" t="n"/>
      <c r="H394" s="32" t="n"/>
      <c r="I394" s="22">
        <f>IF(G394="","",ROUND(G394*N(H394)/100,2))</f>
        <v/>
      </c>
      <c r="J394" s="32" t="n"/>
      <c r="K394" s="22">
        <f>IF(G394="","",ROUND(G394*N(J394)/100,2))</f>
        <v/>
      </c>
      <c r="L394" s="22">
        <f>IF(G394="","",G394+I394-K394)</f>
        <v/>
      </c>
      <c r="M394" s="35">
        <f>IF(B394="","",ROUNDUP(MONTH(B394)/3,0))</f>
        <v/>
      </c>
      <c r="N394" s="35">
        <f>IF(B394="","",YEAR(B394))</f>
        <v/>
      </c>
    </row>
    <row r="395">
      <c r="B395" s="37" t="n"/>
      <c r="C395" s="31" t="n"/>
      <c r="D395" s="31" t="n"/>
      <c r="E395" s="31" t="n"/>
      <c r="F395" s="31" t="n"/>
      <c r="G395" s="33" t="n"/>
      <c r="H395" s="32" t="n"/>
      <c r="I395" s="22">
        <f>IF(G395="","",ROUND(G395*N(H395)/100,2))</f>
        <v/>
      </c>
      <c r="J395" s="32" t="n"/>
      <c r="K395" s="22">
        <f>IF(G395="","",ROUND(G395*N(J395)/100,2))</f>
        <v/>
      </c>
      <c r="L395" s="22">
        <f>IF(G395="","",G395+I395-K395)</f>
        <v/>
      </c>
      <c r="M395" s="35">
        <f>IF(B395="","",ROUNDUP(MONTH(B395)/3,0))</f>
        <v/>
      </c>
      <c r="N395" s="35">
        <f>IF(B395="","",YEAR(B395))</f>
        <v/>
      </c>
    </row>
    <row r="396">
      <c r="B396" s="37" t="n"/>
      <c r="C396" s="31" t="n"/>
      <c r="D396" s="31" t="n"/>
      <c r="E396" s="31" t="n"/>
      <c r="F396" s="31" t="n"/>
      <c r="G396" s="33" t="n"/>
      <c r="H396" s="32" t="n"/>
      <c r="I396" s="22">
        <f>IF(G396="","",ROUND(G396*N(H396)/100,2))</f>
        <v/>
      </c>
      <c r="J396" s="32" t="n"/>
      <c r="K396" s="22">
        <f>IF(G396="","",ROUND(G396*N(J396)/100,2))</f>
        <v/>
      </c>
      <c r="L396" s="22">
        <f>IF(G396="","",G396+I396-K396)</f>
        <v/>
      </c>
      <c r="M396" s="35">
        <f>IF(B396="","",ROUNDUP(MONTH(B396)/3,0))</f>
        <v/>
      </c>
      <c r="N396" s="35">
        <f>IF(B396="","",YEAR(B396))</f>
        <v/>
      </c>
    </row>
    <row r="397">
      <c r="B397" s="37" t="n"/>
      <c r="C397" s="31" t="n"/>
      <c r="D397" s="31" t="n"/>
      <c r="E397" s="31" t="n"/>
      <c r="F397" s="31" t="n"/>
      <c r="G397" s="33" t="n"/>
      <c r="H397" s="32" t="n"/>
      <c r="I397" s="22">
        <f>IF(G397="","",ROUND(G397*N(H397)/100,2))</f>
        <v/>
      </c>
      <c r="J397" s="32" t="n"/>
      <c r="K397" s="22">
        <f>IF(G397="","",ROUND(G397*N(J397)/100,2))</f>
        <v/>
      </c>
      <c r="L397" s="22">
        <f>IF(G397="","",G397+I397-K397)</f>
        <v/>
      </c>
      <c r="M397" s="35">
        <f>IF(B397="","",ROUNDUP(MONTH(B397)/3,0))</f>
        <v/>
      </c>
      <c r="N397" s="35">
        <f>IF(B397="","",YEAR(B397))</f>
        <v/>
      </c>
    </row>
    <row r="398">
      <c r="B398" s="37" t="n"/>
      <c r="C398" s="31" t="n"/>
      <c r="D398" s="31" t="n"/>
      <c r="E398" s="31" t="n"/>
      <c r="F398" s="31" t="n"/>
      <c r="G398" s="33" t="n"/>
      <c r="H398" s="32" t="n"/>
      <c r="I398" s="22">
        <f>IF(G398="","",ROUND(G398*N(H398)/100,2))</f>
        <v/>
      </c>
      <c r="J398" s="32" t="n"/>
      <c r="K398" s="22">
        <f>IF(G398="","",ROUND(G398*N(J398)/100,2))</f>
        <v/>
      </c>
      <c r="L398" s="22">
        <f>IF(G398="","",G398+I398-K398)</f>
        <v/>
      </c>
      <c r="M398" s="35">
        <f>IF(B398="","",ROUNDUP(MONTH(B398)/3,0))</f>
        <v/>
      </c>
      <c r="N398" s="35">
        <f>IF(B398="","",YEAR(B398))</f>
        <v/>
      </c>
    </row>
    <row r="399">
      <c r="B399" s="37" t="n"/>
      <c r="C399" s="31" t="n"/>
      <c r="D399" s="31" t="n"/>
      <c r="E399" s="31" t="n"/>
      <c r="F399" s="31" t="n"/>
      <c r="G399" s="33" t="n"/>
      <c r="H399" s="32" t="n"/>
      <c r="I399" s="22">
        <f>IF(G399="","",ROUND(G399*N(H399)/100,2))</f>
        <v/>
      </c>
      <c r="J399" s="32" t="n"/>
      <c r="K399" s="22">
        <f>IF(G399="","",ROUND(G399*N(J399)/100,2))</f>
        <v/>
      </c>
      <c r="L399" s="22">
        <f>IF(G399="","",G399+I399-K399)</f>
        <v/>
      </c>
      <c r="M399" s="35">
        <f>IF(B399="","",ROUNDUP(MONTH(B399)/3,0))</f>
        <v/>
      </c>
      <c r="N399" s="35">
        <f>IF(B399="","",YEAR(B399))</f>
        <v/>
      </c>
    </row>
    <row r="400">
      <c r="B400" s="37" t="n"/>
      <c r="C400" s="31" t="n"/>
      <c r="D400" s="31" t="n"/>
      <c r="E400" s="31" t="n"/>
      <c r="F400" s="31" t="n"/>
      <c r="G400" s="33" t="n"/>
      <c r="H400" s="32" t="n"/>
      <c r="I400" s="22">
        <f>IF(G400="","",ROUND(G400*N(H400)/100,2))</f>
        <v/>
      </c>
      <c r="J400" s="32" t="n"/>
      <c r="K400" s="22">
        <f>IF(G400="","",ROUND(G400*N(J400)/100,2))</f>
        <v/>
      </c>
      <c r="L400" s="22">
        <f>IF(G400="","",G400+I400-K400)</f>
        <v/>
      </c>
      <c r="M400" s="35">
        <f>IF(B400="","",ROUNDUP(MONTH(B400)/3,0))</f>
        <v/>
      </c>
      <c r="N400" s="35">
        <f>IF(B400="","",YEAR(B400))</f>
        <v/>
      </c>
    </row>
    <row r="401">
      <c r="B401" s="37" t="n"/>
      <c r="C401" s="31" t="n"/>
      <c r="D401" s="31" t="n"/>
      <c r="E401" s="31" t="n"/>
      <c r="F401" s="31" t="n"/>
      <c r="G401" s="33" t="n"/>
      <c r="H401" s="32" t="n"/>
      <c r="I401" s="22">
        <f>IF(G401="","",ROUND(G401*N(H401)/100,2))</f>
        <v/>
      </c>
      <c r="J401" s="32" t="n"/>
      <c r="K401" s="22">
        <f>IF(G401="","",ROUND(G401*N(J401)/100,2))</f>
        <v/>
      </c>
      <c r="L401" s="22">
        <f>IF(G401="","",G401+I401-K401)</f>
        <v/>
      </c>
      <c r="M401" s="35">
        <f>IF(B401="","",ROUNDUP(MONTH(B401)/3,0))</f>
        <v/>
      </c>
      <c r="N401" s="35">
        <f>IF(B401="","",YEAR(B401))</f>
        <v/>
      </c>
    </row>
    <row r="402">
      <c r="B402" s="37" t="n"/>
      <c r="C402" s="31" t="n"/>
      <c r="D402" s="31" t="n"/>
      <c r="E402" s="31" t="n"/>
      <c r="F402" s="31" t="n"/>
      <c r="G402" s="33" t="n"/>
      <c r="H402" s="32" t="n"/>
      <c r="I402" s="22">
        <f>IF(G402="","",ROUND(G402*N(H402)/100,2))</f>
        <v/>
      </c>
      <c r="J402" s="32" t="n"/>
      <c r="K402" s="22">
        <f>IF(G402="","",ROUND(G402*N(J402)/100,2))</f>
        <v/>
      </c>
      <c r="L402" s="22">
        <f>IF(G402="","",G402+I402-K402)</f>
        <v/>
      </c>
      <c r="M402" s="35">
        <f>IF(B402="","",ROUNDUP(MONTH(B402)/3,0))</f>
        <v/>
      </c>
      <c r="N402" s="35">
        <f>IF(B402="","",YEAR(B402))</f>
        <v/>
      </c>
    </row>
    <row r="403">
      <c r="B403" s="37" t="n"/>
      <c r="C403" s="31" t="n"/>
      <c r="D403" s="31" t="n"/>
      <c r="E403" s="31" t="n"/>
      <c r="F403" s="31" t="n"/>
      <c r="G403" s="33" t="n"/>
      <c r="H403" s="32" t="n"/>
      <c r="I403" s="22">
        <f>IF(G403="","",ROUND(G403*N(H403)/100,2))</f>
        <v/>
      </c>
      <c r="J403" s="32" t="n"/>
      <c r="K403" s="22">
        <f>IF(G403="","",ROUND(G403*N(J403)/100,2))</f>
        <v/>
      </c>
      <c r="L403" s="22">
        <f>IF(G403="","",G403+I403-K403)</f>
        <v/>
      </c>
      <c r="M403" s="35">
        <f>IF(B403="","",ROUNDUP(MONTH(B403)/3,0))</f>
        <v/>
      </c>
      <c r="N403" s="35">
        <f>IF(B403="","",YEAR(B403))</f>
        <v/>
      </c>
    </row>
    <row r="404">
      <c r="B404" s="37" t="n"/>
      <c r="C404" s="31" t="n"/>
      <c r="D404" s="31" t="n"/>
      <c r="E404" s="31" t="n"/>
      <c r="F404" s="31" t="n"/>
      <c r="G404" s="33" t="n"/>
      <c r="H404" s="32" t="n"/>
      <c r="I404" s="22">
        <f>IF(G404="","",ROUND(G404*N(H404)/100,2))</f>
        <v/>
      </c>
      <c r="J404" s="32" t="n"/>
      <c r="K404" s="22">
        <f>IF(G404="","",ROUND(G404*N(J404)/100,2))</f>
        <v/>
      </c>
      <c r="L404" s="22">
        <f>IF(G404="","",G404+I404-K404)</f>
        <v/>
      </c>
      <c r="M404" s="35">
        <f>IF(B404="","",ROUNDUP(MONTH(B404)/3,0))</f>
        <v/>
      </c>
      <c r="N404" s="35">
        <f>IF(B404="","",YEAR(B404))</f>
        <v/>
      </c>
    </row>
    <row r="405">
      <c r="B405" s="37" t="n"/>
      <c r="C405" s="31" t="n"/>
      <c r="D405" s="31" t="n"/>
      <c r="E405" s="31" t="n"/>
      <c r="F405" s="31" t="n"/>
      <c r="G405" s="33" t="n"/>
      <c r="H405" s="32" t="n"/>
      <c r="I405" s="22">
        <f>IF(G405="","",ROUND(G405*N(H405)/100,2))</f>
        <v/>
      </c>
      <c r="J405" s="32" t="n"/>
      <c r="K405" s="22">
        <f>IF(G405="","",ROUND(G405*N(J405)/100,2))</f>
        <v/>
      </c>
      <c r="L405" s="22">
        <f>IF(G405="","",G405+I405-K405)</f>
        <v/>
      </c>
      <c r="M405" s="35">
        <f>IF(B405="","",ROUNDUP(MONTH(B405)/3,0))</f>
        <v/>
      </c>
      <c r="N405" s="35">
        <f>IF(B405="","",YEAR(B405))</f>
        <v/>
      </c>
    </row>
    <row r="406">
      <c r="B406" s="37" t="n"/>
      <c r="C406" s="31" t="n"/>
      <c r="D406" s="31" t="n"/>
      <c r="E406" s="31" t="n"/>
      <c r="F406" s="31" t="n"/>
      <c r="G406" s="33" t="n"/>
      <c r="H406" s="32" t="n"/>
      <c r="I406" s="22">
        <f>IF(G406="","",ROUND(G406*N(H406)/100,2))</f>
        <v/>
      </c>
      <c r="J406" s="32" t="n"/>
      <c r="K406" s="22">
        <f>IF(G406="","",ROUND(G406*N(J406)/100,2))</f>
        <v/>
      </c>
      <c r="L406" s="22">
        <f>IF(G406="","",G406+I406-K406)</f>
        <v/>
      </c>
      <c r="M406" s="35">
        <f>IF(B406="","",ROUNDUP(MONTH(B406)/3,0))</f>
        <v/>
      </c>
      <c r="N406" s="35">
        <f>IF(B406="","",YEAR(B406))</f>
        <v/>
      </c>
    </row>
    <row r="407">
      <c r="B407" s="37" t="n"/>
      <c r="C407" s="31" t="n"/>
      <c r="D407" s="31" t="n"/>
      <c r="E407" s="31" t="n"/>
      <c r="F407" s="31" t="n"/>
      <c r="G407" s="33" t="n"/>
      <c r="H407" s="32" t="n"/>
      <c r="I407" s="22">
        <f>IF(G407="","",ROUND(G407*N(H407)/100,2))</f>
        <v/>
      </c>
      <c r="J407" s="32" t="n"/>
      <c r="K407" s="22">
        <f>IF(G407="","",ROUND(G407*N(J407)/100,2))</f>
        <v/>
      </c>
      <c r="L407" s="22">
        <f>IF(G407="","",G407+I407-K407)</f>
        <v/>
      </c>
      <c r="M407" s="35">
        <f>IF(B407="","",ROUNDUP(MONTH(B407)/3,0))</f>
        <v/>
      </c>
      <c r="N407" s="35">
        <f>IF(B407="","",YEAR(B407))</f>
        <v/>
      </c>
    </row>
  </sheetData>
  <autoFilter ref="B7:N407"/>
  <conditionalFormatting sqref="H8:H407">
    <cfRule type="expression" priority="1" dxfId="0">
      <formula>AND($G8&lt;&gt;"",$H8="")</formula>
    </cfRule>
  </conditionalFormatting>
  <conditionalFormatting sqref="B8:N407">
    <cfRule type="expression" priority="2" dxfId="1">
      <formula>AND($N8&lt;&gt;"",$N8&lt;&gt;ANIO)</formula>
    </cfRule>
  </conditionalFormatting>
  <dataValidations count="4">
    <dataValidation sqref="H8:H407" showDropDown="0" showInputMessage="0" showErrorMessage="1" allowBlank="1" errorTitle="Valor no válido" error="Elige 21, 10, 4 o 0 (exenta o inversión del sujeto pasivo)." type="list">
      <formula1>"21,10,4,0"</formula1>
    </dataValidation>
    <dataValidation sqref="J8:J407" showDropDown="0" showInputMessage="0" showErrorMessage="1" allowBlank="1" errorTitle="Valor no válido" error="Elige la retención que pone tu factura: 15 % general, 7 % los tres primeros años." type="list">
      <formula1>"0,1,2,7,15,19"</formula1>
    </dataValidation>
    <dataValidation sqref="B8:B407" showDropDown="0" showInputMessage="0" showErrorMessage="1" allowBlank="1" errorTitle="Fecha no válida" error="Escribe una fecha, por ejemplo 15/03/2027." type="date" operator="greaterThan">
      <formula1>1</formula1>
    </dataValidation>
    <dataValidation sqref="G8:G407" showDropDown="0" showInputMessage="0" showErrorMessage="1" allowBlank="1" errorTitle="Número no válido" error="Escribe un número (sin el símbolo de moneda)." type="decimal" operator="greaterThanOrEqual">
      <formula1>-1000000000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A38B"/>
    <outlinePr summaryBelow="1" summaryRight="1"/>
    <pageSetUpPr fitToPage="1"/>
  </sheetPr>
  <dimension ref="A1:P407"/>
  <sheetViews>
    <sheetView showGridLines="0" tabSelected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24" customWidth="1" min="4" max="4"/>
    <col width="13" customWidth="1" min="5" max="5"/>
    <col width="22" customWidth="1" min="6" max="6"/>
    <col width="18" customWidth="1" min="7" max="7"/>
    <col width="13" customWidth="1" min="8" max="8"/>
    <col width="7" customWidth="1" min="9" max="9"/>
    <col width="11" customWidth="1" min="10" max="10"/>
    <col width="9" customWidth="1" min="11" max="11"/>
    <col width="9" customWidth="1" min="12" max="12"/>
    <col width="12" customWidth="1" min="13" max="13"/>
    <col width="13" customWidth="1" min="14" max="14"/>
    <col width="6" customWidth="1" min="15" max="15"/>
    <col width="7" customWidth="1" min="16" max="1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4" customHeight="1">
      <c r="A2" s="1" t="n"/>
      <c r="B2" s="14" t="inlineStr">
        <is>
          <t>Libro registro de facturas recibidas 2027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5" t="inlineStr">
        <is>
          <t>ImpuestoClaro</t>
        </is>
      </c>
    </row>
    <row r="3" ht="20" customHeight="1">
      <c r="A3" s="1" t="n"/>
      <c r="B3" s="16" t="inlineStr">
        <is>
          <t>Gastos de la actividad. La cuota de autónomos no se apunta aquí: se suma sola.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30" t="inlineStr">
        <is>
          <t>Amarillo</t>
        </is>
      </c>
      <c r="C5" s="12" t="inlineStr">
        <is>
          <t>Escribe tú en las celdas amarillas. Las demás se calculan solas: no hace falta tocarlas.</t>
        </is>
      </c>
    </row>
    <row r="6">
      <c r="B6" s="12" t="inlineStr">
        <is>
          <t>Vacío en «¿IVA deducible?» = Sí; vacío en «% afectación» = 100 %. Totales del año:</t>
        </is>
      </c>
      <c r="H6" s="23">
        <f>SUMIFS(H8:H407,P8:P407,ANIO)</f>
        <v/>
      </c>
      <c r="M6" s="23">
        <f>SUMIFS(M8:M407,P8:P407,ANIO)</f>
        <v/>
      </c>
      <c r="N6" s="23">
        <f>SUMIFS(N8:N407,P8:P407,ANIO)</f>
        <v/>
      </c>
    </row>
    <row r="7" ht="30" customHeight="1">
      <c r="B7" s="21" t="inlineStr">
        <is>
          <t>Fecha</t>
        </is>
      </c>
      <c r="C7" s="21" t="inlineStr">
        <is>
          <t>Nº factura</t>
        </is>
      </c>
      <c r="D7" s="21" t="inlineStr">
        <is>
          <t>Proveedor</t>
        </is>
      </c>
      <c r="E7" s="21" t="inlineStr">
        <is>
          <t>NIF proveedor</t>
        </is>
      </c>
      <c r="F7" s="21" t="inlineStr">
        <is>
          <t>Concepto</t>
        </is>
      </c>
      <c r="G7" s="21" t="inlineStr">
        <is>
          <t>Categoría</t>
        </is>
      </c>
      <c r="H7" s="21" t="inlineStr">
        <is>
          <t>Base imponible</t>
        </is>
      </c>
      <c r="I7" s="21" t="inlineStr">
        <is>
          <t>IVA %</t>
        </is>
      </c>
      <c r="J7" s="21" t="inlineStr">
        <is>
          <t>Cuota IVA</t>
        </is>
      </c>
      <c r="K7" s="21" t="inlineStr">
        <is>
          <t>¿IVA deducible?</t>
        </is>
      </c>
      <c r="L7" s="21" t="inlineStr">
        <is>
          <t>% afectación</t>
        </is>
      </c>
      <c r="M7" s="21" t="inlineStr">
        <is>
          <t>IVA deducible</t>
        </is>
      </c>
      <c r="N7" s="21" t="inlineStr">
        <is>
          <t>Gasto deducible IRPF</t>
        </is>
      </c>
      <c r="O7" s="21" t="inlineStr">
        <is>
          <t>Trim.</t>
        </is>
      </c>
      <c r="P7" s="21" t="inlineStr">
        <is>
          <t>Año</t>
        </is>
      </c>
    </row>
    <row r="8">
      <c r="B8" s="37" t="n"/>
      <c r="C8" s="31" t="n"/>
      <c r="D8" s="31" t="n"/>
      <c r="E8" s="31" t="n"/>
      <c r="F8" s="31" t="n"/>
      <c r="G8" s="31" t="n"/>
      <c r="H8" s="33" t="n"/>
      <c r="I8" s="32" t="n"/>
      <c r="J8" s="22">
        <f>IF(H8="","",ROUND(H8*N(I8)/100,2))</f>
        <v/>
      </c>
      <c r="K8" s="30" t="n"/>
      <c r="L8" s="32" t="n"/>
      <c r="M8" s="22">
        <f>IF(H8="","",IF(K8="No",0,H8*N(I8)/100*IF(L8="",100,L8)/100))</f>
        <v/>
      </c>
      <c r="N8" s="22">
        <f>IF(H8="","",H8*IF(L8="",100,L8)/100+IF(K8="No",H8*N(I8)/100*IF(L8="",100,L8)/100,0))</f>
        <v/>
      </c>
      <c r="O8" s="35">
        <f>IF(B8="","",ROUNDUP(MONTH(B8)/3,0))</f>
        <v/>
      </c>
      <c r="P8" s="35">
        <f>IF(B8="","",YEAR(B8))</f>
        <v/>
      </c>
    </row>
    <row r="9">
      <c r="B9" s="37" t="n"/>
      <c r="C9" s="31" t="n"/>
      <c r="D9" s="31" t="n"/>
      <c r="E9" s="31" t="n"/>
      <c r="F9" s="31" t="n"/>
      <c r="G9" s="31" t="n"/>
      <c r="H9" s="33" t="n"/>
      <c r="I9" s="32" t="n"/>
      <c r="J9" s="22">
        <f>IF(H9="","",ROUND(H9*N(I9)/100,2))</f>
        <v/>
      </c>
      <c r="K9" s="30" t="n"/>
      <c r="L9" s="32" t="n"/>
      <c r="M9" s="22">
        <f>IF(H9="","",IF(K9="No",0,H9*N(I9)/100*IF(L9="",100,L9)/100))</f>
        <v/>
      </c>
      <c r="N9" s="22">
        <f>IF(H9="","",H9*IF(L9="",100,L9)/100+IF(K9="No",H9*N(I9)/100*IF(L9="",100,L9)/100,0))</f>
        <v/>
      </c>
      <c r="O9" s="35">
        <f>IF(B9="","",ROUNDUP(MONTH(B9)/3,0))</f>
        <v/>
      </c>
      <c r="P9" s="35">
        <f>IF(B9="","",YEAR(B9))</f>
        <v/>
      </c>
    </row>
    <row r="10">
      <c r="B10" s="37" t="n"/>
      <c r="C10" s="31" t="n"/>
      <c r="D10" s="31" t="n"/>
      <c r="E10" s="31" t="n"/>
      <c r="F10" s="31" t="n"/>
      <c r="G10" s="31" t="n"/>
      <c r="H10" s="33" t="n"/>
      <c r="I10" s="32" t="n"/>
      <c r="J10" s="22">
        <f>IF(H10="","",ROUND(H10*N(I10)/100,2))</f>
        <v/>
      </c>
      <c r="K10" s="30" t="n"/>
      <c r="L10" s="32" t="n"/>
      <c r="M10" s="22">
        <f>IF(H10="","",IF(K10="No",0,H10*N(I10)/100*IF(L10="",100,L10)/100))</f>
        <v/>
      </c>
      <c r="N10" s="22">
        <f>IF(H10="","",H10*IF(L10="",100,L10)/100+IF(K10="No",H10*N(I10)/100*IF(L10="",100,L10)/100,0))</f>
        <v/>
      </c>
      <c r="O10" s="35">
        <f>IF(B10="","",ROUNDUP(MONTH(B10)/3,0))</f>
        <v/>
      </c>
      <c r="P10" s="35">
        <f>IF(B10="","",YEAR(B10))</f>
        <v/>
      </c>
    </row>
    <row r="11">
      <c r="B11" s="37" t="n"/>
      <c r="C11" s="31" t="n"/>
      <c r="D11" s="31" t="n"/>
      <c r="E11" s="31" t="n"/>
      <c r="F11" s="31" t="n"/>
      <c r="G11" s="31" t="n"/>
      <c r="H11" s="33" t="n"/>
      <c r="I11" s="32" t="n"/>
      <c r="J11" s="22">
        <f>IF(H11="","",ROUND(H11*N(I11)/100,2))</f>
        <v/>
      </c>
      <c r="K11" s="30" t="n"/>
      <c r="L11" s="32" t="n"/>
      <c r="M11" s="22">
        <f>IF(H11="","",IF(K11="No",0,H11*N(I11)/100*IF(L11="",100,L11)/100))</f>
        <v/>
      </c>
      <c r="N11" s="22">
        <f>IF(H11="","",H11*IF(L11="",100,L11)/100+IF(K11="No",H11*N(I11)/100*IF(L11="",100,L11)/100,0))</f>
        <v/>
      </c>
      <c r="O11" s="35">
        <f>IF(B11="","",ROUNDUP(MONTH(B11)/3,0))</f>
        <v/>
      </c>
      <c r="P11" s="35">
        <f>IF(B11="","",YEAR(B11))</f>
        <v/>
      </c>
    </row>
    <row r="12">
      <c r="B12" s="37" t="n"/>
      <c r="C12" s="31" t="n"/>
      <c r="D12" s="31" t="n"/>
      <c r="E12" s="31" t="n"/>
      <c r="F12" s="31" t="n"/>
      <c r="G12" s="31" t="n"/>
      <c r="H12" s="33" t="n"/>
      <c r="I12" s="32" t="n"/>
      <c r="J12" s="22">
        <f>IF(H12="","",ROUND(H12*N(I12)/100,2))</f>
        <v/>
      </c>
      <c r="K12" s="30" t="n"/>
      <c r="L12" s="32" t="n"/>
      <c r="M12" s="22">
        <f>IF(H12="","",IF(K12="No",0,H12*N(I12)/100*IF(L12="",100,L12)/100))</f>
        <v/>
      </c>
      <c r="N12" s="22">
        <f>IF(H12="","",H12*IF(L12="",100,L12)/100+IF(K12="No",H12*N(I12)/100*IF(L12="",100,L12)/100,0))</f>
        <v/>
      </c>
      <c r="O12" s="35">
        <f>IF(B12="","",ROUNDUP(MONTH(B12)/3,0))</f>
        <v/>
      </c>
      <c r="P12" s="35">
        <f>IF(B12="","",YEAR(B12))</f>
        <v/>
      </c>
    </row>
    <row r="13">
      <c r="B13" s="37" t="n"/>
      <c r="C13" s="31" t="n"/>
      <c r="D13" s="31" t="n"/>
      <c r="E13" s="31" t="n"/>
      <c r="F13" s="31" t="n"/>
      <c r="G13" s="31" t="n"/>
      <c r="H13" s="33" t="n"/>
      <c r="I13" s="32" t="n"/>
      <c r="J13" s="22">
        <f>IF(H13="","",ROUND(H13*N(I13)/100,2))</f>
        <v/>
      </c>
      <c r="K13" s="30" t="n"/>
      <c r="L13" s="32" t="n"/>
      <c r="M13" s="22">
        <f>IF(H13="","",IF(K13="No",0,H13*N(I13)/100*IF(L13="",100,L13)/100))</f>
        <v/>
      </c>
      <c r="N13" s="22">
        <f>IF(H13="","",H13*IF(L13="",100,L13)/100+IF(K13="No",H13*N(I13)/100*IF(L13="",100,L13)/100,0))</f>
        <v/>
      </c>
      <c r="O13" s="35">
        <f>IF(B13="","",ROUNDUP(MONTH(B13)/3,0))</f>
        <v/>
      </c>
      <c r="P13" s="35">
        <f>IF(B13="","",YEAR(B13))</f>
        <v/>
      </c>
    </row>
    <row r="14">
      <c r="B14" s="37" t="n"/>
      <c r="C14" s="31" t="n"/>
      <c r="D14" s="31" t="n"/>
      <c r="E14" s="31" t="n"/>
      <c r="F14" s="31" t="n"/>
      <c r="G14" s="31" t="n"/>
      <c r="H14" s="33" t="n"/>
      <c r="I14" s="32" t="n"/>
      <c r="J14" s="22">
        <f>IF(H14="","",ROUND(H14*N(I14)/100,2))</f>
        <v/>
      </c>
      <c r="K14" s="30" t="n"/>
      <c r="L14" s="32" t="n"/>
      <c r="M14" s="22">
        <f>IF(H14="","",IF(K14="No",0,H14*N(I14)/100*IF(L14="",100,L14)/100))</f>
        <v/>
      </c>
      <c r="N14" s="22">
        <f>IF(H14="","",H14*IF(L14="",100,L14)/100+IF(K14="No",H14*N(I14)/100*IF(L14="",100,L14)/100,0))</f>
        <v/>
      </c>
      <c r="O14" s="35">
        <f>IF(B14="","",ROUNDUP(MONTH(B14)/3,0))</f>
        <v/>
      </c>
      <c r="P14" s="35">
        <f>IF(B14="","",YEAR(B14))</f>
        <v/>
      </c>
    </row>
    <row r="15">
      <c r="B15" s="37" t="n"/>
      <c r="C15" s="31" t="n"/>
      <c r="D15" s="31" t="n"/>
      <c r="E15" s="31" t="n"/>
      <c r="F15" s="31" t="n"/>
      <c r="G15" s="31" t="n"/>
      <c r="H15" s="33" t="n"/>
      <c r="I15" s="32" t="n"/>
      <c r="J15" s="22">
        <f>IF(H15="","",ROUND(H15*N(I15)/100,2))</f>
        <v/>
      </c>
      <c r="K15" s="30" t="n"/>
      <c r="L15" s="32" t="n"/>
      <c r="M15" s="22">
        <f>IF(H15="","",IF(K15="No",0,H15*N(I15)/100*IF(L15="",100,L15)/100))</f>
        <v/>
      </c>
      <c r="N15" s="22">
        <f>IF(H15="","",H15*IF(L15="",100,L15)/100+IF(K15="No",H15*N(I15)/100*IF(L15="",100,L15)/100,0))</f>
        <v/>
      </c>
      <c r="O15" s="35">
        <f>IF(B15="","",ROUNDUP(MONTH(B15)/3,0))</f>
        <v/>
      </c>
      <c r="P15" s="35">
        <f>IF(B15="","",YEAR(B15))</f>
        <v/>
      </c>
    </row>
    <row r="16">
      <c r="B16" s="37" t="n"/>
      <c r="C16" s="31" t="n"/>
      <c r="D16" s="31" t="n"/>
      <c r="E16" s="31" t="n"/>
      <c r="F16" s="31" t="n"/>
      <c r="G16" s="31" t="n"/>
      <c r="H16" s="33" t="n"/>
      <c r="I16" s="32" t="n"/>
      <c r="J16" s="22">
        <f>IF(H16="","",ROUND(H16*N(I16)/100,2))</f>
        <v/>
      </c>
      <c r="K16" s="30" t="n"/>
      <c r="L16" s="32" t="n"/>
      <c r="M16" s="22">
        <f>IF(H16="","",IF(K16="No",0,H16*N(I16)/100*IF(L16="",100,L16)/100))</f>
        <v/>
      </c>
      <c r="N16" s="22">
        <f>IF(H16="","",H16*IF(L16="",100,L16)/100+IF(K16="No",H16*N(I16)/100*IF(L16="",100,L16)/100,0))</f>
        <v/>
      </c>
      <c r="O16" s="35">
        <f>IF(B16="","",ROUNDUP(MONTH(B16)/3,0))</f>
        <v/>
      </c>
      <c r="P16" s="35">
        <f>IF(B16="","",YEAR(B16))</f>
        <v/>
      </c>
    </row>
    <row r="17">
      <c r="B17" s="37" t="n"/>
      <c r="C17" s="31" t="n"/>
      <c r="D17" s="31" t="n"/>
      <c r="E17" s="31" t="n"/>
      <c r="F17" s="31" t="n"/>
      <c r="G17" s="31" t="n"/>
      <c r="H17" s="33" t="n"/>
      <c r="I17" s="32" t="n"/>
      <c r="J17" s="22">
        <f>IF(H17="","",ROUND(H17*N(I17)/100,2))</f>
        <v/>
      </c>
      <c r="K17" s="30" t="n"/>
      <c r="L17" s="32" t="n"/>
      <c r="M17" s="22">
        <f>IF(H17="","",IF(K17="No",0,H17*N(I17)/100*IF(L17="",100,L17)/100))</f>
        <v/>
      </c>
      <c r="N17" s="22">
        <f>IF(H17="","",H17*IF(L17="",100,L17)/100+IF(K17="No",H17*N(I17)/100*IF(L17="",100,L17)/100,0))</f>
        <v/>
      </c>
      <c r="O17" s="35">
        <f>IF(B17="","",ROUNDUP(MONTH(B17)/3,0))</f>
        <v/>
      </c>
      <c r="P17" s="35">
        <f>IF(B17="","",YEAR(B17))</f>
        <v/>
      </c>
    </row>
    <row r="18">
      <c r="B18" s="37" t="n"/>
      <c r="C18" s="31" t="n"/>
      <c r="D18" s="31" t="n"/>
      <c r="E18" s="31" t="n"/>
      <c r="F18" s="31" t="n"/>
      <c r="G18" s="31" t="n"/>
      <c r="H18" s="33" t="n"/>
      <c r="I18" s="32" t="n"/>
      <c r="J18" s="22">
        <f>IF(H18="","",ROUND(H18*N(I18)/100,2))</f>
        <v/>
      </c>
      <c r="K18" s="30" t="n"/>
      <c r="L18" s="32" t="n"/>
      <c r="M18" s="22">
        <f>IF(H18="","",IF(K18="No",0,H18*N(I18)/100*IF(L18="",100,L18)/100))</f>
        <v/>
      </c>
      <c r="N18" s="22">
        <f>IF(H18="","",H18*IF(L18="",100,L18)/100+IF(K18="No",H18*N(I18)/100*IF(L18="",100,L18)/100,0))</f>
        <v/>
      </c>
      <c r="O18" s="35">
        <f>IF(B18="","",ROUNDUP(MONTH(B18)/3,0))</f>
        <v/>
      </c>
      <c r="P18" s="35">
        <f>IF(B18="","",YEAR(B18))</f>
        <v/>
      </c>
    </row>
    <row r="19">
      <c r="B19" s="37" t="n"/>
      <c r="C19" s="31" t="n"/>
      <c r="D19" s="31" t="n"/>
      <c r="E19" s="31" t="n"/>
      <c r="F19" s="31" t="n"/>
      <c r="G19" s="31" t="n"/>
      <c r="H19" s="33" t="n"/>
      <c r="I19" s="32" t="n"/>
      <c r="J19" s="22">
        <f>IF(H19="","",ROUND(H19*N(I19)/100,2))</f>
        <v/>
      </c>
      <c r="K19" s="30" t="n"/>
      <c r="L19" s="32" t="n"/>
      <c r="M19" s="22">
        <f>IF(H19="","",IF(K19="No",0,H19*N(I19)/100*IF(L19="",100,L19)/100))</f>
        <v/>
      </c>
      <c r="N19" s="22">
        <f>IF(H19="","",H19*IF(L19="",100,L19)/100+IF(K19="No",H19*N(I19)/100*IF(L19="",100,L19)/100,0))</f>
        <v/>
      </c>
      <c r="O19" s="35">
        <f>IF(B19="","",ROUNDUP(MONTH(B19)/3,0))</f>
        <v/>
      </c>
      <c r="P19" s="35">
        <f>IF(B19="","",YEAR(B19))</f>
        <v/>
      </c>
    </row>
    <row r="20">
      <c r="B20" s="37" t="n"/>
      <c r="C20" s="31" t="n"/>
      <c r="D20" s="31" t="n"/>
      <c r="E20" s="31" t="n"/>
      <c r="F20" s="31" t="n"/>
      <c r="G20" s="31" t="n"/>
      <c r="H20" s="33" t="n"/>
      <c r="I20" s="32" t="n"/>
      <c r="J20" s="22">
        <f>IF(H20="","",ROUND(H20*N(I20)/100,2))</f>
        <v/>
      </c>
      <c r="K20" s="30" t="n"/>
      <c r="L20" s="32" t="n"/>
      <c r="M20" s="22">
        <f>IF(H20="","",IF(K20="No",0,H20*N(I20)/100*IF(L20="",100,L20)/100))</f>
        <v/>
      </c>
      <c r="N20" s="22">
        <f>IF(H20="","",H20*IF(L20="",100,L20)/100+IF(K20="No",H20*N(I20)/100*IF(L20="",100,L20)/100,0))</f>
        <v/>
      </c>
      <c r="O20" s="35">
        <f>IF(B20="","",ROUNDUP(MONTH(B20)/3,0))</f>
        <v/>
      </c>
      <c r="P20" s="35">
        <f>IF(B20="","",YEAR(B20))</f>
        <v/>
      </c>
    </row>
    <row r="21">
      <c r="B21" s="37" t="n"/>
      <c r="C21" s="31" t="n"/>
      <c r="D21" s="31" t="n"/>
      <c r="E21" s="31" t="n"/>
      <c r="F21" s="31" t="n"/>
      <c r="G21" s="31" t="n"/>
      <c r="H21" s="33" t="n"/>
      <c r="I21" s="32" t="n"/>
      <c r="J21" s="22">
        <f>IF(H21="","",ROUND(H21*N(I21)/100,2))</f>
        <v/>
      </c>
      <c r="K21" s="30" t="n"/>
      <c r="L21" s="32" t="n"/>
      <c r="M21" s="22">
        <f>IF(H21="","",IF(K21="No",0,H21*N(I21)/100*IF(L21="",100,L21)/100))</f>
        <v/>
      </c>
      <c r="N21" s="22">
        <f>IF(H21="","",H21*IF(L21="",100,L21)/100+IF(K21="No",H21*N(I21)/100*IF(L21="",100,L21)/100,0))</f>
        <v/>
      </c>
      <c r="O21" s="35">
        <f>IF(B21="","",ROUNDUP(MONTH(B21)/3,0))</f>
        <v/>
      </c>
      <c r="P21" s="35">
        <f>IF(B21="","",YEAR(B21))</f>
        <v/>
      </c>
    </row>
    <row r="22">
      <c r="B22" s="37" t="n"/>
      <c r="C22" s="31" t="n"/>
      <c r="D22" s="31" t="n"/>
      <c r="E22" s="31" t="n"/>
      <c r="F22" s="31" t="n"/>
      <c r="G22" s="31" t="n"/>
      <c r="H22" s="33" t="n"/>
      <c r="I22" s="32" t="n"/>
      <c r="J22" s="22">
        <f>IF(H22="","",ROUND(H22*N(I22)/100,2))</f>
        <v/>
      </c>
      <c r="K22" s="30" t="n"/>
      <c r="L22" s="32" t="n"/>
      <c r="M22" s="22">
        <f>IF(H22="","",IF(K22="No",0,H22*N(I22)/100*IF(L22="",100,L22)/100))</f>
        <v/>
      </c>
      <c r="N22" s="22">
        <f>IF(H22="","",H22*IF(L22="",100,L22)/100+IF(K22="No",H22*N(I22)/100*IF(L22="",100,L22)/100,0))</f>
        <v/>
      </c>
      <c r="O22" s="35">
        <f>IF(B22="","",ROUNDUP(MONTH(B22)/3,0))</f>
        <v/>
      </c>
      <c r="P22" s="35">
        <f>IF(B22="","",YEAR(B22))</f>
        <v/>
      </c>
    </row>
    <row r="23">
      <c r="B23" s="37" t="n"/>
      <c r="C23" s="31" t="n"/>
      <c r="D23" s="31" t="n"/>
      <c r="E23" s="31" t="n"/>
      <c r="F23" s="31" t="n"/>
      <c r="G23" s="31" t="n"/>
      <c r="H23" s="33" t="n"/>
      <c r="I23" s="32" t="n"/>
      <c r="J23" s="22">
        <f>IF(H23="","",ROUND(H23*N(I23)/100,2))</f>
        <v/>
      </c>
      <c r="K23" s="30" t="n"/>
      <c r="L23" s="32" t="n"/>
      <c r="M23" s="22">
        <f>IF(H23="","",IF(K23="No",0,H23*N(I23)/100*IF(L23="",100,L23)/100))</f>
        <v/>
      </c>
      <c r="N23" s="22">
        <f>IF(H23="","",H23*IF(L23="",100,L23)/100+IF(K23="No",H23*N(I23)/100*IF(L23="",100,L23)/100,0))</f>
        <v/>
      </c>
      <c r="O23" s="35">
        <f>IF(B23="","",ROUNDUP(MONTH(B23)/3,0))</f>
        <v/>
      </c>
      <c r="P23" s="35">
        <f>IF(B23="","",YEAR(B23))</f>
        <v/>
      </c>
    </row>
    <row r="24">
      <c r="B24" s="37" t="n"/>
      <c r="C24" s="31" t="n"/>
      <c r="D24" s="31" t="n"/>
      <c r="E24" s="31" t="n"/>
      <c r="F24" s="31" t="n"/>
      <c r="G24" s="31" t="n"/>
      <c r="H24" s="33" t="n"/>
      <c r="I24" s="32" t="n"/>
      <c r="J24" s="22">
        <f>IF(H24="","",ROUND(H24*N(I24)/100,2))</f>
        <v/>
      </c>
      <c r="K24" s="30" t="n"/>
      <c r="L24" s="32" t="n"/>
      <c r="M24" s="22">
        <f>IF(H24="","",IF(K24="No",0,H24*N(I24)/100*IF(L24="",100,L24)/100))</f>
        <v/>
      </c>
      <c r="N24" s="22">
        <f>IF(H24="","",H24*IF(L24="",100,L24)/100+IF(K24="No",H24*N(I24)/100*IF(L24="",100,L24)/100,0))</f>
        <v/>
      </c>
      <c r="O24" s="35">
        <f>IF(B24="","",ROUNDUP(MONTH(B24)/3,0))</f>
        <v/>
      </c>
      <c r="P24" s="35">
        <f>IF(B24="","",YEAR(B24))</f>
        <v/>
      </c>
    </row>
    <row r="25">
      <c r="B25" s="37" t="n"/>
      <c r="C25" s="31" t="n"/>
      <c r="D25" s="31" t="n"/>
      <c r="E25" s="31" t="n"/>
      <c r="F25" s="31" t="n"/>
      <c r="G25" s="31" t="n"/>
      <c r="H25" s="33" t="n"/>
      <c r="I25" s="32" t="n"/>
      <c r="J25" s="22">
        <f>IF(H25="","",ROUND(H25*N(I25)/100,2))</f>
        <v/>
      </c>
      <c r="K25" s="30" t="n"/>
      <c r="L25" s="32" t="n"/>
      <c r="M25" s="22">
        <f>IF(H25="","",IF(K25="No",0,H25*N(I25)/100*IF(L25="",100,L25)/100))</f>
        <v/>
      </c>
      <c r="N25" s="22">
        <f>IF(H25="","",H25*IF(L25="",100,L25)/100+IF(K25="No",H25*N(I25)/100*IF(L25="",100,L25)/100,0))</f>
        <v/>
      </c>
      <c r="O25" s="35">
        <f>IF(B25="","",ROUNDUP(MONTH(B25)/3,0))</f>
        <v/>
      </c>
      <c r="P25" s="35">
        <f>IF(B25="","",YEAR(B25))</f>
        <v/>
      </c>
    </row>
    <row r="26">
      <c r="B26" s="37" t="n"/>
      <c r="C26" s="31" t="n"/>
      <c r="D26" s="31" t="n"/>
      <c r="E26" s="31" t="n"/>
      <c r="F26" s="31" t="n"/>
      <c r="G26" s="31" t="n"/>
      <c r="H26" s="33" t="n"/>
      <c r="I26" s="32" t="n"/>
      <c r="J26" s="22">
        <f>IF(H26="","",ROUND(H26*N(I26)/100,2))</f>
        <v/>
      </c>
      <c r="K26" s="30" t="n"/>
      <c r="L26" s="32" t="n"/>
      <c r="M26" s="22">
        <f>IF(H26="","",IF(K26="No",0,H26*N(I26)/100*IF(L26="",100,L26)/100))</f>
        <v/>
      </c>
      <c r="N26" s="22">
        <f>IF(H26="","",H26*IF(L26="",100,L26)/100+IF(K26="No",H26*N(I26)/100*IF(L26="",100,L26)/100,0))</f>
        <v/>
      </c>
      <c r="O26" s="35">
        <f>IF(B26="","",ROUNDUP(MONTH(B26)/3,0))</f>
        <v/>
      </c>
      <c r="P26" s="35">
        <f>IF(B26="","",YEAR(B26))</f>
        <v/>
      </c>
    </row>
    <row r="27">
      <c r="B27" s="37" t="n"/>
      <c r="C27" s="31" t="n"/>
      <c r="D27" s="31" t="n"/>
      <c r="E27" s="31" t="n"/>
      <c r="F27" s="31" t="n"/>
      <c r="G27" s="31" t="n"/>
      <c r="H27" s="33" t="n"/>
      <c r="I27" s="32" t="n"/>
      <c r="J27" s="22">
        <f>IF(H27="","",ROUND(H27*N(I27)/100,2))</f>
        <v/>
      </c>
      <c r="K27" s="30" t="n"/>
      <c r="L27" s="32" t="n"/>
      <c r="M27" s="22">
        <f>IF(H27="","",IF(K27="No",0,H27*N(I27)/100*IF(L27="",100,L27)/100))</f>
        <v/>
      </c>
      <c r="N27" s="22">
        <f>IF(H27="","",H27*IF(L27="",100,L27)/100+IF(K27="No",H27*N(I27)/100*IF(L27="",100,L27)/100,0))</f>
        <v/>
      </c>
      <c r="O27" s="35">
        <f>IF(B27="","",ROUNDUP(MONTH(B27)/3,0))</f>
        <v/>
      </c>
      <c r="P27" s="35">
        <f>IF(B27="","",YEAR(B27))</f>
        <v/>
      </c>
    </row>
    <row r="28">
      <c r="B28" s="37" t="n"/>
      <c r="C28" s="31" t="n"/>
      <c r="D28" s="31" t="n"/>
      <c r="E28" s="31" t="n"/>
      <c r="F28" s="31" t="n"/>
      <c r="G28" s="31" t="n"/>
      <c r="H28" s="33" t="n"/>
      <c r="I28" s="32" t="n"/>
      <c r="J28" s="22">
        <f>IF(H28="","",ROUND(H28*N(I28)/100,2))</f>
        <v/>
      </c>
      <c r="K28" s="30" t="n"/>
      <c r="L28" s="32" t="n"/>
      <c r="M28" s="22">
        <f>IF(H28="","",IF(K28="No",0,H28*N(I28)/100*IF(L28="",100,L28)/100))</f>
        <v/>
      </c>
      <c r="N28" s="22">
        <f>IF(H28="","",H28*IF(L28="",100,L28)/100+IF(K28="No",H28*N(I28)/100*IF(L28="",100,L28)/100,0))</f>
        <v/>
      </c>
      <c r="O28" s="35">
        <f>IF(B28="","",ROUNDUP(MONTH(B28)/3,0))</f>
        <v/>
      </c>
      <c r="P28" s="35">
        <f>IF(B28="","",YEAR(B28))</f>
        <v/>
      </c>
    </row>
    <row r="29">
      <c r="B29" s="37" t="n"/>
      <c r="C29" s="31" t="n"/>
      <c r="D29" s="31" t="n"/>
      <c r="E29" s="31" t="n"/>
      <c r="F29" s="31" t="n"/>
      <c r="G29" s="31" t="n"/>
      <c r="H29" s="33" t="n"/>
      <c r="I29" s="32" t="n"/>
      <c r="J29" s="22">
        <f>IF(H29="","",ROUND(H29*N(I29)/100,2))</f>
        <v/>
      </c>
      <c r="K29" s="30" t="n"/>
      <c r="L29" s="32" t="n"/>
      <c r="M29" s="22">
        <f>IF(H29="","",IF(K29="No",0,H29*N(I29)/100*IF(L29="",100,L29)/100))</f>
        <v/>
      </c>
      <c r="N29" s="22">
        <f>IF(H29="","",H29*IF(L29="",100,L29)/100+IF(K29="No",H29*N(I29)/100*IF(L29="",100,L29)/100,0))</f>
        <v/>
      </c>
      <c r="O29" s="35">
        <f>IF(B29="","",ROUNDUP(MONTH(B29)/3,0))</f>
        <v/>
      </c>
      <c r="P29" s="35">
        <f>IF(B29="","",YEAR(B29))</f>
        <v/>
      </c>
    </row>
    <row r="30">
      <c r="B30" s="37" t="n"/>
      <c r="C30" s="31" t="n"/>
      <c r="D30" s="31" t="n"/>
      <c r="E30" s="31" t="n"/>
      <c r="F30" s="31" t="n"/>
      <c r="G30" s="31" t="n"/>
      <c r="H30" s="33" t="n"/>
      <c r="I30" s="32" t="n"/>
      <c r="J30" s="22">
        <f>IF(H30="","",ROUND(H30*N(I30)/100,2))</f>
        <v/>
      </c>
      <c r="K30" s="30" t="n"/>
      <c r="L30" s="32" t="n"/>
      <c r="M30" s="22">
        <f>IF(H30="","",IF(K30="No",0,H30*N(I30)/100*IF(L30="",100,L30)/100))</f>
        <v/>
      </c>
      <c r="N30" s="22">
        <f>IF(H30="","",H30*IF(L30="",100,L30)/100+IF(K30="No",H30*N(I30)/100*IF(L30="",100,L30)/100,0))</f>
        <v/>
      </c>
      <c r="O30" s="35">
        <f>IF(B30="","",ROUNDUP(MONTH(B30)/3,0))</f>
        <v/>
      </c>
      <c r="P30" s="35">
        <f>IF(B30="","",YEAR(B30))</f>
        <v/>
      </c>
    </row>
    <row r="31">
      <c r="B31" s="37" t="n"/>
      <c r="C31" s="31" t="n"/>
      <c r="D31" s="31" t="n"/>
      <c r="E31" s="31" t="n"/>
      <c r="F31" s="31" t="n"/>
      <c r="G31" s="31" t="n"/>
      <c r="H31" s="33" t="n"/>
      <c r="I31" s="32" t="n"/>
      <c r="J31" s="22">
        <f>IF(H31="","",ROUND(H31*N(I31)/100,2))</f>
        <v/>
      </c>
      <c r="K31" s="30" t="n"/>
      <c r="L31" s="32" t="n"/>
      <c r="M31" s="22">
        <f>IF(H31="","",IF(K31="No",0,H31*N(I31)/100*IF(L31="",100,L31)/100))</f>
        <v/>
      </c>
      <c r="N31" s="22">
        <f>IF(H31="","",H31*IF(L31="",100,L31)/100+IF(K31="No",H31*N(I31)/100*IF(L31="",100,L31)/100,0))</f>
        <v/>
      </c>
      <c r="O31" s="35">
        <f>IF(B31="","",ROUNDUP(MONTH(B31)/3,0))</f>
        <v/>
      </c>
      <c r="P31" s="35">
        <f>IF(B31="","",YEAR(B31))</f>
        <v/>
      </c>
    </row>
    <row r="32">
      <c r="B32" s="37" t="n"/>
      <c r="C32" s="31" t="n"/>
      <c r="D32" s="31" t="n"/>
      <c r="E32" s="31" t="n"/>
      <c r="F32" s="31" t="n"/>
      <c r="G32" s="31" t="n"/>
      <c r="H32" s="33" t="n"/>
      <c r="I32" s="32" t="n"/>
      <c r="J32" s="22">
        <f>IF(H32="","",ROUND(H32*N(I32)/100,2))</f>
        <v/>
      </c>
      <c r="K32" s="30" t="n"/>
      <c r="L32" s="32" t="n"/>
      <c r="M32" s="22">
        <f>IF(H32="","",IF(K32="No",0,H32*N(I32)/100*IF(L32="",100,L32)/100))</f>
        <v/>
      </c>
      <c r="N32" s="22">
        <f>IF(H32="","",H32*IF(L32="",100,L32)/100+IF(K32="No",H32*N(I32)/100*IF(L32="",100,L32)/100,0))</f>
        <v/>
      </c>
      <c r="O32" s="35">
        <f>IF(B32="","",ROUNDUP(MONTH(B32)/3,0))</f>
        <v/>
      </c>
      <c r="P32" s="35">
        <f>IF(B32="","",YEAR(B32))</f>
        <v/>
      </c>
    </row>
    <row r="33">
      <c r="B33" s="37" t="n"/>
      <c r="C33" s="31" t="n"/>
      <c r="D33" s="31" t="n"/>
      <c r="E33" s="31" t="n"/>
      <c r="F33" s="31" t="n"/>
      <c r="G33" s="31" t="n"/>
      <c r="H33" s="33" t="n"/>
      <c r="I33" s="32" t="n"/>
      <c r="J33" s="22">
        <f>IF(H33="","",ROUND(H33*N(I33)/100,2))</f>
        <v/>
      </c>
      <c r="K33" s="30" t="n"/>
      <c r="L33" s="32" t="n"/>
      <c r="M33" s="22">
        <f>IF(H33="","",IF(K33="No",0,H33*N(I33)/100*IF(L33="",100,L33)/100))</f>
        <v/>
      </c>
      <c r="N33" s="22">
        <f>IF(H33="","",H33*IF(L33="",100,L33)/100+IF(K33="No",H33*N(I33)/100*IF(L33="",100,L33)/100,0))</f>
        <v/>
      </c>
      <c r="O33" s="35">
        <f>IF(B33="","",ROUNDUP(MONTH(B33)/3,0))</f>
        <v/>
      </c>
      <c r="P33" s="35">
        <f>IF(B33="","",YEAR(B33))</f>
        <v/>
      </c>
    </row>
    <row r="34">
      <c r="B34" s="37" t="n"/>
      <c r="C34" s="31" t="n"/>
      <c r="D34" s="31" t="n"/>
      <c r="E34" s="31" t="n"/>
      <c r="F34" s="31" t="n"/>
      <c r="G34" s="31" t="n"/>
      <c r="H34" s="33" t="n"/>
      <c r="I34" s="32" t="n"/>
      <c r="J34" s="22">
        <f>IF(H34="","",ROUND(H34*N(I34)/100,2))</f>
        <v/>
      </c>
      <c r="K34" s="30" t="n"/>
      <c r="L34" s="32" t="n"/>
      <c r="M34" s="22">
        <f>IF(H34="","",IF(K34="No",0,H34*N(I34)/100*IF(L34="",100,L34)/100))</f>
        <v/>
      </c>
      <c r="N34" s="22">
        <f>IF(H34="","",H34*IF(L34="",100,L34)/100+IF(K34="No",H34*N(I34)/100*IF(L34="",100,L34)/100,0))</f>
        <v/>
      </c>
      <c r="O34" s="35">
        <f>IF(B34="","",ROUNDUP(MONTH(B34)/3,0))</f>
        <v/>
      </c>
      <c r="P34" s="35">
        <f>IF(B34="","",YEAR(B34))</f>
        <v/>
      </c>
    </row>
    <row r="35">
      <c r="B35" s="37" t="n"/>
      <c r="C35" s="31" t="n"/>
      <c r="D35" s="31" t="n"/>
      <c r="E35" s="31" t="n"/>
      <c r="F35" s="31" t="n"/>
      <c r="G35" s="31" t="n"/>
      <c r="H35" s="33" t="n"/>
      <c r="I35" s="32" t="n"/>
      <c r="J35" s="22">
        <f>IF(H35="","",ROUND(H35*N(I35)/100,2))</f>
        <v/>
      </c>
      <c r="K35" s="30" t="n"/>
      <c r="L35" s="32" t="n"/>
      <c r="M35" s="22">
        <f>IF(H35="","",IF(K35="No",0,H35*N(I35)/100*IF(L35="",100,L35)/100))</f>
        <v/>
      </c>
      <c r="N35" s="22">
        <f>IF(H35="","",H35*IF(L35="",100,L35)/100+IF(K35="No",H35*N(I35)/100*IF(L35="",100,L35)/100,0))</f>
        <v/>
      </c>
      <c r="O35" s="35">
        <f>IF(B35="","",ROUNDUP(MONTH(B35)/3,0))</f>
        <v/>
      </c>
      <c r="P35" s="35">
        <f>IF(B35="","",YEAR(B35))</f>
        <v/>
      </c>
    </row>
    <row r="36">
      <c r="B36" s="37" t="n"/>
      <c r="C36" s="31" t="n"/>
      <c r="D36" s="31" t="n"/>
      <c r="E36" s="31" t="n"/>
      <c r="F36" s="31" t="n"/>
      <c r="G36" s="31" t="n"/>
      <c r="H36" s="33" t="n"/>
      <c r="I36" s="32" t="n"/>
      <c r="J36" s="22">
        <f>IF(H36="","",ROUND(H36*N(I36)/100,2))</f>
        <v/>
      </c>
      <c r="K36" s="30" t="n"/>
      <c r="L36" s="32" t="n"/>
      <c r="M36" s="22">
        <f>IF(H36="","",IF(K36="No",0,H36*N(I36)/100*IF(L36="",100,L36)/100))</f>
        <v/>
      </c>
      <c r="N36" s="22">
        <f>IF(H36="","",H36*IF(L36="",100,L36)/100+IF(K36="No",H36*N(I36)/100*IF(L36="",100,L36)/100,0))</f>
        <v/>
      </c>
      <c r="O36" s="35">
        <f>IF(B36="","",ROUNDUP(MONTH(B36)/3,0))</f>
        <v/>
      </c>
      <c r="P36" s="35">
        <f>IF(B36="","",YEAR(B36))</f>
        <v/>
      </c>
    </row>
    <row r="37">
      <c r="B37" s="37" t="n"/>
      <c r="C37" s="31" t="n"/>
      <c r="D37" s="31" t="n"/>
      <c r="E37" s="31" t="n"/>
      <c r="F37" s="31" t="n"/>
      <c r="G37" s="31" t="n"/>
      <c r="H37" s="33" t="n"/>
      <c r="I37" s="32" t="n"/>
      <c r="J37" s="22">
        <f>IF(H37="","",ROUND(H37*N(I37)/100,2))</f>
        <v/>
      </c>
      <c r="K37" s="30" t="n"/>
      <c r="L37" s="32" t="n"/>
      <c r="M37" s="22">
        <f>IF(H37="","",IF(K37="No",0,H37*N(I37)/100*IF(L37="",100,L37)/100))</f>
        <v/>
      </c>
      <c r="N37" s="22">
        <f>IF(H37="","",H37*IF(L37="",100,L37)/100+IF(K37="No",H37*N(I37)/100*IF(L37="",100,L37)/100,0))</f>
        <v/>
      </c>
      <c r="O37" s="35">
        <f>IF(B37="","",ROUNDUP(MONTH(B37)/3,0))</f>
        <v/>
      </c>
      <c r="P37" s="35">
        <f>IF(B37="","",YEAR(B37))</f>
        <v/>
      </c>
    </row>
    <row r="38">
      <c r="B38" s="37" t="n"/>
      <c r="C38" s="31" t="n"/>
      <c r="D38" s="31" t="n"/>
      <c r="E38" s="31" t="n"/>
      <c r="F38" s="31" t="n"/>
      <c r="G38" s="31" t="n"/>
      <c r="H38" s="33" t="n"/>
      <c r="I38" s="32" t="n"/>
      <c r="J38" s="22">
        <f>IF(H38="","",ROUND(H38*N(I38)/100,2))</f>
        <v/>
      </c>
      <c r="K38" s="30" t="n"/>
      <c r="L38" s="32" t="n"/>
      <c r="M38" s="22">
        <f>IF(H38="","",IF(K38="No",0,H38*N(I38)/100*IF(L38="",100,L38)/100))</f>
        <v/>
      </c>
      <c r="N38" s="22">
        <f>IF(H38="","",H38*IF(L38="",100,L38)/100+IF(K38="No",H38*N(I38)/100*IF(L38="",100,L38)/100,0))</f>
        <v/>
      </c>
      <c r="O38" s="35">
        <f>IF(B38="","",ROUNDUP(MONTH(B38)/3,0))</f>
        <v/>
      </c>
      <c r="P38" s="35">
        <f>IF(B38="","",YEAR(B38))</f>
        <v/>
      </c>
    </row>
    <row r="39">
      <c r="B39" s="37" t="n"/>
      <c r="C39" s="31" t="n"/>
      <c r="D39" s="31" t="n"/>
      <c r="E39" s="31" t="n"/>
      <c r="F39" s="31" t="n"/>
      <c r="G39" s="31" t="n"/>
      <c r="H39" s="33" t="n"/>
      <c r="I39" s="32" t="n"/>
      <c r="J39" s="22">
        <f>IF(H39="","",ROUND(H39*N(I39)/100,2))</f>
        <v/>
      </c>
      <c r="K39" s="30" t="n"/>
      <c r="L39" s="32" t="n"/>
      <c r="M39" s="22">
        <f>IF(H39="","",IF(K39="No",0,H39*N(I39)/100*IF(L39="",100,L39)/100))</f>
        <v/>
      </c>
      <c r="N39" s="22">
        <f>IF(H39="","",H39*IF(L39="",100,L39)/100+IF(K39="No",H39*N(I39)/100*IF(L39="",100,L39)/100,0))</f>
        <v/>
      </c>
      <c r="O39" s="35">
        <f>IF(B39="","",ROUNDUP(MONTH(B39)/3,0))</f>
        <v/>
      </c>
      <c r="P39" s="35">
        <f>IF(B39="","",YEAR(B39))</f>
        <v/>
      </c>
    </row>
    <row r="40">
      <c r="B40" s="37" t="n"/>
      <c r="C40" s="31" t="n"/>
      <c r="D40" s="31" t="n"/>
      <c r="E40" s="31" t="n"/>
      <c r="F40" s="31" t="n"/>
      <c r="G40" s="31" t="n"/>
      <c r="H40" s="33" t="n"/>
      <c r="I40" s="32" t="n"/>
      <c r="J40" s="22">
        <f>IF(H40="","",ROUND(H40*N(I40)/100,2))</f>
        <v/>
      </c>
      <c r="K40" s="30" t="n"/>
      <c r="L40" s="32" t="n"/>
      <c r="M40" s="22">
        <f>IF(H40="","",IF(K40="No",0,H40*N(I40)/100*IF(L40="",100,L40)/100))</f>
        <v/>
      </c>
      <c r="N40" s="22">
        <f>IF(H40="","",H40*IF(L40="",100,L40)/100+IF(K40="No",H40*N(I40)/100*IF(L40="",100,L40)/100,0))</f>
        <v/>
      </c>
      <c r="O40" s="35">
        <f>IF(B40="","",ROUNDUP(MONTH(B40)/3,0))</f>
        <v/>
      </c>
      <c r="P40" s="35">
        <f>IF(B40="","",YEAR(B40))</f>
        <v/>
      </c>
    </row>
    <row r="41">
      <c r="B41" s="37" t="n"/>
      <c r="C41" s="31" t="n"/>
      <c r="D41" s="31" t="n"/>
      <c r="E41" s="31" t="n"/>
      <c r="F41" s="31" t="n"/>
      <c r="G41" s="31" t="n"/>
      <c r="H41" s="33" t="n"/>
      <c r="I41" s="32" t="n"/>
      <c r="J41" s="22">
        <f>IF(H41="","",ROUND(H41*N(I41)/100,2))</f>
        <v/>
      </c>
      <c r="K41" s="30" t="n"/>
      <c r="L41" s="32" t="n"/>
      <c r="M41" s="22">
        <f>IF(H41="","",IF(K41="No",0,H41*N(I41)/100*IF(L41="",100,L41)/100))</f>
        <v/>
      </c>
      <c r="N41" s="22">
        <f>IF(H41="","",H41*IF(L41="",100,L41)/100+IF(K41="No",H41*N(I41)/100*IF(L41="",100,L41)/100,0))</f>
        <v/>
      </c>
      <c r="O41" s="35">
        <f>IF(B41="","",ROUNDUP(MONTH(B41)/3,0))</f>
        <v/>
      </c>
      <c r="P41" s="35">
        <f>IF(B41="","",YEAR(B41))</f>
        <v/>
      </c>
    </row>
    <row r="42">
      <c r="B42" s="37" t="n"/>
      <c r="C42" s="31" t="n"/>
      <c r="D42" s="31" t="n"/>
      <c r="E42" s="31" t="n"/>
      <c r="F42" s="31" t="n"/>
      <c r="G42" s="31" t="n"/>
      <c r="H42" s="33" t="n"/>
      <c r="I42" s="32" t="n"/>
      <c r="J42" s="22">
        <f>IF(H42="","",ROUND(H42*N(I42)/100,2))</f>
        <v/>
      </c>
      <c r="K42" s="30" t="n"/>
      <c r="L42" s="32" t="n"/>
      <c r="M42" s="22">
        <f>IF(H42="","",IF(K42="No",0,H42*N(I42)/100*IF(L42="",100,L42)/100))</f>
        <v/>
      </c>
      <c r="N42" s="22">
        <f>IF(H42="","",H42*IF(L42="",100,L42)/100+IF(K42="No",H42*N(I42)/100*IF(L42="",100,L42)/100,0))</f>
        <v/>
      </c>
      <c r="O42" s="35">
        <f>IF(B42="","",ROUNDUP(MONTH(B42)/3,0))</f>
        <v/>
      </c>
      <c r="P42" s="35">
        <f>IF(B42="","",YEAR(B42))</f>
        <v/>
      </c>
    </row>
    <row r="43">
      <c r="B43" s="37" t="n"/>
      <c r="C43" s="31" t="n"/>
      <c r="D43" s="31" t="n"/>
      <c r="E43" s="31" t="n"/>
      <c r="F43" s="31" t="n"/>
      <c r="G43" s="31" t="n"/>
      <c r="H43" s="33" t="n"/>
      <c r="I43" s="32" t="n"/>
      <c r="J43" s="22">
        <f>IF(H43="","",ROUND(H43*N(I43)/100,2))</f>
        <v/>
      </c>
      <c r="K43" s="30" t="n"/>
      <c r="L43" s="32" t="n"/>
      <c r="M43" s="22">
        <f>IF(H43="","",IF(K43="No",0,H43*N(I43)/100*IF(L43="",100,L43)/100))</f>
        <v/>
      </c>
      <c r="N43" s="22">
        <f>IF(H43="","",H43*IF(L43="",100,L43)/100+IF(K43="No",H43*N(I43)/100*IF(L43="",100,L43)/100,0))</f>
        <v/>
      </c>
      <c r="O43" s="35">
        <f>IF(B43="","",ROUNDUP(MONTH(B43)/3,0))</f>
        <v/>
      </c>
      <c r="P43" s="35">
        <f>IF(B43="","",YEAR(B43))</f>
        <v/>
      </c>
    </row>
    <row r="44">
      <c r="B44" s="37" t="n"/>
      <c r="C44" s="31" t="n"/>
      <c r="D44" s="31" t="n"/>
      <c r="E44" s="31" t="n"/>
      <c r="F44" s="31" t="n"/>
      <c r="G44" s="31" t="n"/>
      <c r="H44" s="33" t="n"/>
      <c r="I44" s="32" t="n"/>
      <c r="J44" s="22">
        <f>IF(H44="","",ROUND(H44*N(I44)/100,2))</f>
        <v/>
      </c>
      <c r="K44" s="30" t="n"/>
      <c r="L44" s="32" t="n"/>
      <c r="M44" s="22">
        <f>IF(H44="","",IF(K44="No",0,H44*N(I44)/100*IF(L44="",100,L44)/100))</f>
        <v/>
      </c>
      <c r="N44" s="22">
        <f>IF(H44="","",H44*IF(L44="",100,L44)/100+IF(K44="No",H44*N(I44)/100*IF(L44="",100,L44)/100,0))</f>
        <v/>
      </c>
      <c r="O44" s="35">
        <f>IF(B44="","",ROUNDUP(MONTH(B44)/3,0))</f>
        <v/>
      </c>
      <c r="P44" s="35">
        <f>IF(B44="","",YEAR(B44))</f>
        <v/>
      </c>
    </row>
    <row r="45">
      <c r="B45" s="37" t="n"/>
      <c r="C45" s="31" t="n"/>
      <c r="D45" s="31" t="n"/>
      <c r="E45" s="31" t="n"/>
      <c r="F45" s="31" t="n"/>
      <c r="G45" s="31" t="n"/>
      <c r="H45" s="33" t="n"/>
      <c r="I45" s="32" t="n"/>
      <c r="J45" s="22">
        <f>IF(H45="","",ROUND(H45*N(I45)/100,2))</f>
        <v/>
      </c>
      <c r="K45" s="30" t="n"/>
      <c r="L45" s="32" t="n"/>
      <c r="M45" s="22">
        <f>IF(H45="","",IF(K45="No",0,H45*N(I45)/100*IF(L45="",100,L45)/100))</f>
        <v/>
      </c>
      <c r="N45" s="22">
        <f>IF(H45="","",H45*IF(L45="",100,L45)/100+IF(K45="No",H45*N(I45)/100*IF(L45="",100,L45)/100,0))</f>
        <v/>
      </c>
      <c r="O45" s="35">
        <f>IF(B45="","",ROUNDUP(MONTH(B45)/3,0))</f>
        <v/>
      </c>
      <c r="P45" s="35">
        <f>IF(B45="","",YEAR(B45))</f>
        <v/>
      </c>
    </row>
    <row r="46">
      <c r="B46" s="37" t="n"/>
      <c r="C46" s="31" t="n"/>
      <c r="D46" s="31" t="n"/>
      <c r="E46" s="31" t="n"/>
      <c r="F46" s="31" t="n"/>
      <c r="G46" s="31" t="n"/>
      <c r="H46" s="33" t="n"/>
      <c r="I46" s="32" t="n"/>
      <c r="J46" s="22">
        <f>IF(H46="","",ROUND(H46*N(I46)/100,2))</f>
        <v/>
      </c>
      <c r="K46" s="30" t="n"/>
      <c r="L46" s="32" t="n"/>
      <c r="M46" s="22">
        <f>IF(H46="","",IF(K46="No",0,H46*N(I46)/100*IF(L46="",100,L46)/100))</f>
        <v/>
      </c>
      <c r="N46" s="22">
        <f>IF(H46="","",H46*IF(L46="",100,L46)/100+IF(K46="No",H46*N(I46)/100*IF(L46="",100,L46)/100,0))</f>
        <v/>
      </c>
      <c r="O46" s="35">
        <f>IF(B46="","",ROUNDUP(MONTH(B46)/3,0))</f>
        <v/>
      </c>
      <c r="P46" s="35">
        <f>IF(B46="","",YEAR(B46))</f>
        <v/>
      </c>
    </row>
    <row r="47">
      <c r="B47" s="37" t="n"/>
      <c r="C47" s="31" t="n"/>
      <c r="D47" s="31" t="n"/>
      <c r="E47" s="31" t="n"/>
      <c r="F47" s="31" t="n"/>
      <c r="G47" s="31" t="n"/>
      <c r="H47" s="33" t="n"/>
      <c r="I47" s="32" t="n"/>
      <c r="J47" s="22">
        <f>IF(H47="","",ROUND(H47*N(I47)/100,2))</f>
        <v/>
      </c>
      <c r="K47" s="30" t="n"/>
      <c r="L47" s="32" t="n"/>
      <c r="M47" s="22">
        <f>IF(H47="","",IF(K47="No",0,H47*N(I47)/100*IF(L47="",100,L47)/100))</f>
        <v/>
      </c>
      <c r="N47" s="22">
        <f>IF(H47="","",H47*IF(L47="",100,L47)/100+IF(K47="No",H47*N(I47)/100*IF(L47="",100,L47)/100,0))</f>
        <v/>
      </c>
      <c r="O47" s="35">
        <f>IF(B47="","",ROUNDUP(MONTH(B47)/3,0))</f>
        <v/>
      </c>
      <c r="P47" s="35">
        <f>IF(B47="","",YEAR(B47))</f>
        <v/>
      </c>
    </row>
    <row r="48">
      <c r="B48" s="37" t="n"/>
      <c r="C48" s="31" t="n"/>
      <c r="D48" s="31" t="n"/>
      <c r="E48" s="31" t="n"/>
      <c r="F48" s="31" t="n"/>
      <c r="G48" s="31" t="n"/>
      <c r="H48" s="33" t="n"/>
      <c r="I48" s="32" t="n"/>
      <c r="J48" s="22">
        <f>IF(H48="","",ROUND(H48*N(I48)/100,2))</f>
        <v/>
      </c>
      <c r="K48" s="30" t="n"/>
      <c r="L48" s="32" t="n"/>
      <c r="M48" s="22">
        <f>IF(H48="","",IF(K48="No",0,H48*N(I48)/100*IF(L48="",100,L48)/100))</f>
        <v/>
      </c>
      <c r="N48" s="22">
        <f>IF(H48="","",H48*IF(L48="",100,L48)/100+IF(K48="No",H48*N(I48)/100*IF(L48="",100,L48)/100,0))</f>
        <v/>
      </c>
      <c r="O48" s="35">
        <f>IF(B48="","",ROUNDUP(MONTH(B48)/3,0))</f>
        <v/>
      </c>
      <c r="P48" s="35">
        <f>IF(B48="","",YEAR(B48))</f>
        <v/>
      </c>
    </row>
    <row r="49">
      <c r="B49" s="37" t="n"/>
      <c r="C49" s="31" t="n"/>
      <c r="D49" s="31" t="n"/>
      <c r="E49" s="31" t="n"/>
      <c r="F49" s="31" t="n"/>
      <c r="G49" s="31" t="n"/>
      <c r="H49" s="33" t="n"/>
      <c r="I49" s="32" t="n"/>
      <c r="J49" s="22">
        <f>IF(H49="","",ROUND(H49*N(I49)/100,2))</f>
        <v/>
      </c>
      <c r="K49" s="30" t="n"/>
      <c r="L49" s="32" t="n"/>
      <c r="M49" s="22">
        <f>IF(H49="","",IF(K49="No",0,H49*N(I49)/100*IF(L49="",100,L49)/100))</f>
        <v/>
      </c>
      <c r="N49" s="22">
        <f>IF(H49="","",H49*IF(L49="",100,L49)/100+IF(K49="No",H49*N(I49)/100*IF(L49="",100,L49)/100,0))</f>
        <v/>
      </c>
      <c r="O49" s="35">
        <f>IF(B49="","",ROUNDUP(MONTH(B49)/3,0))</f>
        <v/>
      </c>
      <c r="P49" s="35">
        <f>IF(B49="","",YEAR(B49))</f>
        <v/>
      </c>
    </row>
    <row r="50">
      <c r="B50" s="37" t="n"/>
      <c r="C50" s="31" t="n"/>
      <c r="D50" s="31" t="n"/>
      <c r="E50" s="31" t="n"/>
      <c r="F50" s="31" t="n"/>
      <c r="G50" s="31" t="n"/>
      <c r="H50" s="33" t="n"/>
      <c r="I50" s="32" t="n"/>
      <c r="J50" s="22">
        <f>IF(H50="","",ROUND(H50*N(I50)/100,2))</f>
        <v/>
      </c>
      <c r="K50" s="30" t="n"/>
      <c r="L50" s="32" t="n"/>
      <c r="M50" s="22">
        <f>IF(H50="","",IF(K50="No",0,H50*N(I50)/100*IF(L50="",100,L50)/100))</f>
        <v/>
      </c>
      <c r="N50" s="22">
        <f>IF(H50="","",H50*IF(L50="",100,L50)/100+IF(K50="No",H50*N(I50)/100*IF(L50="",100,L50)/100,0))</f>
        <v/>
      </c>
      <c r="O50" s="35">
        <f>IF(B50="","",ROUNDUP(MONTH(B50)/3,0))</f>
        <v/>
      </c>
      <c r="P50" s="35">
        <f>IF(B50="","",YEAR(B50))</f>
        <v/>
      </c>
    </row>
    <row r="51">
      <c r="B51" s="37" t="n"/>
      <c r="C51" s="31" t="n"/>
      <c r="D51" s="31" t="n"/>
      <c r="E51" s="31" t="n"/>
      <c r="F51" s="31" t="n"/>
      <c r="G51" s="31" t="n"/>
      <c r="H51" s="33" t="n"/>
      <c r="I51" s="32" t="n"/>
      <c r="J51" s="22">
        <f>IF(H51="","",ROUND(H51*N(I51)/100,2))</f>
        <v/>
      </c>
      <c r="K51" s="30" t="n"/>
      <c r="L51" s="32" t="n"/>
      <c r="M51" s="22">
        <f>IF(H51="","",IF(K51="No",0,H51*N(I51)/100*IF(L51="",100,L51)/100))</f>
        <v/>
      </c>
      <c r="N51" s="22">
        <f>IF(H51="","",H51*IF(L51="",100,L51)/100+IF(K51="No",H51*N(I51)/100*IF(L51="",100,L51)/100,0))</f>
        <v/>
      </c>
      <c r="O51" s="35">
        <f>IF(B51="","",ROUNDUP(MONTH(B51)/3,0))</f>
        <v/>
      </c>
      <c r="P51" s="35">
        <f>IF(B51="","",YEAR(B51))</f>
        <v/>
      </c>
    </row>
    <row r="52">
      <c r="B52" s="37" t="n"/>
      <c r="C52" s="31" t="n"/>
      <c r="D52" s="31" t="n"/>
      <c r="E52" s="31" t="n"/>
      <c r="F52" s="31" t="n"/>
      <c r="G52" s="31" t="n"/>
      <c r="H52" s="33" t="n"/>
      <c r="I52" s="32" t="n"/>
      <c r="J52" s="22">
        <f>IF(H52="","",ROUND(H52*N(I52)/100,2))</f>
        <v/>
      </c>
      <c r="K52" s="30" t="n"/>
      <c r="L52" s="32" t="n"/>
      <c r="M52" s="22">
        <f>IF(H52="","",IF(K52="No",0,H52*N(I52)/100*IF(L52="",100,L52)/100))</f>
        <v/>
      </c>
      <c r="N52" s="22">
        <f>IF(H52="","",H52*IF(L52="",100,L52)/100+IF(K52="No",H52*N(I52)/100*IF(L52="",100,L52)/100,0))</f>
        <v/>
      </c>
      <c r="O52" s="35">
        <f>IF(B52="","",ROUNDUP(MONTH(B52)/3,0))</f>
        <v/>
      </c>
      <c r="P52" s="35">
        <f>IF(B52="","",YEAR(B52))</f>
        <v/>
      </c>
    </row>
    <row r="53">
      <c r="B53" s="37" t="n"/>
      <c r="C53" s="31" t="n"/>
      <c r="D53" s="31" t="n"/>
      <c r="E53" s="31" t="n"/>
      <c r="F53" s="31" t="n"/>
      <c r="G53" s="31" t="n"/>
      <c r="H53" s="33" t="n"/>
      <c r="I53" s="32" t="n"/>
      <c r="J53" s="22">
        <f>IF(H53="","",ROUND(H53*N(I53)/100,2))</f>
        <v/>
      </c>
      <c r="K53" s="30" t="n"/>
      <c r="L53" s="32" t="n"/>
      <c r="M53" s="22">
        <f>IF(H53="","",IF(K53="No",0,H53*N(I53)/100*IF(L53="",100,L53)/100))</f>
        <v/>
      </c>
      <c r="N53" s="22">
        <f>IF(H53="","",H53*IF(L53="",100,L53)/100+IF(K53="No",H53*N(I53)/100*IF(L53="",100,L53)/100,0))</f>
        <v/>
      </c>
      <c r="O53" s="35">
        <f>IF(B53="","",ROUNDUP(MONTH(B53)/3,0))</f>
        <v/>
      </c>
      <c r="P53" s="35">
        <f>IF(B53="","",YEAR(B53))</f>
        <v/>
      </c>
    </row>
    <row r="54">
      <c r="B54" s="37" t="n"/>
      <c r="C54" s="31" t="n"/>
      <c r="D54" s="31" t="n"/>
      <c r="E54" s="31" t="n"/>
      <c r="F54" s="31" t="n"/>
      <c r="G54" s="31" t="n"/>
      <c r="H54" s="33" t="n"/>
      <c r="I54" s="32" t="n"/>
      <c r="J54" s="22">
        <f>IF(H54="","",ROUND(H54*N(I54)/100,2))</f>
        <v/>
      </c>
      <c r="K54" s="30" t="n"/>
      <c r="L54" s="32" t="n"/>
      <c r="M54" s="22">
        <f>IF(H54="","",IF(K54="No",0,H54*N(I54)/100*IF(L54="",100,L54)/100))</f>
        <v/>
      </c>
      <c r="N54" s="22">
        <f>IF(H54="","",H54*IF(L54="",100,L54)/100+IF(K54="No",H54*N(I54)/100*IF(L54="",100,L54)/100,0))</f>
        <v/>
      </c>
      <c r="O54" s="35">
        <f>IF(B54="","",ROUNDUP(MONTH(B54)/3,0))</f>
        <v/>
      </c>
      <c r="P54" s="35">
        <f>IF(B54="","",YEAR(B54))</f>
        <v/>
      </c>
    </row>
    <row r="55">
      <c r="B55" s="37" t="n"/>
      <c r="C55" s="31" t="n"/>
      <c r="D55" s="31" t="n"/>
      <c r="E55" s="31" t="n"/>
      <c r="F55" s="31" t="n"/>
      <c r="G55" s="31" t="n"/>
      <c r="H55" s="33" t="n"/>
      <c r="I55" s="32" t="n"/>
      <c r="J55" s="22">
        <f>IF(H55="","",ROUND(H55*N(I55)/100,2))</f>
        <v/>
      </c>
      <c r="K55" s="30" t="n"/>
      <c r="L55" s="32" t="n"/>
      <c r="M55" s="22">
        <f>IF(H55="","",IF(K55="No",0,H55*N(I55)/100*IF(L55="",100,L55)/100))</f>
        <v/>
      </c>
      <c r="N55" s="22">
        <f>IF(H55="","",H55*IF(L55="",100,L55)/100+IF(K55="No",H55*N(I55)/100*IF(L55="",100,L55)/100,0))</f>
        <v/>
      </c>
      <c r="O55" s="35">
        <f>IF(B55="","",ROUNDUP(MONTH(B55)/3,0))</f>
        <v/>
      </c>
      <c r="P55" s="35">
        <f>IF(B55="","",YEAR(B55))</f>
        <v/>
      </c>
    </row>
    <row r="56">
      <c r="B56" s="37" t="n"/>
      <c r="C56" s="31" t="n"/>
      <c r="D56" s="31" t="n"/>
      <c r="E56" s="31" t="n"/>
      <c r="F56" s="31" t="n"/>
      <c r="G56" s="31" t="n"/>
      <c r="H56" s="33" t="n"/>
      <c r="I56" s="32" t="n"/>
      <c r="J56" s="22">
        <f>IF(H56="","",ROUND(H56*N(I56)/100,2))</f>
        <v/>
      </c>
      <c r="K56" s="30" t="n"/>
      <c r="L56" s="32" t="n"/>
      <c r="M56" s="22">
        <f>IF(H56="","",IF(K56="No",0,H56*N(I56)/100*IF(L56="",100,L56)/100))</f>
        <v/>
      </c>
      <c r="N56" s="22">
        <f>IF(H56="","",H56*IF(L56="",100,L56)/100+IF(K56="No",H56*N(I56)/100*IF(L56="",100,L56)/100,0))</f>
        <v/>
      </c>
      <c r="O56" s="35">
        <f>IF(B56="","",ROUNDUP(MONTH(B56)/3,0))</f>
        <v/>
      </c>
      <c r="P56" s="35">
        <f>IF(B56="","",YEAR(B56))</f>
        <v/>
      </c>
    </row>
    <row r="57">
      <c r="B57" s="37" t="n"/>
      <c r="C57" s="31" t="n"/>
      <c r="D57" s="31" t="n"/>
      <c r="E57" s="31" t="n"/>
      <c r="F57" s="31" t="n"/>
      <c r="G57" s="31" t="n"/>
      <c r="H57" s="33" t="n"/>
      <c r="I57" s="32" t="n"/>
      <c r="J57" s="22">
        <f>IF(H57="","",ROUND(H57*N(I57)/100,2))</f>
        <v/>
      </c>
      <c r="K57" s="30" t="n"/>
      <c r="L57" s="32" t="n"/>
      <c r="M57" s="22">
        <f>IF(H57="","",IF(K57="No",0,H57*N(I57)/100*IF(L57="",100,L57)/100))</f>
        <v/>
      </c>
      <c r="N57" s="22">
        <f>IF(H57="","",H57*IF(L57="",100,L57)/100+IF(K57="No",H57*N(I57)/100*IF(L57="",100,L57)/100,0))</f>
        <v/>
      </c>
      <c r="O57" s="35">
        <f>IF(B57="","",ROUNDUP(MONTH(B57)/3,0))</f>
        <v/>
      </c>
      <c r="P57" s="35">
        <f>IF(B57="","",YEAR(B57))</f>
        <v/>
      </c>
    </row>
    <row r="58">
      <c r="B58" s="37" t="n"/>
      <c r="C58" s="31" t="n"/>
      <c r="D58" s="31" t="n"/>
      <c r="E58" s="31" t="n"/>
      <c r="F58" s="31" t="n"/>
      <c r="G58" s="31" t="n"/>
      <c r="H58" s="33" t="n"/>
      <c r="I58" s="32" t="n"/>
      <c r="J58" s="22">
        <f>IF(H58="","",ROUND(H58*N(I58)/100,2))</f>
        <v/>
      </c>
      <c r="K58" s="30" t="n"/>
      <c r="L58" s="32" t="n"/>
      <c r="M58" s="22">
        <f>IF(H58="","",IF(K58="No",0,H58*N(I58)/100*IF(L58="",100,L58)/100))</f>
        <v/>
      </c>
      <c r="N58" s="22">
        <f>IF(H58="","",H58*IF(L58="",100,L58)/100+IF(K58="No",H58*N(I58)/100*IF(L58="",100,L58)/100,0))</f>
        <v/>
      </c>
      <c r="O58" s="35">
        <f>IF(B58="","",ROUNDUP(MONTH(B58)/3,0))</f>
        <v/>
      </c>
      <c r="P58" s="35">
        <f>IF(B58="","",YEAR(B58))</f>
        <v/>
      </c>
    </row>
    <row r="59">
      <c r="B59" s="37" t="n"/>
      <c r="C59" s="31" t="n"/>
      <c r="D59" s="31" t="n"/>
      <c r="E59" s="31" t="n"/>
      <c r="F59" s="31" t="n"/>
      <c r="G59" s="31" t="n"/>
      <c r="H59" s="33" t="n"/>
      <c r="I59" s="32" t="n"/>
      <c r="J59" s="22">
        <f>IF(H59="","",ROUND(H59*N(I59)/100,2))</f>
        <v/>
      </c>
      <c r="K59" s="30" t="n"/>
      <c r="L59" s="32" t="n"/>
      <c r="M59" s="22">
        <f>IF(H59="","",IF(K59="No",0,H59*N(I59)/100*IF(L59="",100,L59)/100))</f>
        <v/>
      </c>
      <c r="N59" s="22">
        <f>IF(H59="","",H59*IF(L59="",100,L59)/100+IF(K59="No",H59*N(I59)/100*IF(L59="",100,L59)/100,0))</f>
        <v/>
      </c>
      <c r="O59" s="35">
        <f>IF(B59="","",ROUNDUP(MONTH(B59)/3,0))</f>
        <v/>
      </c>
      <c r="P59" s="35">
        <f>IF(B59="","",YEAR(B59))</f>
        <v/>
      </c>
    </row>
    <row r="60">
      <c r="B60" s="37" t="n"/>
      <c r="C60" s="31" t="n"/>
      <c r="D60" s="31" t="n"/>
      <c r="E60" s="31" t="n"/>
      <c r="F60" s="31" t="n"/>
      <c r="G60" s="31" t="n"/>
      <c r="H60" s="33" t="n"/>
      <c r="I60" s="32" t="n"/>
      <c r="J60" s="22">
        <f>IF(H60="","",ROUND(H60*N(I60)/100,2))</f>
        <v/>
      </c>
      <c r="K60" s="30" t="n"/>
      <c r="L60" s="32" t="n"/>
      <c r="M60" s="22">
        <f>IF(H60="","",IF(K60="No",0,H60*N(I60)/100*IF(L60="",100,L60)/100))</f>
        <v/>
      </c>
      <c r="N60" s="22">
        <f>IF(H60="","",H60*IF(L60="",100,L60)/100+IF(K60="No",H60*N(I60)/100*IF(L60="",100,L60)/100,0))</f>
        <v/>
      </c>
      <c r="O60" s="35">
        <f>IF(B60="","",ROUNDUP(MONTH(B60)/3,0))</f>
        <v/>
      </c>
      <c r="P60" s="35">
        <f>IF(B60="","",YEAR(B60))</f>
        <v/>
      </c>
    </row>
    <row r="61">
      <c r="B61" s="37" t="n"/>
      <c r="C61" s="31" t="n"/>
      <c r="D61" s="31" t="n"/>
      <c r="E61" s="31" t="n"/>
      <c r="F61" s="31" t="n"/>
      <c r="G61" s="31" t="n"/>
      <c r="H61" s="33" t="n"/>
      <c r="I61" s="32" t="n"/>
      <c r="J61" s="22">
        <f>IF(H61="","",ROUND(H61*N(I61)/100,2))</f>
        <v/>
      </c>
      <c r="K61" s="30" t="n"/>
      <c r="L61" s="32" t="n"/>
      <c r="M61" s="22">
        <f>IF(H61="","",IF(K61="No",0,H61*N(I61)/100*IF(L61="",100,L61)/100))</f>
        <v/>
      </c>
      <c r="N61" s="22">
        <f>IF(H61="","",H61*IF(L61="",100,L61)/100+IF(K61="No",H61*N(I61)/100*IF(L61="",100,L61)/100,0))</f>
        <v/>
      </c>
      <c r="O61" s="35">
        <f>IF(B61="","",ROUNDUP(MONTH(B61)/3,0))</f>
        <v/>
      </c>
      <c r="P61" s="35">
        <f>IF(B61="","",YEAR(B61))</f>
        <v/>
      </c>
    </row>
    <row r="62">
      <c r="B62" s="37" t="n"/>
      <c r="C62" s="31" t="n"/>
      <c r="D62" s="31" t="n"/>
      <c r="E62" s="31" t="n"/>
      <c r="F62" s="31" t="n"/>
      <c r="G62" s="31" t="n"/>
      <c r="H62" s="33" t="n"/>
      <c r="I62" s="32" t="n"/>
      <c r="J62" s="22">
        <f>IF(H62="","",ROUND(H62*N(I62)/100,2))</f>
        <v/>
      </c>
      <c r="K62" s="30" t="n"/>
      <c r="L62" s="32" t="n"/>
      <c r="M62" s="22">
        <f>IF(H62="","",IF(K62="No",0,H62*N(I62)/100*IF(L62="",100,L62)/100))</f>
        <v/>
      </c>
      <c r="N62" s="22">
        <f>IF(H62="","",H62*IF(L62="",100,L62)/100+IF(K62="No",H62*N(I62)/100*IF(L62="",100,L62)/100,0))</f>
        <v/>
      </c>
      <c r="O62" s="35">
        <f>IF(B62="","",ROUNDUP(MONTH(B62)/3,0))</f>
        <v/>
      </c>
      <c r="P62" s="35">
        <f>IF(B62="","",YEAR(B62))</f>
        <v/>
      </c>
    </row>
    <row r="63">
      <c r="B63" s="37" t="n"/>
      <c r="C63" s="31" t="n"/>
      <c r="D63" s="31" t="n"/>
      <c r="E63" s="31" t="n"/>
      <c r="F63" s="31" t="n"/>
      <c r="G63" s="31" t="n"/>
      <c r="H63" s="33" t="n"/>
      <c r="I63" s="32" t="n"/>
      <c r="J63" s="22">
        <f>IF(H63="","",ROUND(H63*N(I63)/100,2))</f>
        <v/>
      </c>
      <c r="K63" s="30" t="n"/>
      <c r="L63" s="32" t="n"/>
      <c r="M63" s="22">
        <f>IF(H63="","",IF(K63="No",0,H63*N(I63)/100*IF(L63="",100,L63)/100))</f>
        <v/>
      </c>
      <c r="N63" s="22">
        <f>IF(H63="","",H63*IF(L63="",100,L63)/100+IF(K63="No",H63*N(I63)/100*IF(L63="",100,L63)/100,0))</f>
        <v/>
      </c>
      <c r="O63" s="35">
        <f>IF(B63="","",ROUNDUP(MONTH(B63)/3,0))</f>
        <v/>
      </c>
      <c r="P63" s="35">
        <f>IF(B63="","",YEAR(B63))</f>
        <v/>
      </c>
    </row>
    <row r="64">
      <c r="B64" s="37" t="n"/>
      <c r="C64" s="31" t="n"/>
      <c r="D64" s="31" t="n"/>
      <c r="E64" s="31" t="n"/>
      <c r="F64" s="31" t="n"/>
      <c r="G64" s="31" t="n"/>
      <c r="H64" s="33" t="n"/>
      <c r="I64" s="32" t="n"/>
      <c r="J64" s="22">
        <f>IF(H64="","",ROUND(H64*N(I64)/100,2))</f>
        <v/>
      </c>
      <c r="K64" s="30" t="n"/>
      <c r="L64" s="32" t="n"/>
      <c r="M64" s="22">
        <f>IF(H64="","",IF(K64="No",0,H64*N(I64)/100*IF(L64="",100,L64)/100))</f>
        <v/>
      </c>
      <c r="N64" s="22">
        <f>IF(H64="","",H64*IF(L64="",100,L64)/100+IF(K64="No",H64*N(I64)/100*IF(L64="",100,L64)/100,0))</f>
        <v/>
      </c>
      <c r="O64" s="35">
        <f>IF(B64="","",ROUNDUP(MONTH(B64)/3,0))</f>
        <v/>
      </c>
      <c r="P64" s="35">
        <f>IF(B64="","",YEAR(B64))</f>
        <v/>
      </c>
    </row>
    <row r="65">
      <c r="B65" s="37" t="n"/>
      <c r="C65" s="31" t="n"/>
      <c r="D65" s="31" t="n"/>
      <c r="E65" s="31" t="n"/>
      <c r="F65" s="31" t="n"/>
      <c r="G65" s="31" t="n"/>
      <c r="H65" s="33" t="n"/>
      <c r="I65" s="32" t="n"/>
      <c r="J65" s="22">
        <f>IF(H65="","",ROUND(H65*N(I65)/100,2))</f>
        <v/>
      </c>
      <c r="K65" s="30" t="n"/>
      <c r="L65" s="32" t="n"/>
      <c r="M65" s="22">
        <f>IF(H65="","",IF(K65="No",0,H65*N(I65)/100*IF(L65="",100,L65)/100))</f>
        <v/>
      </c>
      <c r="N65" s="22">
        <f>IF(H65="","",H65*IF(L65="",100,L65)/100+IF(K65="No",H65*N(I65)/100*IF(L65="",100,L65)/100,0))</f>
        <v/>
      </c>
      <c r="O65" s="35">
        <f>IF(B65="","",ROUNDUP(MONTH(B65)/3,0))</f>
        <v/>
      </c>
      <c r="P65" s="35">
        <f>IF(B65="","",YEAR(B65))</f>
        <v/>
      </c>
    </row>
    <row r="66">
      <c r="B66" s="37" t="n"/>
      <c r="C66" s="31" t="n"/>
      <c r="D66" s="31" t="n"/>
      <c r="E66" s="31" t="n"/>
      <c r="F66" s="31" t="n"/>
      <c r="G66" s="31" t="n"/>
      <c r="H66" s="33" t="n"/>
      <c r="I66" s="32" t="n"/>
      <c r="J66" s="22">
        <f>IF(H66="","",ROUND(H66*N(I66)/100,2))</f>
        <v/>
      </c>
      <c r="K66" s="30" t="n"/>
      <c r="L66" s="32" t="n"/>
      <c r="M66" s="22">
        <f>IF(H66="","",IF(K66="No",0,H66*N(I66)/100*IF(L66="",100,L66)/100))</f>
        <v/>
      </c>
      <c r="N66" s="22">
        <f>IF(H66="","",H66*IF(L66="",100,L66)/100+IF(K66="No",H66*N(I66)/100*IF(L66="",100,L66)/100,0))</f>
        <v/>
      </c>
      <c r="O66" s="35">
        <f>IF(B66="","",ROUNDUP(MONTH(B66)/3,0))</f>
        <v/>
      </c>
      <c r="P66" s="35">
        <f>IF(B66="","",YEAR(B66))</f>
        <v/>
      </c>
    </row>
    <row r="67">
      <c r="B67" s="37" t="n"/>
      <c r="C67" s="31" t="n"/>
      <c r="D67" s="31" t="n"/>
      <c r="E67" s="31" t="n"/>
      <c r="F67" s="31" t="n"/>
      <c r="G67" s="31" t="n"/>
      <c r="H67" s="33" t="n"/>
      <c r="I67" s="32" t="n"/>
      <c r="J67" s="22">
        <f>IF(H67="","",ROUND(H67*N(I67)/100,2))</f>
        <v/>
      </c>
      <c r="K67" s="30" t="n"/>
      <c r="L67" s="32" t="n"/>
      <c r="M67" s="22">
        <f>IF(H67="","",IF(K67="No",0,H67*N(I67)/100*IF(L67="",100,L67)/100))</f>
        <v/>
      </c>
      <c r="N67" s="22">
        <f>IF(H67="","",H67*IF(L67="",100,L67)/100+IF(K67="No",H67*N(I67)/100*IF(L67="",100,L67)/100,0))</f>
        <v/>
      </c>
      <c r="O67" s="35">
        <f>IF(B67="","",ROUNDUP(MONTH(B67)/3,0))</f>
        <v/>
      </c>
      <c r="P67" s="35">
        <f>IF(B67="","",YEAR(B67))</f>
        <v/>
      </c>
    </row>
    <row r="68">
      <c r="B68" s="37" t="n"/>
      <c r="C68" s="31" t="n"/>
      <c r="D68" s="31" t="n"/>
      <c r="E68" s="31" t="n"/>
      <c r="F68" s="31" t="n"/>
      <c r="G68" s="31" t="n"/>
      <c r="H68" s="33" t="n"/>
      <c r="I68" s="32" t="n"/>
      <c r="J68" s="22">
        <f>IF(H68="","",ROUND(H68*N(I68)/100,2))</f>
        <v/>
      </c>
      <c r="K68" s="30" t="n"/>
      <c r="L68" s="32" t="n"/>
      <c r="M68" s="22">
        <f>IF(H68="","",IF(K68="No",0,H68*N(I68)/100*IF(L68="",100,L68)/100))</f>
        <v/>
      </c>
      <c r="N68" s="22">
        <f>IF(H68="","",H68*IF(L68="",100,L68)/100+IF(K68="No",H68*N(I68)/100*IF(L68="",100,L68)/100,0))</f>
        <v/>
      </c>
      <c r="O68" s="35">
        <f>IF(B68="","",ROUNDUP(MONTH(B68)/3,0))</f>
        <v/>
      </c>
      <c r="P68" s="35">
        <f>IF(B68="","",YEAR(B68))</f>
        <v/>
      </c>
    </row>
    <row r="69">
      <c r="B69" s="37" t="n"/>
      <c r="C69" s="31" t="n"/>
      <c r="D69" s="31" t="n"/>
      <c r="E69" s="31" t="n"/>
      <c r="F69" s="31" t="n"/>
      <c r="G69" s="31" t="n"/>
      <c r="H69" s="33" t="n"/>
      <c r="I69" s="32" t="n"/>
      <c r="J69" s="22">
        <f>IF(H69="","",ROUND(H69*N(I69)/100,2))</f>
        <v/>
      </c>
      <c r="K69" s="30" t="n"/>
      <c r="L69" s="32" t="n"/>
      <c r="M69" s="22">
        <f>IF(H69="","",IF(K69="No",0,H69*N(I69)/100*IF(L69="",100,L69)/100))</f>
        <v/>
      </c>
      <c r="N69" s="22">
        <f>IF(H69="","",H69*IF(L69="",100,L69)/100+IF(K69="No",H69*N(I69)/100*IF(L69="",100,L69)/100,0))</f>
        <v/>
      </c>
      <c r="O69" s="35">
        <f>IF(B69="","",ROUNDUP(MONTH(B69)/3,0))</f>
        <v/>
      </c>
      <c r="P69" s="35">
        <f>IF(B69="","",YEAR(B69))</f>
        <v/>
      </c>
    </row>
    <row r="70">
      <c r="B70" s="37" t="n"/>
      <c r="C70" s="31" t="n"/>
      <c r="D70" s="31" t="n"/>
      <c r="E70" s="31" t="n"/>
      <c r="F70" s="31" t="n"/>
      <c r="G70" s="31" t="n"/>
      <c r="H70" s="33" t="n"/>
      <c r="I70" s="32" t="n"/>
      <c r="J70" s="22">
        <f>IF(H70="","",ROUND(H70*N(I70)/100,2))</f>
        <v/>
      </c>
      <c r="K70" s="30" t="n"/>
      <c r="L70" s="32" t="n"/>
      <c r="M70" s="22">
        <f>IF(H70="","",IF(K70="No",0,H70*N(I70)/100*IF(L70="",100,L70)/100))</f>
        <v/>
      </c>
      <c r="N70" s="22">
        <f>IF(H70="","",H70*IF(L70="",100,L70)/100+IF(K70="No",H70*N(I70)/100*IF(L70="",100,L70)/100,0))</f>
        <v/>
      </c>
      <c r="O70" s="35">
        <f>IF(B70="","",ROUNDUP(MONTH(B70)/3,0))</f>
        <v/>
      </c>
      <c r="P70" s="35">
        <f>IF(B70="","",YEAR(B70))</f>
        <v/>
      </c>
    </row>
    <row r="71">
      <c r="B71" s="37" t="n"/>
      <c r="C71" s="31" t="n"/>
      <c r="D71" s="31" t="n"/>
      <c r="E71" s="31" t="n"/>
      <c r="F71" s="31" t="n"/>
      <c r="G71" s="31" t="n"/>
      <c r="H71" s="33" t="n"/>
      <c r="I71" s="32" t="n"/>
      <c r="J71" s="22">
        <f>IF(H71="","",ROUND(H71*N(I71)/100,2))</f>
        <v/>
      </c>
      <c r="K71" s="30" t="n"/>
      <c r="L71" s="32" t="n"/>
      <c r="M71" s="22">
        <f>IF(H71="","",IF(K71="No",0,H71*N(I71)/100*IF(L71="",100,L71)/100))</f>
        <v/>
      </c>
      <c r="N71" s="22">
        <f>IF(H71="","",H71*IF(L71="",100,L71)/100+IF(K71="No",H71*N(I71)/100*IF(L71="",100,L71)/100,0))</f>
        <v/>
      </c>
      <c r="O71" s="35">
        <f>IF(B71="","",ROUNDUP(MONTH(B71)/3,0))</f>
        <v/>
      </c>
      <c r="P71" s="35">
        <f>IF(B71="","",YEAR(B71))</f>
        <v/>
      </c>
    </row>
    <row r="72">
      <c r="B72" s="37" t="n"/>
      <c r="C72" s="31" t="n"/>
      <c r="D72" s="31" t="n"/>
      <c r="E72" s="31" t="n"/>
      <c r="F72" s="31" t="n"/>
      <c r="G72" s="31" t="n"/>
      <c r="H72" s="33" t="n"/>
      <c r="I72" s="32" t="n"/>
      <c r="J72" s="22">
        <f>IF(H72="","",ROUND(H72*N(I72)/100,2))</f>
        <v/>
      </c>
      <c r="K72" s="30" t="n"/>
      <c r="L72" s="32" t="n"/>
      <c r="M72" s="22">
        <f>IF(H72="","",IF(K72="No",0,H72*N(I72)/100*IF(L72="",100,L72)/100))</f>
        <v/>
      </c>
      <c r="N72" s="22">
        <f>IF(H72="","",H72*IF(L72="",100,L72)/100+IF(K72="No",H72*N(I72)/100*IF(L72="",100,L72)/100,0))</f>
        <v/>
      </c>
      <c r="O72" s="35">
        <f>IF(B72="","",ROUNDUP(MONTH(B72)/3,0))</f>
        <v/>
      </c>
      <c r="P72" s="35">
        <f>IF(B72="","",YEAR(B72))</f>
        <v/>
      </c>
    </row>
    <row r="73">
      <c r="B73" s="37" t="n"/>
      <c r="C73" s="31" t="n"/>
      <c r="D73" s="31" t="n"/>
      <c r="E73" s="31" t="n"/>
      <c r="F73" s="31" t="n"/>
      <c r="G73" s="31" t="n"/>
      <c r="H73" s="33" t="n"/>
      <c r="I73" s="32" t="n"/>
      <c r="J73" s="22">
        <f>IF(H73="","",ROUND(H73*N(I73)/100,2))</f>
        <v/>
      </c>
      <c r="K73" s="30" t="n"/>
      <c r="L73" s="32" t="n"/>
      <c r="M73" s="22">
        <f>IF(H73="","",IF(K73="No",0,H73*N(I73)/100*IF(L73="",100,L73)/100))</f>
        <v/>
      </c>
      <c r="N73" s="22">
        <f>IF(H73="","",H73*IF(L73="",100,L73)/100+IF(K73="No",H73*N(I73)/100*IF(L73="",100,L73)/100,0))</f>
        <v/>
      </c>
      <c r="O73" s="35">
        <f>IF(B73="","",ROUNDUP(MONTH(B73)/3,0))</f>
        <v/>
      </c>
      <c r="P73" s="35">
        <f>IF(B73="","",YEAR(B73))</f>
        <v/>
      </c>
    </row>
    <row r="74">
      <c r="B74" s="37" t="n"/>
      <c r="C74" s="31" t="n"/>
      <c r="D74" s="31" t="n"/>
      <c r="E74" s="31" t="n"/>
      <c r="F74" s="31" t="n"/>
      <c r="G74" s="31" t="n"/>
      <c r="H74" s="33" t="n"/>
      <c r="I74" s="32" t="n"/>
      <c r="J74" s="22">
        <f>IF(H74="","",ROUND(H74*N(I74)/100,2))</f>
        <v/>
      </c>
      <c r="K74" s="30" t="n"/>
      <c r="L74" s="32" t="n"/>
      <c r="M74" s="22">
        <f>IF(H74="","",IF(K74="No",0,H74*N(I74)/100*IF(L74="",100,L74)/100))</f>
        <v/>
      </c>
      <c r="N74" s="22">
        <f>IF(H74="","",H74*IF(L74="",100,L74)/100+IF(K74="No",H74*N(I74)/100*IF(L74="",100,L74)/100,0))</f>
        <v/>
      </c>
      <c r="O74" s="35">
        <f>IF(B74="","",ROUNDUP(MONTH(B74)/3,0))</f>
        <v/>
      </c>
      <c r="P74" s="35">
        <f>IF(B74="","",YEAR(B74))</f>
        <v/>
      </c>
    </row>
    <row r="75">
      <c r="B75" s="37" t="n"/>
      <c r="C75" s="31" t="n"/>
      <c r="D75" s="31" t="n"/>
      <c r="E75" s="31" t="n"/>
      <c r="F75" s="31" t="n"/>
      <c r="G75" s="31" t="n"/>
      <c r="H75" s="33" t="n"/>
      <c r="I75" s="32" t="n"/>
      <c r="J75" s="22">
        <f>IF(H75="","",ROUND(H75*N(I75)/100,2))</f>
        <v/>
      </c>
      <c r="K75" s="30" t="n"/>
      <c r="L75" s="32" t="n"/>
      <c r="M75" s="22">
        <f>IF(H75="","",IF(K75="No",0,H75*N(I75)/100*IF(L75="",100,L75)/100))</f>
        <v/>
      </c>
      <c r="N75" s="22">
        <f>IF(H75="","",H75*IF(L75="",100,L75)/100+IF(K75="No",H75*N(I75)/100*IF(L75="",100,L75)/100,0))</f>
        <v/>
      </c>
      <c r="O75" s="35">
        <f>IF(B75="","",ROUNDUP(MONTH(B75)/3,0))</f>
        <v/>
      </c>
      <c r="P75" s="35">
        <f>IF(B75="","",YEAR(B75))</f>
        <v/>
      </c>
    </row>
    <row r="76">
      <c r="B76" s="37" t="n"/>
      <c r="C76" s="31" t="n"/>
      <c r="D76" s="31" t="n"/>
      <c r="E76" s="31" t="n"/>
      <c r="F76" s="31" t="n"/>
      <c r="G76" s="31" t="n"/>
      <c r="H76" s="33" t="n"/>
      <c r="I76" s="32" t="n"/>
      <c r="J76" s="22">
        <f>IF(H76="","",ROUND(H76*N(I76)/100,2))</f>
        <v/>
      </c>
      <c r="K76" s="30" t="n"/>
      <c r="L76" s="32" t="n"/>
      <c r="M76" s="22">
        <f>IF(H76="","",IF(K76="No",0,H76*N(I76)/100*IF(L76="",100,L76)/100))</f>
        <v/>
      </c>
      <c r="N76" s="22">
        <f>IF(H76="","",H76*IF(L76="",100,L76)/100+IF(K76="No",H76*N(I76)/100*IF(L76="",100,L76)/100,0))</f>
        <v/>
      </c>
      <c r="O76" s="35">
        <f>IF(B76="","",ROUNDUP(MONTH(B76)/3,0))</f>
        <v/>
      </c>
      <c r="P76" s="35">
        <f>IF(B76="","",YEAR(B76))</f>
        <v/>
      </c>
    </row>
    <row r="77">
      <c r="B77" s="37" t="n"/>
      <c r="C77" s="31" t="n"/>
      <c r="D77" s="31" t="n"/>
      <c r="E77" s="31" t="n"/>
      <c r="F77" s="31" t="n"/>
      <c r="G77" s="31" t="n"/>
      <c r="H77" s="33" t="n"/>
      <c r="I77" s="32" t="n"/>
      <c r="J77" s="22">
        <f>IF(H77="","",ROUND(H77*N(I77)/100,2))</f>
        <v/>
      </c>
      <c r="K77" s="30" t="n"/>
      <c r="L77" s="32" t="n"/>
      <c r="M77" s="22">
        <f>IF(H77="","",IF(K77="No",0,H77*N(I77)/100*IF(L77="",100,L77)/100))</f>
        <v/>
      </c>
      <c r="N77" s="22">
        <f>IF(H77="","",H77*IF(L77="",100,L77)/100+IF(K77="No",H77*N(I77)/100*IF(L77="",100,L77)/100,0))</f>
        <v/>
      </c>
      <c r="O77" s="35">
        <f>IF(B77="","",ROUNDUP(MONTH(B77)/3,0))</f>
        <v/>
      </c>
      <c r="P77" s="35">
        <f>IF(B77="","",YEAR(B77))</f>
        <v/>
      </c>
    </row>
    <row r="78">
      <c r="B78" s="37" t="n"/>
      <c r="C78" s="31" t="n"/>
      <c r="D78" s="31" t="n"/>
      <c r="E78" s="31" t="n"/>
      <c r="F78" s="31" t="n"/>
      <c r="G78" s="31" t="n"/>
      <c r="H78" s="33" t="n"/>
      <c r="I78" s="32" t="n"/>
      <c r="J78" s="22">
        <f>IF(H78="","",ROUND(H78*N(I78)/100,2))</f>
        <v/>
      </c>
      <c r="K78" s="30" t="n"/>
      <c r="L78" s="32" t="n"/>
      <c r="M78" s="22">
        <f>IF(H78="","",IF(K78="No",0,H78*N(I78)/100*IF(L78="",100,L78)/100))</f>
        <v/>
      </c>
      <c r="N78" s="22">
        <f>IF(H78="","",H78*IF(L78="",100,L78)/100+IF(K78="No",H78*N(I78)/100*IF(L78="",100,L78)/100,0))</f>
        <v/>
      </c>
      <c r="O78" s="35">
        <f>IF(B78="","",ROUNDUP(MONTH(B78)/3,0))</f>
        <v/>
      </c>
      <c r="P78" s="35">
        <f>IF(B78="","",YEAR(B78))</f>
        <v/>
      </c>
    </row>
    <row r="79">
      <c r="B79" s="37" t="n"/>
      <c r="C79" s="31" t="n"/>
      <c r="D79" s="31" t="n"/>
      <c r="E79" s="31" t="n"/>
      <c r="F79" s="31" t="n"/>
      <c r="G79" s="31" t="n"/>
      <c r="H79" s="33" t="n"/>
      <c r="I79" s="32" t="n"/>
      <c r="J79" s="22">
        <f>IF(H79="","",ROUND(H79*N(I79)/100,2))</f>
        <v/>
      </c>
      <c r="K79" s="30" t="n"/>
      <c r="L79" s="32" t="n"/>
      <c r="M79" s="22">
        <f>IF(H79="","",IF(K79="No",0,H79*N(I79)/100*IF(L79="",100,L79)/100))</f>
        <v/>
      </c>
      <c r="N79" s="22">
        <f>IF(H79="","",H79*IF(L79="",100,L79)/100+IF(K79="No",H79*N(I79)/100*IF(L79="",100,L79)/100,0))</f>
        <v/>
      </c>
      <c r="O79" s="35">
        <f>IF(B79="","",ROUNDUP(MONTH(B79)/3,0))</f>
        <v/>
      </c>
      <c r="P79" s="35">
        <f>IF(B79="","",YEAR(B79))</f>
        <v/>
      </c>
    </row>
    <row r="80">
      <c r="B80" s="37" t="n"/>
      <c r="C80" s="31" t="n"/>
      <c r="D80" s="31" t="n"/>
      <c r="E80" s="31" t="n"/>
      <c r="F80" s="31" t="n"/>
      <c r="G80" s="31" t="n"/>
      <c r="H80" s="33" t="n"/>
      <c r="I80" s="32" t="n"/>
      <c r="J80" s="22">
        <f>IF(H80="","",ROUND(H80*N(I80)/100,2))</f>
        <v/>
      </c>
      <c r="K80" s="30" t="n"/>
      <c r="L80" s="32" t="n"/>
      <c r="M80" s="22">
        <f>IF(H80="","",IF(K80="No",0,H80*N(I80)/100*IF(L80="",100,L80)/100))</f>
        <v/>
      </c>
      <c r="N80" s="22">
        <f>IF(H80="","",H80*IF(L80="",100,L80)/100+IF(K80="No",H80*N(I80)/100*IF(L80="",100,L80)/100,0))</f>
        <v/>
      </c>
      <c r="O80" s="35">
        <f>IF(B80="","",ROUNDUP(MONTH(B80)/3,0))</f>
        <v/>
      </c>
      <c r="P80" s="35">
        <f>IF(B80="","",YEAR(B80))</f>
        <v/>
      </c>
    </row>
    <row r="81">
      <c r="B81" s="37" t="n"/>
      <c r="C81" s="31" t="n"/>
      <c r="D81" s="31" t="n"/>
      <c r="E81" s="31" t="n"/>
      <c r="F81" s="31" t="n"/>
      <c r="G81" s="31" t="n"/>
      <c r="H81" s="33" t="n"/>
      <c r="I81" s="32" t="n"/>
      <c r="J81" s="22">
        <f>IF(H81="","",ROUND(H81*N(I81)/100,2))</f>
        <v/>
      </c>
      <c r="K81" s="30" t="n"/>
      <c r="L81" s="32" t="n"/>
      <c r="M81" s="22">
        <f>IF(H81="","",IF(K81="No",0,H81*N(I81)/100*IF(L81="",100,L81)/100))</f>
        <v/>
      </c>
      <c r="N81" s="22">
        <f>IF(H81="","",H81*IF(L81="",100,L81)/100+IF(K81="No",H81*N(I81)/100*IF(L81="",100,L81)/100,0))</f>
        <v/>
      </c>
      <c r="O81" s="35">
        <f>IF(B81="","",ROUNDUP(MONTH(B81)/3,0))</f>
        <v/>
      </c>
      <c r="P81" s="35">
        <f>IF(B81="","",YEAR(B81))</f>
        <v/>
      </c>
    </row>
    <row r="82">
      <c r="B82" s="37" t="n"/>
      <c r="C82" s="31" t="n"/>
      <c r="D82" s="31" t="n"/>
      <c r="E82" s="31" t="n"/>
      <c r="F82" s="31" t="n"/>
      <c r="G82" s="31" t="n"/>
      <c r="H82" s="33" t="n"/>
      <c r="I82" s="32" t="n"/>
      <c r="J82" s="22">
        <f>IF(H82="","",ROUND(H82*N(I82)/100,2))</f>
        <v/>
      </c>
      <c r="K82" s="30" t="n"/>
      <c r="L82" s="32" t="n"/>
      <c r="M82" s="22">
        <f>IF(H82="","",IF(K82="No",0,H82*N(I82)/100*IF(L82="",100,L82)/100))</f>
        <v/>
      </c>
      <c r="N82" s="22">
        <f>IF(H82="","",H82*IF(L82="",100,L82)/100+IF(K82="No",H82*N(I82)/100*IF(L82="",100,L82)/100,0))</f>
        <v/>
      </c>
      <c r="O82" s="35">
        <f>IF(B82="","",ROUNDUP(MONTH(B82)/3,0))</f>
        <v/>
      </c>
      <c r="P82" s="35">
        <f>IF(B82="","",YEAR(B82))</f>
        <v/>
      </c>
    </row>
    <row r="83">
      <c r="B83" s="37" t="n"/>
      <c r="C83" s="31" t="n"/>
      <c r="D83" s="31" t="n"/>
      <c r="E83" s="31" t="n"/>
      <c r="F83" s="31" t="n"/>
      <c r="G83" s="31" t="n"/>
      <c r="H83" s="33" t="n"/>
      <c r="I83" s="32" t="n"/>
      <c r="J83" s="22">
        <f>IF(H83="","",ROUND(H83*N(I83)/100,2))</f>
        <v/>
      </c>
      <c r="K83" s="30" t="n"/>
      <c r="L83" s="32" t="n"/>
      <c r="M83" s="22">
        <f>IF(H83="","",IF(K83="No",0,H83*N(I83)/100*IF(L83="",100,L83)/100))</f>
        <v/>
      </c>
      <c r="N83" s="22">
        <f>IF(H83="","",H83*IF(L83="",100,L83)/100+IF(K83="No",H83*N(I83)/100*IF(L83="",100,L83)/100,0))</f>
        <v/>
      </c>
      <c r="O83" s="35">
        <f>IF(B83="","",ROUNDUP(MONTH(B83)/3,0))</f>
        <v/>
      </c>
      <c r="P83" s="35">
        <f>IF(B83="","",YEAR(B83))</f>
        <v/>
      </c>
    </row>
    <row r="84">
      <c r="B84" s="37" t="n"/>
      <c r="C84" s="31" t="n"/>
      <c r="D84" s="31" t="n"/>
      <c r="E84" s="31" t="n"/>
      <c r="F84" s="31" t="n"/>
      <c r="G84" s="31" t="n"/>
      <c r="H84" s="33" t="n"/>
      <c r="I84" s="32" t="n"/>
      <c r="J84" s="22">
        <f>IF(H84="","",ROUND(H84*N(I84)/100,2))</f>
        <v/>
      </c>
      <c r="K84" s="30" t="n"/>
      <c r="L84" s="32" t="n"/>
      <c r="M84" s="22">
        <f>IF(H84="","",IF(K84="No",0,H84*N(I84)/100*IF(L84="",100,L84)/100))</f>
        <v/>
      </c>
      <c r="N84" s="22">
        <f>IF(H84="","",H84*IF(L84="",100,L84)/100+IF(K84="No",H84*N(I84)/100*IF(L84="",100,L84)/100,0))</f>
        <v/>
      </c>
      <c r="O84" s="35">
        <f>IF(B84="","",ROUNDUP(MONTH(B84)/3,0))</f>
        <v/>
      </c>
      <c r="P84" s="35">
        <f>IF(B84="","",YEAR(B84))</f>
        <v/>
      </c>
    </row>
    <row r="85">
      <c r="B85" s="37" t="n"/>
      <c r="C85" s="31" t="n"/>
      <c r="D85" s="31" t="n"/>
      <c r="E85" s="31" t="n"/>
      <c r="F85" s="31" t="n"/>
      <c r="G85" s="31" t="n"/>
      <c r="H85" s="33" t="n"/>
      <c r="I85" s="32" t="n"/>
      <c r="J85" s="22">
        <f>IF(H85="","",ROUND(H85*N(I85)/100,2))</f>
        <v/>
      </c>
      <c r="K85" s="30" t="n"/>
      <c r="L85" s="32" t="n"/>
      <c r="M85" s="22">
        <f>IF(H85="","",IF(K85="No",0,H85*N(I85)/100*IF(L85="",100,L85)/100))</f>
        <v/>
      </c>
      <c r="N85" s="22">
        <f>IF(H85="","",H85*IF(L85="",100,L85)/100+IF(K85="No",H85*N(I85)/100*IF(L85="",100,L85)/100,0))</f>
        <v/>
      </c>
      <c r="O85" s="35">
        <f>IF(B85="","",ROUNDUP(MONTH(B85)/3,0))</f>
        <v/>
      </c>
      <c r="P85" s="35">
        <f>IF(B85="","",YEAR(B85))</f>
        <v/>
      </c>
    </row>
    <row r="86">
      <c r="B86" s="37" t="n"/>
      <c r="C86" s="31" t="n"/>
      <c r="D86" s="31" t="n"/>
      <c r="E86" s="31" t="n"/>
      <c r="F86" s="31" t="n"/>
      <c r="G86" s="31" t="n"/>
      <c r="H86" s="33" t="n"/>
      <c r="I86" s="32" t="n"/>
      <c r="J86" s="22">
        <f>IF(H86="","",ROUND(H86*N(I86)/100,2))</f>
        <v/>
      </c>
      <c r="K86" s="30" t="n"/>
      <c r="L86" s="32" t="n"/>
      <c r="M86" s="22">
        <f>IF(H86="","",IF(K86="No",0,H86*N(I86)/100*IF(L86="",100,L86)/100))</f>
        <v/>
      </c>
      <c r="N86" s="22">
        <f>IF(H86="","",H86*IF(L86="",100,L86)/100+IF(K86="No",H86*N(I86)/100*IF(L86="",100,L86)/100,0))</f>
        <v/>
      </c>
      <c r="O86" s="35">
        <f>IF(B86="","",ROUNDUP(MONTH(B86)/3,0))</f>
        <v/>
      </c>
      <c r="P86" s="35">
        <f>IF(B86="","",YEAR(B86))</f>
        <v/>
      </c>
    </row>
    <row r="87">
      <c r="B87" s="37" t="n"/>
      <c r="C87" s="31" t="n"/>
      <c r="D87" s="31" t="n"/>
      <c r="E87" s="31" t="n"/>
      <c r="F87" s="31" t="n"/>
      <c r="G87" s="31" t="n"/>
      <c r="H87" s="33" t="n"/>
      <c r="I87" s="32" t="n"/>
      <c r="J87" s="22">
        <f>IF(H87="","",ROUND(H87*N(I87)/100,2))</f>
        <v/>
      </c>
      <c r="K87" s="30" t="n"/>
      <c r="L87" s="32" t="n"/>
      <c r="M87" s="22">
        <f>IF(H87="","",IF(K87="No",0,H87*N(I87)/100*IF(L87="",100,L87)/100))</f>
        <v/>
      </c>
      <c r="N87" s="22">
        <f>IF(H87="","",H87*IF(L87="",100,L87)/100+IF(K87="No",H87*N(I87)/100*IF(L87="",100,L87)/100,0))</f>
        <v/>
      </c>
      <c r="O87" s="35">
        <f>IF(B87="","",ROUNDUP(MONTH(B87)/3,0))</f>
        <v/>
      </c>
      <c r="P87" s="35">
        <f>IF(B87="","",YEAR(B87))</f>
        <v/>
      </c>
    </row>
    <row r="88">
      <c r="B88" s="37" t="n"/>
      <c r="C88" s="31" t="n"/>
      <c r="D88" s="31" t="n"/>
      <c r="E88" s="31" t="n"/>
      <c r="F88" s="31" t="n"/>
      <c r="G88" s="31" t="n"/>
      <c r="H88" s="33" t="n"/>
      <c r="I88" s="32" t="n"/>
      <c r="J88" s="22">
        <f>IF(H88="","",ROUND(H88*N(I88)/100,2))</f>
        <v/>
      </c>
      <c r="K88" s="30" t="n"/>
      <c r="L88" s="32" t="n"/>
      <c r="M88" s="22">
        <f>IF(H88="","",IF(K88="No",0,H88*N(I88)/100*IF(L88="",100,L88)/100))</f>
        <v/>
      </c>
      <c r="N88" s="22">
        <f>IF(H88="","",H88*IF(L88="",100,L88)/100+IF(K88="No",H88*N(I88)/100*IF(L88="",100,L88)/100,0))</f>
        <v/>
      </c>
      <c r="O88" s="35">
        <f>IF(B88="","",ROUNDUP(MONTH(B88)/3,0))</f>
        <v/>
      </c>
      <c r="P88" s="35">
        <f>IF(B88="","",YEAR(B88))</f>
        <v/>
      </c>
    </row>
    <row r="89">
      <c r="B89" s="37" t="n"/>
      <c r="C89" s="31" t="n"/>
      <c r="D89" s="31" t="n"/>
      <c r="E89" s="31" t="n"/>
      <c r="F89" s="31" t="n"/>
      <c r="G89" s="31" t="n"/>
      <c r="H89" s="33" t="n"/>
      <c r="I89" s="32" t="n"/>
      <c r="J89" s="22">
        <f>IF(H89="","",ROUND(H89*N(I89)/100,2))</f>
        <v/>
      </c>
      <c r="K89" s="30" t="n"/>
      <c r="L89" s="32" t="n"/>
      <c r="M89" s="22">
        <f>IF(H89="","",IF(K89="No",0,H89*N(I89)/100*IF(L89="",100,L89)/100))</f>
        <v/>
      </c>
      <c r="N89" s="22">
        <f>IF(H89="","",H89*IF(L89="",100,L89)/100+IF(K89="No",H89*N(I89)/100*IF(L89="",100,L89)/100,0))</f>
        <v/>
      </c>
      <c r="O89" s="35">
        <f>IF(B89="","",ROUNDUP(MONTH(B89)/3,0))</f>
        <v/>
      </c>
      <c r="P89" s="35">
        <f>IF(B89="","",YEAR(B89))</f>
        <v/>
      </c>
    </row>
    <row r="90">
      <c r="B90" s="37" t="n"/>
      <c r="C90" s="31" t="n"/>
      <c r="D90" s="31" t="n"/>
      <c r="E90" s="31" t="n"/>
      <c r="F90" s="31" t="n"/>
      <c r="G90" s="31" t="n"/>
      <c r="H90" s="33" t="n"/>
      <c r="I90" s="32" t="n"/>
      <c r="J90" s="22">
        <f>IF(H90="","",ROUND(H90*N(I90)/100,2))</f>
        <v/>
      </c>
      <c r="K90" s="30" t="n"/>
      <c r="L90" s="32" t="n"/>
      <c r="M90" s="22">
        <f>IF(H90="","",IF(K90="No",0,H90*N(I90)/100*IF(L90="",100,L90)/100))</f>
        <v/>
      </c>
      <c r="N90" s="22">
        <f>IF(H90="","",H90*IF(L90="",100,L90)/100+IF(K90="No",H90*N(I90)/100*IF(L90="",100,L90)/100,0))</f>
        <v/>
      </c>
      <c r="O90" s="35">
        <f>IF(B90="","",ROUNDUP(MONTH(B90)/3,0))</f>
        <v/>
      </c>
      <c r="P90" s="35">
        <f>IF(B90="","",YEAR(B90))</f>
        <v/>
      </c>
    </row>
    <row r="91">
      <c r="B91" s="37" t="n"/>
      <c r="C91" s="31" t="n"/>
      <c r="D91" s="31" t="n"/>
      <c r="E91" s="31" t="n"/>
      <c r="F91" s="31" t="n"/>
      <c r="G91" s="31" t="n"/>
      <c r="H91" s="33" t="n"/>
      <c r="I91" s="32" t="n"/>
      <c r="J91" s="22">
        <f>IF(H91="","",ROUND(H91*N(I91)/100,2))</f>
        <v/>
      </c>
      <c r="K91" s="30" t="n"/>
      <c r="L91" s="32" t="n"/>
      <c r="M91" s="22">
        <f>IF(H91="","",IF(K91="No",0,H91*N(I91)/100*IF(L91="",100,L91)/100))</f>
        <v/>
      </c>
      <c r="N91" s="22">
        <f>IF(H91="","",H91*IF(L91="",100,L91)/100+IF(K91="No",H91*N(I91)/100*IF(L91="",100,L91)/100,0))</f>
        <v/>
      </c>
      <c r="O91" s="35">
        <f>IF(B91="","",ROUNDUP(MONTH(B91)/3,0))</f>
        <v/>
      </c>
      <c r="P91" s="35">
        <f>IF(B91="","",YEAR(B91))</f>
        <v/>
      </c>
    </row>
    <row r="92">
      <c r="B92" s="37" t="n"/>
      <c r="C92" s="31" t="n"/>
      <c r="D92" s="31" t="n"/>
      <c r="E92" s="31" t="n"/>
      <c r="F92" s="31" t="n"/>
      <c r="G92" s="31" t="n"/>
      <c r="H92" s="33" t="n"/>
      <c r="I92" s="32" t="n"/>
      <c r="J92" s="22">
        <f>IF(H92="","",ROUND(H92*N(I92)/100,2))</f>
        <v/>
      </c>
      <c r="K92" s="30" t="n"/>
      <c r="L92" s="32" t="n"/>
      <c r="M92" s="22">
        <f>IF(H92="","",IF(K92="No",0,H92*N(I92)/100*IF(L92="",100,L92)/100))</f>
        <v/>
      </c>
      <c r="N92" s="22">
        <f>IF(H92="","",H92*IF(L92="",100,L92)/100+IF(K92="No",H92*N(I92)/100*IF(L92="",100,L92)/100,0))</f>
        <v/>
      </c>
      <c r="O92" s="35">
        <f>IF(B92="","",ROUNDUP(MONTH(B92)/3,0))</f>
        <v/>
      </c>
      <c r="P92" s="35">
        <f>IF(B92="","",YEAR(B92))</f>
        <v/>
      </c>
    </row>
    <row r="93">
      <c r="B93" s="37" t="n"/>
      <c r="C93" s="31" t="n"/>
      <c r="D93" s="31" t="n"/>
      <c r="E93" s="31" t="n"/>
      <c r="F93" s="31" t="n"/>
      <c r="G93" s="31" t="n"/>
      <c r="H93" s="33" t="n"/>
      <c r="I93" s="32" t="n"/>
      <c r="J93" s="22">
        <f>IF(H93="","",ROUND(H93*N(I93)/100,2))</f>
        <v/>
      </c>
      <c r="K93" s="30" t="n"/>
      <c r="L93" s="32" t="n"/>
      <c r="M93" s="22">
        <f>IF(H93="","",IF(K93="No",0,H93*N(I93)/100*IF(L93="",100,L93)/100))</f>
        <v/>
      </c>
      <c r="N93" s="22">
        <f>IF(H93="","",H93*IF(L93="",100,L93)/100+IF(K93="No",H93*N(I93)/100*IF(L93="",100,L93)/100,0))</f>
        <v/>
      </c>
      <c r="O93" s="35">
        <f>IF(B93="","",ROUNDUP(MONTH(B93)/3,0))</f>
        <v/>
      </c>
      <c r="P93" s="35">
        <f>IF(B93="","",YEAR(B93))</f>
        <v/>
      </c>
    </row>
    <row r="94">
      <c r="B94" s="37" t="n"/>
      <c r="C94" s="31" t="n"/>
      <c r="D94" s="31" t="n"/>
      <c r="E94" s="31" t="n"/>
      <c r="F94" s="31" t="n"/>
      <c r="G94" s="31" t="n"/>
      <c r="H94" s="33" t="n"/>
      <c r="I94" s="32" t="n"/>
      <c r="J94" s="22">
        <f>IF(H94="","",ROUND(H94*N(I94)/100,2))</f>
        <v/>
      </c>
      <c r="K94" s="30" t="n"/>
      <c r="L94" s="32" t="n"/>
      <c r="M94" s="22">
        <f>IF(H94="","",IF(K94="No",0,H94*N(I94)/100*IF(L94="",100,L94)/100))</f>
        <v/>
      </c>
      <c r="N94" s="22">
        <f>IF(H94="","",H94*IF(L94="",100,L94)/100+IF(K94="No",H94*N(I94)/100*IF(L94="",100,L94)/100,0))</f>
        <v/>
      </c>
      <c r="O94" s="35">
        <f>IF(B94="","",ROUNDUP(MONTH(B94)/3,0))</f>
        <v/>
      </c>
      <c r="P94" s="35">
        <f>IF(B94="","",YEAR(B94))</f>
        <v/>
      </c>
    </row>
    <row r="95">
      <c r="B95" s="37" t="n"/>
      <c r="C95" s="31" t="n"/>
      <c r="D95" s="31" t="n"/>
      <c r="E95" s="31" t="n"/>
      <c r="F95" s="31" t="n"/>
      <c r="G95" s="31" t="n"/>
      <c r="H95" s="33" t="n"/>
      <c r="I95" s="32" t="n"/>
      <c r="J95" s="22">
        <f>IF(H95="","",ROUND(H95*N(I95)/100,2))</f>
        <v/>
      </c>
      <c r="K95" s="30" t="n"/>
      <c r="L95" s="32" t="n"/>
      <c r="M95" s="22">
        <f>IF(H95="","",IF(K95="No",0,H95*N(I95)/100*IF(L95="",100,L95)/100))</f>
        <v/>
      </c>
      <c r="N95" s="22">
        <f>IF(H95="","",H95*IF(L95="",100,L95)/100+IF(K95="No",H95*N(I95)/100*IF(L95="",100,L95)/100,0))</f>
        <v/>
      </c>
      <c r="O95" s="35">
        <f>IF(B95="","",ROUNDUP(MONTH(B95)/3,0))</f>
        <v/>
      </c>
      <c r="P95" s="35">
        <f>IF(B95="","",YEAR(B95))</f>
        <v/>
      </c>
    </row>
    <row r="96">
      <c r="B96" s="37" t="n"/>
      <c r="C96" s="31" t="n"/>
      <c r="D96" s="31" t="n"/>
      <c r="E96" s="31" t="n"/>
      <c r="F96" s="31" t="n"/>
      <c r="G96" s="31" t="n"/>
      <c r="H96" s="33" t="n"/>
      <c r="I96" s="32" t="n"/>
      <c r="J96" s="22">
        <f>IF(H96="","",ROUND(H96*N(I96)/100,2))</f>
        <v/>
      </c>
      <c r="K96" s="30" t="n"/>
      <c r="L96" s="32" t="n"/>
      <c r="M96" s="22">
        <f>IF(H96="","",IF(K96="No",0,H96*N(I96)/100*IF(L96="",100,L96)/100))</f>
        <v/>
      </c>
      <c r="N96" s="22">
        <f>IF(H96="","",H96*IF(L96="",100,L96)/100+IF(K96="No",H96*N(I96)/100*IF(L96="",100,L96)/100,0))</f>
        <v/>
      </c>
      <c r="O96" s="35">
        <f>IF(B96="","",ROUNDUP(MONTH(B96)/3,0))</f>
        <v/>
      </c>
      <c r="P96" s="35">
        <f>IF(B96="","",YEAR(B96))</f>
        <v/>
      </c>
    </row>
    <row r="97">
      <c r="B97" s="37" t="n"/>
      <c r="C97" s="31" t="n"/>
      <c r="D97" s="31" t="n"/>
      <c r="E97" s="31" t="n"/>
      <c r="F97" s="31" t="n"/>
      <c r="G97" s="31" t="n"/>
      <c r="H97" s="33" t="n"/>
      <c r="I97" s="32" t="n"/>
      <c r="J97" s="22">
        <f>IF(H97="","",ROUND(H97*N(I97)/100,2))</f>
        <v/>
      </c>
      <c r="K97" s="30" t="n"/>
      <c r="L97" s="32" t="n"/>
      <c r="M97" s="22">
        <f>IF(H97="","",IF(K97="No",0,H97*N(I97)/100*IF(L97="",100,L97)/100))</f>
        <v/>
      </c>
      <c r="N97" s="22">
        <f>IF(H97="","",H97*IF(L97="",100,L97)/100+IF(K97="No",H97*N(I97)/100*IF(L97="",100,L97)/100,0))</f>
        <v/>
      </c>
      <c r="O97" s="35">
        <f>IF(B97="","",ROUNDUP(MONTH(B97)/3,0))</f>
        <v/>
      </c>
      <c r="P97" s="35">
        <f>IF(B97="","",YEAR(B97))</f>
        <v/>
      </c>
    </row>
    <row r="98">
      <c r="B98" s="37" t="n"/>
      <c r="C98" s="31" t="n"/>
      <c r="D98" s="31" t="n"/>
      <c r="E98" s="31" t="n"/>
      <c r="F98" s="31" t="n"/>
      <c r="G98" s="31" t="n"/>
      <c r="H98" s="33" t="n"/>
      <c r="I98" s="32" t="n"/>
      <c r="J98" s="22">
        <f>IF(H98="","",ROUND(H98*N(I98)/100,2))</f>
        <v/>
      </c>
      <c r="K98" s="30" t="n"/>
      <c r="L98" s="32" t="n"/>
      <c r="M98" s="22">
        <f>IF(H98="","",IF(K98="No",0,H98*N(I98)/100*IF(L98="",100,L98)/100))</f>
        <v/>
      </c>
      <c r="N98" s="22">
        <f>IF(H98="","",H98*IF(L98="",100,L98)/100+IF(K98="No",H98*N(I98)/100*IF(L98="",100,L98)/100,0))</f>
        <v/>
      </c>
      <c r="O98" s="35">
        <f>IF(B98="","",ROUNDUP(MONTH(B98)/3,0))</f>
        <v/>
      </c>
      <c r="P98" s="35">
        <f>IF(B98="","",YEAR(B98))</f>
        <v/>
      </c>
    </row>
    <row r="99">
      <c r="B99" s="37" t="n"/>
      <c r="C99" s="31" t="n"/>
      <c r="D99" s="31" t="n"/>
      <c r="E99" s="31" t="n"/>
      <c r="F99" s="31" t="n"/>
      <c r="G99" s="31" t="n"/>
      <c r="H99" s="33" t="n"/>
      <c r="I99" s="32" t="n"/>
      <c r="J99" s="22">
        <f>IF(H99="","",ROUND(H99*N(I99)/100,2))</f>
        <v/>
      </c>
      <c r="K99" s="30" t="n"/>
      <c r="L99" s="32" t="n"/>
      <c r="M99" s="22">
        <f>IF(H99="","",IF(K99="No",0,H99*N(I99)/100*IF(L99="",100,L99)/100))</f>
        <v/>
      </c>
      <c r="N99" s="22">
        <f>IF(H99="","",H99*IF(L99="",100,L99)/100+IF(K99="No",H99*N(I99)/100*IF(L99="",100,L99)/100,0))</f>
        <v/>
      </c>
      <c r="O99" s="35">
        <f>IF(B99="","",ROUNDUP(MONTH(B99)/3,0))</f>
        <v/>
      </c>
      <c r="P99" s="35">
        <f>IF(B99="","",YEAR(B99))</f>
        <v/>
      </c>
    </row>
    <row r="100">
      <c r="B100" s="37" t="n"/>
      <c r="C100" s="31" t="n"/>
      <c r="D100" s="31" t="n"/>
      <c r="E100" s="31" t="n"/>
      <c r="F100" s="31" t="n"/>
      <c r="G100" s="31" t="n"/>
      <c r="H100" s="33" t="n"/>
      <c r="I100" s="32" t="n"/>
      <c r="J100" s="22">
        <f>IF(H100="","",ROUND(H100*N(I100)/100,2))</f>
        <v/>
      </c>
      <c r="K100" s="30" t="n"/>
      <c r="L100" s="32" t="n"/>
      <c r="M100" s="22">
        <f>IF(H100="","",IF(K100="No",0,H100*N(I100)/100*IF(L100="",100,L100)/100))</f>
        <v/>
      </c>
      <c r="N100" s="22">
        <f>IF(H100="","",H100*IF(L100="",100,L100)/100+IF(K100="No",H100*N(I100)/100*IF(L100="",100,L100)/100,0))</f>
        <v/>
      </c>
      <c r="O100" s="35">
        <f>IF(B100="","",ROUNDUP(MONTH(B100)/3,0))</f>
        <v/>
      </c>
      <c r="P100" s="35">
        <f>IF(B100="","",YEAR(B100))</f>
        <v/>
      </c>
    </row>
    <row r="101">
      <c r="B101" s="37" t="n"/>
      <c r="C101" s="31" t="n"/>
      <c r="D101" s="31" t="n"/>
      <c r="E101" s="31" t="n"/>
      <c r="F101" s="31" t="n"/>
      <c r="G101" s="31" t="n"/>
      <c r="H101" s="33" t="n"/>
      <c r="I101" s="32" t="n"/>
      <c r="J101" s="22">
        <f>IF(H101="","",ROUND(H101*N(I101)/100,2))</f>
        <v/>
      </c>
      <c r="K101" s="30" t="n"/>
      <c r="L101" s="32" t="n"/>
      <c r="M101" s="22">
        <f>IF(H101="","",IF(K101="No",0,H101*N(I101)/100*IF(L101="",100,L101)/100))</f>
        <v/>
      </c>
      <c r="N101" s="22">
        <f>IF(H101="","",H101*IF(L101="",100,L101)/100+IF(K101="No",H101*N(I101)/100*IF(L101="",100,L101)/100,0))</f>
        <v/>
      </c>
      <c r="O101" s="35">
        <f>IF(B101="","",ROUNDUP(MONTH(B101)/3,0))</f>
        <v/>
      </c>
      <c r="P101" s="35">
        <f>IF(B101="","",YEAR(B101))</f>
        <v/>
      </c>
    </row>
    <row r="102">
      <c r="B102" s="37" t="n"/>
      <c r="C102" s="31" t="n"/>
      <c r="D102" s="31" t="n"/>
      <c r="E102" s="31" t="n"/>
      <c r="F102" s="31" t="n"/>
      <c r="G102" s="31" t="n"/>
      <c r="H102" s="33" t="n"/>
      <c r="I102" s="32" t="n"/>
      <c r="J102" s="22">
        <f>IF(H102="","",ROUND(H102*N(I102)/100,2))</f>
        <v/>
      </c>
      <c r="K102" s="30" t="n"/>
      <c r="L102" s="32" t="n"/>
      <c r="M102" s="22">
        <f>IF(H102="","",IF(K102="No",0,H102*N(I102)/100*IF(L102="",100,L102)/100))</f>
        <v/>
      </c>
      <c r="N102" s="22">
        <f>IF(H102="","",H102*IF(L102="",100,L102)/100+IF(K102="No",H102*N(I102)/100*IF(L102="",100,L102)/100,0))</f>
        <v/>
      </c>
      <c r="O102" s="35">
        <f>IF(B102="","",ROUNDUP(MONTH(B102)/3,0))</f>
        <v/>
      </c>
      <c r="P102" s="35">
        <f>IF(B102="","",YEAR(B102))</f>
        <v/>
      </c>
    </row>
    <row r="103">
      <c r="B103" s="37" t="n"/>
      <c r="C103" s="31" t="n"/>
      <c r="D103" s="31" t="n"/>
      <c r="E103" s="31" t="n"/>
      <c r="F103" s="31" t="n"/>
      <c r="G103" s="31" t="n"/>
      <c r="H103" s="33" t="n"/>
      <c r="I103" s="32" t="n"/>
      <c r="J103" s="22">
        <f>IF(H103="","",ROUND(H103*N(I103)/100,2))</f>
        <v/>
      </c>
      <c r="K103" s="30" t="n"/>
      <c r="L103" s="32" t="n"/>
      <c r="M103" s="22">
        <f>IF(H103="","",IF(K103="No",0,H103*N(I103)/100*IF(L103="",100,L103)/100))</f>
        <v/>
      </c>
      <c r="N103" s="22">
        <f>IF(H103="","",H103*IF(L103="",100,L103)/100+IF(K103="No",H103*N(I103)/100*IF(L103="",100,L103)/100,0))</f>
        <v/>
      </c>
      <c r="O103" s="35">
        <f>IF(B103="","",ROUNDUP(MONTH(B103)/3,0))</f>
        <v/>
      </c>
      <c r="P103" s="35">
        <f>IF(B103="","",YEAR(B103))</f>
        <v/>
      </c>
    </row>
    <row r="104">
      <c r="B104" s="37" t="n"/>
      <c r="C104" s="31" t="n"/>
      <c r="D104" s="31" t="n"/>
      <c r="E104" s="31" t="n"/>
      <c r="F104" s="31" t="n"/>
      <c r="G104" s="31" t="n"/>
      <c r="H104" s="33" t="n"/>
      <c r="I104" s="32" t="n"/>
      <c r="J104" s="22">
        <f>IF(H104="","",ROUND(H104*N(I104)/100,2))</f>
        <v/>
      </c>
      <c r="K104" s="30" t="n"/>
      <c r="L104" s="32" t="n"/>
      <c r="M104" s="22">
        <f>IF(H104="","",IF(K104="No",0,H104*N(I104)/100*IF(L104="",100,L104)/100))</f>
        <v/>
      </c>
      <c r="N104" s="22">
        <f>IF(H104="","",H104*IF(L104="",100,L104)/100+IF(K104="No",H104*N(I104)/100*IF(L104="",100,L104)/100,0))</f>
        <v/>
      </c>
      <c r="O104" s="35">
        <f>IF(B104="","",ROUNDUP(MONTH(B104)/3,0))</f>
        <v/>
      </c>
      <c r="P104" s="35">
        <f>IF(B104="","",YEAR(B104))</f>
        <v/>
      </c>
    </row>
    <row r="105">
      <c r="B105" s="37" t="n"/>
      <c r="C105" s="31" t="n"/>
      <c r="D105" s="31" t="n"/>
      <c r="E105" s="31" t="n"/>
      <c r="F105" s="31" t="n"/>
      <c r="G105" s="31" t="n"/>
      <c r="H105" s="33" t="n"/>
      <c r="I105" s="32" t="n"/>
      <c r="J105" s="22">
        <f>IF(H105="","",ROUND(H105*N(I105)/100,2))</f>
        <v/>
      </c>
      <c r="K105" s="30" t="n"/>
      <c r="L105" s="32" t="n"/>
      <c r="M105" s="22">
        <f>IF(H105="","",IF(K105="No",0,H105*N(I105)/100*IF(L105="",100,L105)/100))</f>
        <v/>
      </c>
      <c r="N105" s="22">
        <f>IF(H105="","",H105*IF(L105="",100,L105)/100+IF(K105="No",H105*N(I105)/100*IF(L105="",100,L105)/100,0))</f>
        <v/>
      </c>
      <c r="O105" s="35">
        <f>IF(B105="","",ROUNDUP(MONTH(B105)/3,0))</f>
        <v/>
      </c>
      <c r="P105" s="35">
        <f>IF(B105="","",YEAR(B105))</f>
        <v/>
      </c>
    </row>
    <row r="106">
      <c r="B106" s="37" t="n"/>
      <c r="C106" s="31" t="n"/>
      <c r="D106" s="31" t="n"/>
      <c r="E106" s="31" t="n"/>
      <c r="F106" s="31" t="n"/>
      <c r="G106" s="31" t="n"/>
      <c r="H106" s="33" t="n"/>
      <c r="I106" s="32" t="n"/>
      <c r="J106" s="22">
        <f>IF(H106="","",ROUND(H106*N(I106)/100,2))</f>
        <v/>
      </c>
      <c r="K106" s="30" t="n"/>
      <c r="L106" s="32" t="n"/>
      <c r="M106" s="22">
        <f>IF(H106="","",IF(K106="No",0,H106*N(I106)/100*IF(L106="",100,L106)/100))</f>
        <v/>
      </c>
      <c r="N106" s="22">
        <f>IF(H106="","",H106*IF(L106="",100,L106)/100+IF(K106="No",H106*N(I106)/100*IF(L106="",100,L106)/100,0))</f>
        <v/>
      </c>
      <c r="O106" s="35">
        <f>IF(B106="","",ROUNDUP(MONTH(B106)/3,0))</f>
        <v/>
      </c>
      <c r="P106" s="35">
        <f>IF(B106="","",YEAR(B106))</f>
        <v/>
      </c>
    </row>
    <row r="107">
      <c r="B107" s="37" t="n"/>
      <c r="C107" s="31" t="n"/>
      <c r="D107" s="31" t="n"/>
      <c r="E107" s="31" t="n"/>
      <c r="F107" s="31" t="n"/>
      <c r="G107" s="31" t="n"/>
      <c r="H107" s="33" t="n"/>
      <c r="I107" s="32" t="n"/>
      <c r="J107" s="22">
        <f>IF(H107="","",ROUND(H107*N(I107)/100,2))</f>
        <v/>
      </c>
      <c r="K107" s="30" t="n"/>
      <c r="L107" s="32" t="n"/>
      <c r="M107" s="22">
        <f>IF(H107="","",IF(K107="No",0,H107*N(I107)/100*IF(L107="",100,L107)/100))</f>
        <v/>
      </c>
      <c r="N107" s="22">
        <f>IF(H107="","",H107*IF(L107="",100,L107)/100+IF(K107="No",H107*N(I107)/100*IF(L107="",100,L107)/100,0))</f>
        <v/>
      </c>
      <c r="O107" s="35">
        <f>IF(B107="","",ROUNDUP(MONTH(B107)/3,0))</f>
        <v/>
      </c>
      <c r="P107" s="35">
        <f>IF(B107="","",YEAR(B107))</f>
        <v/>
      </c>
    </row>
    <row r="108">
      <c r="B108" s="37" t="n"/>
      <c r="C108" s="31" t="n"/>
      <c r="D108" s="31" t="n"/>
      <c r="E108" s="31" t="n"/>
      <c r="F108" s="31" t="n"/>
      <c r="G108" s="31" t="n"/>
      <c r="H108" s="33" t="n"/>
      <c r="I108" s="32" t="n"/>
      <c r="J108" s="22">
        <f>IF(H108="","",ROUND(H108*N(I108)/100,2))</f>
        <v/>
      </c>
      <c r="K108" s="30" t="n"/>
      <c r="L108" s="32" t="n"/>
      <c r="M108" s="22">
        <f>IF(H108="","",IF(K108="No",0,H108*N(I108)/100*IF(L108="",100,L108)/100))</f>
        <v/>
      </c>
      <c r="N108" s="22">
        <f>IF(H108="","",H108*IF(L108="",100,L108)/100+IF(K108="No",H108*N(I108)/100*IF(L108="",100,L108)/100,0))</f>
        <v/>
      </c>
      <c r="O108" s="35">
        <f>IF(B108="","",ROUNDUP(MONTH(B108)/3,0))</f>
        <v/>
      </c>
      <c r="P108" s="35">
        <f>IF(B108="","",YEAR(B108))</f>
        <v/>
      </c>
    </row>
    <row r="109">
      <c r="B109" s="37" t="n"/>
      <c r="C109" s="31" t="n"/>
      <c r="D109" s="31" t="n"/>
      <c r="E109" s="31" t="n"/>
      <c r="F109" s="31" t="n"/>
      <c r="G109" s="31" t="n"/>
      <c r="H109" s="33" t="n"/>
      <c r="I109" s="32" t="n"/>
      <c r="J109" s="22">
        <f>IF(H109="","",ROUND(H109*N(I109)/100,2))</f>
        <v/>
      </c>
      <c r="K109" s="30" t="n"/>
      <c r="L109" s="32" t="n"/>
      <c r="M109" s="22">
        <f>IF(H109="","",IF(K109="No",0,H109*N(I109)/100*IF(L109="",100,L109)/100))</f>
        <v/>
      </c>
      <c r="N109" s="22">
        <f>IF(H109="","",H109*IF(L109="",100,L109)/100+IF(K109="No",H109*N(I109)/100*IF(L109="",100,L109)/100,0))</f>
        <v/>
      </c>
      <c r="O109" s="35">
        <f>IF(B109="","",ROUNDUP(MONTH(B109)/3,0))</f>
        <v/>
      </c>
      <c r="P109" s="35">
        <f>IF(B109="","",YEAR(B109))</f>
        <v/>
      </c>
    </row>
    <row r="110">
      <c r="B110" s="37" t="n"/>
      <c r="C110" s="31" t="n"/>
      <c r="D110" s="31" t="n"/>
      <c r="E110" s="31" t="n"/>
      <c r="F110" s="31" t="n"/>
      <c r="G110" s="31" t="n"/>
      <c r="H110" s="33" t="n"/>
      <c r="I110" s="32" t="n"/>
      <c r="J110" s="22">
        <f>IF(H110="","",ROUND(H110*N(I110)/100,2))</f>
        <v/>
      </c>
      <c r="K110" s="30" t="n"/>
      <c r="L110" s="32" t="n"/>
      <c r="M110" s="22">
        <f>IF(H110="","",IF(K110="No",0,H110*N(I110)/100*IF(L110="",100,L110)/100))</f>
        <v/>
      </c>
      <c r="N110" s="22">
        <f>IF(H110="","",H110*IF(L110="",100,L110)/100+IF(K110="No",H110*N(I110)/100*IF(L110="",100,L110)/100,0))</f>
        <v/>
      </c>
      <c r="O110" s="35">
        <f>IF(B110="","",ROUNDUP(MONTH(B110)/3,0))</f>
        <v/>
      </c>
      <c r="P110" s="35">
        <f>IF(B110="","",YEAR(B110))</f>
        <v/>
      </c>
    </row>
    <row r="111">
      <c r="B111" s="37" t="n"/>
      <c r="C111" s="31" t="n"/>
      <c r="D111" s="31" t="n"/>
      <c r="E111" s="31" t="n"/>
      <c r="F111" s="31" t="n"/>
      <c r="G111" s="31" t="n"/>
      <c r="H111" s="33" t="n"/>
      <c r="I111" s="32" t="n"/>
      <c r="J111" s="22">
        <f>IF(H111="","",ROUND(H111*N(I111)/100,2))</f>
        <v/>
      </c>
      <c r="K111" s="30" t="n"/>
      <c r="L111" s="32" t="n"/>
      <c r="M111" s="22">
        <f>IF(H111="","",IF(K111="No",0,H111*N(I111)/100*IF(L111="",100,L111)/100))</f>
        <v/>
      </c>
      <c r="N111" s="22">
        <f>IF(H111="","",H111*IF(L111="",100,L111)/100+IF(K111="No",H111*N(I111)/100*IF(L111="",100,L111)/100,0))</f>
        <v/>
      </c>
      <c r="O111" s="35">
        <f>IF(B111="","",ROUNDUP(MONTH(B111)/3,0))</f>
        <v/>
      </c>
      <c r="P111" s="35">
        <f>IF(B111="","",YEAR(B111))</f>
        <v/>
      </c>
    </row>
    <row r="112">
      <c r="B112" s="37" t="n"/>
      <c r="C112" s="31" t="n"/>
      <c r="D112" s="31" t="n"/>
      <c r="E112" s="31" t="n"/>
      <c r="F112" s="31" t="n"/>
      <c r="G112" s="31" t="n"/>
      <c r="H112" s="33" t="n"/>
      <c r="I112" s="32" t="n"/>
      <c r="J112" s="22">
        <f>IF(H112="","",ROUND(H112*N(I112)/100,2))</f>
        <v/>
      </c>
      <c r="K112" s="30" t="n"/>
      <c r="L112" s="32" t="n"/>
      <c r="M112" s="22">
        <f>IF(H112="","",IF(K112="No",0,H112*N(I112)/100*IF(L112="",100,L112)/100))</f>
        <v/>
      </c>
      <c r="N112" s="22">
        <f>IF(H112="","",H112*IF(L112="",100,L112)/100+IF(K112="No",H112*N(I112)/100*IF(L112="",100,L112)/100,0))</f>
        <v/>
      </c>
      <c r="O112" s="35">
        <f>IF(B112="","",ROUNDUP(MONTH(B112)/3,0))</f>
        <v/>
      </c>
      <c r="P112" s="35">
        <f>IF(B112="","",YEAR(B112))</f>
        <v/>
      </c>
    </row>
    <row r="113">
      <c r="B113" s="37" t="n"/>
      <c r="C113" s="31" t="n"/>
      <c r="D113" s="31" t="n"/>
      <c r="E113" s="31" t="n"/>
      <c r="F113" s="31" t="n"/>
      <c r="G113" s="31" t="n"/>
      <c r="H113" s="33" t="n"/>
      <c r="I113" s="32" t="n"/>
      <c r="J113" s="22">
        <f>IF(H113="","",ROUND(H113*N(I113)/100,2))</f>
        <v/>
      </c>
      <c r="K113" s="30" t="n"/>
      <c r="L113" s="32" t="n"/>
      <c r="M113" s="22">
        <f>IF(H113="","",IF(K113="No",0,H113*N(I113)/100*IF(L113="",100,L113)/100))</f>
        <v/>
      </c>
      <c r="N113" s="22">
        <f>IF(H113="","",H113*IF(L113="",100,L113)/100+IF(K113="No",H113*N(I113)/100*IF(L113="",100,L113)/100,0))</f>
        <v/>
      </c>
      <c r="O113" s="35">
        <f>IF(B113="","",ROUNDUP(MONTH(B113)/3,0))</f>
        <v/>
      </c>
      <c r="P113" s="35">
        <f>IF(B113="","",YEAR(B113))</f>
        <v/>
      </c>
    </row>
    <row r="114">
      <c r="B114" s="37" t="n"/>
      <c r="C114" s="31" t="n"/>
      <c r="D114" s="31" t="n"/>
      <c r="E114" s="31" t="n"/>
      <c r="F114" s="31" t="n"/>
      <c r="G114" s="31" t="n"/>
      <c r="H114" s="33" t="n"/>
      <c r="I114" s="32" t="n"/>
      <c r="J114" s="22">
        <f>IF(H114="","",ROUND(H114*N(I114)/100,2))</f>
        <v/>
      </c>
      <c r="K114" s="30" t="n"/>
      <c r="L114" s="32" t="n"/>
      <c r="M114" s="22">
        <f>IF(H114="","",IF(K114="No",0,H114*N(I114)/100*IF(L114="",100,L114)/100))</f>
        <v/>
      </c>
      <c r="N114" s="22">
        <f>IF(H114="","",H114*IF(L114="",100,L114)/100+IF(K114="No",H114*N(I114)/100*IF(L114="",100,L114)/100,0))</f>
        <v/>
      </c>
      <c r="O114" s="35">
        <f>IF(B114="","",ROUNDUP(MONTH(B114)/3,0))</f>
        <v/>
      </c>
      <c r="P114" s="35">
        <f>IF(B114="","",YEAR(B114))</f>
        <v/>
      </c>
    </row>
    <row r="115">
      <c r="B115" s="37" t="n"/>
      <c r="C115" s="31" t="n"/>
      <c r="D115" s="31" t="n"/>
      <c r="E115" s="31" t="n"/>
      <c r="F115" s="31" t="n"/>
      <c r="G115" s="31" t="n"/>
      <c r="H115" s="33" t="n"/>
      <c r="I115" s="32" t="n"/>
      <c r="J115" s="22">
        <f>IF(H115="","",ROUND(H115*N(I115)/100,2))</f>
        <v/>
      </c>
      <c r="K115" s="30" t="n"/>
      <c r="L115" s="32" t="n"/>
      <c r="M115" s="22">
        <f>IF(H115="","",IF(K115="No",0,H115*N(I115)/100*IF(L115="",100,L115)/100))</f>
        <v/>
      </c>
      <c r="N115" s="22">
        <f>IF(H115="","",H115*IF(L115="",100,L115)/100+IF(K115="No",H115*N(I115)/100*IF(L115="",100,L115)/100,0))</f>
        <v/>
      </c>
      <c r="O115" s="35">
        <f>IF(B115="","",ROUNDUP(MONTH(B115)/3,0))</f>
        <v/>
      </c>
      <c r="P115" s="35">
        <f>IF(B115="","",YEAR(B115))</f>
        <v/>
      </c>
    </row>
    <row r="116">
      <c r="B116" s="37" t="n"/>
      <c r="C116" s="31" t="n"/>
      <c r="D116" s="31" t="n"/>
      <c r="E116" s="31" t="n"/>
      <c r="F116" s="31" t="n"/>
      <c r="G116" s="31" t="n"/>
      <c r="H116" s="33" t="n"/>
      <c r="I116" s="32" t="n"/>
      <c r="J116" s="22">
        <f>IF(H116="","",ROUND(H116*N(I116)/100,2))</f>
        <v/>
      </c>
      <c r="K116" s="30" t="n"/>
      <c r="L116" s="32" t="n"/>
      <c r="M116" s="22">
        <f>IF(H116="","",IF(K116="No",0,H116*N(I116)/100*IF(L116="",100,L116)/100))</f>
        <v/>
      </c>
      <c r="N116" s="22">
        <f>IF(H116="","",H116*IF(L116="",100,L116)/100+IF(K116="No",H116*N(I116)/100*IF(L116="",100,L116)/100,0))</f>
        <v/>
      </c>
      <c r="O116" s="35">
        <f>IF(B116="","",ROUNDUP(MONTH(B116)/3,0))</f>
        <v/>
      </c>
      <c r="P116" s="35">
        <f>IF(B116="","",YEAR(B116))</f>
        <v/>
      </c>
    </row>
    <row r="117">
      <c r="B117" s="37" t="n"/>
      <c r="C117" s="31" t="n"/>
      <c r="D117" s="31" t="n"/>
      <c r="E117" s="31" t="n"/>
      <c r="F117" s="31" t="n"/>
      <c r="G117" s="31" t="n"/>
      <c r="H117" s="33" t="n"/>
      <c r="I117" s="32" t="n"/>
      <c r="J117" s="22">
        <f>IF(H117="","",ROUND(H117*N(I117)/100,2))</f>
        <v/>
      </c>
      <c r="K117" s="30" t="n"/>
      <c r="L117" s="32" t="n"/>
      <c r="M117" s="22">
        <f>IF(H117="","",IF(K117="No",0,H117*N(I117)/100*IF(L117="",100,L117)/100))</f>
        <v/>
      </c>
      <c r="N117" s="22">
        <f>IF(H117="","",H117*IF(L117="",100,L117)/100+IF(K117="No",H117*N(I117)/100*IF(L117="",100,L117)/100,0))</f>
        <v/>
      </c>
      <c r="O117" s="35">
        <f>IF(B117="","",ROUNDUP(MONTH(B117)/3,0))</f>
        <v/>
      </c>
      <c r="P117" s="35">
        <f>IF(B117="","",YEAR(B117))</f>
        <v/>
      </c>
    </row>
    <row r="118">
      <c r="B118" s="37" t="n"/>
      <c r="C118" s="31" t="n"/>
      <c r="D118" s="31" t="n"/>
      <c r="E118" s="31" t="n"/>
      <c r="F118" s="31" t="n"/>
      <c r="G118" s="31" t="n"/>
      <c r="H118" s="33" t="n"/>
      <c r="I118" s="32" t="n"/>
      <c r="J118" s="22">
        <f>IF(H118="","",ROUND(H118*N(I118)/100,2))</f>
        <v/>
      </c>
      <c r="K118" s="30" t="n"/>
      <c r="L118" s="32" t="n"/>
      <c r="M118" s="22">
        <f>IF(H118="","",IF(K118="No",0,H118*N(I118)/100*IF(L118="",100,L118)/100))</f>
        <v/>
      </c>
      <c r="N118" s="22">
        <f>IF(H118="","",H118*IF(L118="",100,L118)/100+IF(K118="No",H118*N(I118)/100*IF(L118="",100,L118)/100,0))</f>
        <v/>
      </c>
      <c r="O118" s="35">
        <f>IF(B118="","",ROUNDUP(MONTH(B118)/3,0))</f>
        <v/>
      </c>
      <c r="P118" s="35">
        <f>IF(B118="","",YEAR(B118))</f>
        <v/>
      </c>
    </row>
    <row r="119">
      <c r="B119" s="37" t="n"/>
      <c r="C119" s="31" t="n"/>
      <c r="D119" s="31" t="n"/>
      <c r="E119" s="31" t="n"/>
      <c r="F119" s="31" t="n"/>
      <c r="G119" s="31" t="n"/>
      <c r="H119" s="33" t="n"/>
      <c r="I119" s="32" t="n"/>
      <c r="J119" s="22">
        <f>IF(H119="","",ROUND(H119*N(I119)/100,2))</f>
        <v/>
      </c>
      <c r="K119" s="30" t="n"/>
      <c r="L119" s="32" t="n"/>
      <c r="M119" s="22">
        <f>IF(H119="","",IF(K119="No",0,H119*N(I119)/100*IF(L119="",100,L119)/100))</f>
        <v/>
      </c>
      <c r="N119" s="22">
        <f>IF(H119="","",H119*IF(L119="",100,L119)/100+IF(K119="No",H119*N(I119)/100*IF(L119="",100,L119)/100,0))</f>
        <v/>
      </c>
      <c r="O119" s="35">
        <f>IF(B119="","",ROUNDUP(MONTH(B119)/3,0))</f>
        <v/>
      </c>
      <c r="P119" s="35">
        <f>IF(B119="","",YEAR(B119))</f>
        <v/>
      </c>
    </row>
    <row r="120">
      <c r="B120" s="37" t="n"/>
      <c r="C120" s="31" t="n"/>
      <c r="D120" s="31" t="n"/>
      <c r="E120" s="31" t="n"/>
      <c r="F120" s="31" t="n"/>
      <c r="G120" s="31" t="n"/>
      <c r="H120" s="33" t="n"/>
      <c r="I120" s="32" t="n"/>
      <c r="J120" s="22">
        <f>IF(H120="","",ROUND(H120*N(I120)/100,2))</f>
        <v/>
      </c>
      <c r="K120" s="30" t="n"/>
      <c r="L120" s="32" t="n"/>
      <c r="M120" s="22">
        <f>IF(H120="","",IF(K120="No",0,H120*N(I120)/100*IF(L120="",100,L120)/100))</f>
        <v/>
      </c>
      <c r="N120" s="22">
        <f>IF(H120="","",H120*IF(L120="",100,L120)/100+IF(K120="No",H120*N(I120)/100*IF(L120="",100,L120)/100,0))</f>
        <v/>
      </c>
      <c r="O120" s="35">
        <f>IF(B120="","",ROUNDUP(MONTH(B120)/3,0))</f>
        <v/>
      </c>
      <c r="P120" s="35">
        <f>IF(B120="","",YEAR(B120))</f>
        <v/>
      </c>
    </row>
    <row r="121">
      <c r="B121" s="37" t="n"/>
      <c r="C121" s="31" t="n"/>
      <c r="D121" s="31" t="n"/>
      <c r="E121" s="31" t="n"/>
      <c r="F121" s="31" t="n"/>
      <c r="G121" s="31" t="n"/>
      <c r="H121" s="33" t="n"/>
      <c r="I121" s="32" t="n"/>
      <c r="J121" s="22">
        <f>IF(H121="","",ROUND(H121*N(I121)/100,2))</f>
        <v/>
      </c>
      <c r="K121" s="30" t="n"/>
      <c r="L121" s="32" t="n"/>
      <c r="M121" s="22">
        <f>IF(H121="","",IF(K121="No",0,H121*N(I121)/100*IF(L121="",100,L121)/100))</f>
        <v/>
      </c>
      <c r="N121" s="22">
        <f>IF(H121="","",H121*IF(L121="",100,L121)/100+IF(K121="No",H121*N(I121)/100*IF(L121="",100,L121)/100,0))</f>
        <v/>
      </c>
      <c r="O121" s="35">
        <f>IF(B121="","",ROUNDUP(MONTH(B121)/3,0))</f>
        <v/>
      </c>
      <c r="P121" s="35">
        <f>IF(B121="","",YEAR(B121))</f>
        <v/>
      </c>
    </row>
    <row r="122">
      <c r="B122" s="37" t="n"/>
      <c r="C122" s="31" t="n"/>
      <c r="D122" s="31" t="n"/>
      <c r="E122" s="31" t="n"/>
      <c r="F122" s="31" t="n"/>
      <c r="G122" s="31" t="n"/>
      <c r="H122" s="33" t="n"/>
      <c r="I122" s="32" t="n"/>
      <c r="J122" s="22">
        <f>IF(H122="","",ROUND(H122*N(I122)/100,2))</f>
        <v/>
      </c>
      <c r="K122" s="30" t="n"/>
      <c r="L122" s="32" t="n"/>
      <c r="M122" s="22">
        <f>IF(H122="","",IF(K122="No",0,H122*N(I122)/100*IF(L122="",100,L122)/100))</f>
        <v/>
      </c>
      <c r="N122" s="22">
        <f>IF(H122="","",H122*IF(L122="",100,L122)/100+IF(K122="No",H122*N(I122)/100*IF(L122="",100,L122)/100,0))</f>
        <v/>
      </c>
      <c r="O122" s="35">
        <f>IF(B122="","",ROUNDUP(MONTH(B122)/3,0))</f>
        <v/>
      </c>
      <c r="P122" s="35">
        <f>IF(B122="","",YEAR(B122))</f>
        <v/>
      </c>
    </row>
    <row r="123">
      <c r="B123" s="37" t="n"/>
      <c r="C123" s="31" t="n"/>
      <c r="D123" s="31" t="n"/>
      <c r="E123" s="31" t="n"/>
      <c r="F123" s="31" t="n"/>
      <c r="G123" s="31" t="n"/>
      <c r="H123" s="33" t="n"/>
      <c r="I123" s="32" t="n"/>
      <c r="J123" s="22">
        <f>IF(H123="","",ROUND(H123*N(I123)/100,2))</f>
        <v/>
      </c>
      <c r="K123" s="30" t="n"/>
      <c r="L123" s="32" t="n"/>
      <c r="M123" s="22">
        <f>IF(H123="","",IF(K123="No",0,H123*N(I123)/100*IF(L123="",100,L123)/100))</f>
        <v/>
      </c>
      <c r="N123" s="22">
        <f>IF(H123="","",H123*IF(L123="",100,L123)/100+IF(K123="No",H123*N(I123)/100*IF(L123="",100,L123)/100,0))</f>
        <v/>
      </c>
      <c r="O123" s="35">
        <f>IF(B123="","",ROUNDUP(MONTH(B123)/3,0))</f>
        <v/>
      </c>
      <c r="P123" s="35">
        <f>IF(B123="","",YEAR(B123))</f>
        <v/>
      </c>
    </row>
    <row r="124">
      <c r="B124" s="37" t="n"/>
      <c r="C124" s="31" t="n"/>
      <c r="D124" s="31" t="n"/>
      <c r="E124" s="31" t="n"/>
      <c r="F124" s="31" t="n"/>
      <c r="G124" s="31" t="n"/>
      <c r="H124" s="33" t="n"/>
      <c r="I124" s="32" t="n"/>
      <c r="J124" s="22">
        <f>IF(H124="","",ROUND(H124*N(I124)/100,2))</f>
        <v/>
      </c>
      <c r="K124" s="30" t="n"/>
      <c r="L124" s="32" t="n"/>
      <c r="M124" s="22">
        <f>IF(H124="","",IF(K124="No",0,H124*N(I124)/100*IF(L124="",100,L124)/100))</f>
        <v/>
      </c>
      <c r="N124" s="22">
        <f>IF(H124="","",H124*IF(L124="",100,L124)/100+IF(K124="No",H124*N(I124)/100*IF(L124="",100,L124)/100,0))</f>
        <v/>
      </c>
      <c r="O124" s="35">
        <f>IF(B124="","",ROUNDUP(MONTH(B124)/3,0))</f>
        <v/>
      </c>
      <c r="P124" s="35">
        <f>IF(B124="","",YEAR(B124))</f>
        <v/>
      </c>
    </row>
    <row r="125">
      <c r="B125" s="37" t="n"/>
      <c r="C125" s="31" t="n"/>
      <c r="D125" s="31" t="n"/>
      <c r="E125" s="31" t="n"/>
      <c r="F125" s="31" t="n"/>
      <c r="G125" s="31" t="n"/>
      <c r="H125" s="33" t="n"/>
      <c r="I125" s="32" t="n"/>
      <c r="J125" s="22">
        <f>IF(H125="","",ROUND(H125*N(I125)/100,2))</f>
        <v/>
      </c>
      <c r="K125" s="30" t="n"/>
      <c r="L125" s="32" t="n"/>
      <c r="M125" s="22">
        <f>IF(H125="","",IF(K125="No",0,H125*N(I125)/100*IF(L125="",100,L125)/100))</f>
        <v/>
      </c>
      <c r="N125" s="22">
        <f>IF(H125="","",H125*IF(L125="",100,L125)/100+IF(K125="No",H125*N(I125)/100*IF(L125="",100,L125)/100,0))</f>
        <v/>
      </c>
      <c r="O125" s="35">
        <f>IF(B125="","",ROUNDUP(MONTH(B125)/3,0))</f>
        <v/>
      </c>
      <c r="P125" s="35">
        <f>IF(B125="","",YEAR(B125))</f>
        <v/>
      </c>
    </row>
    <row r="126">
      <c r="B126" s="37" t="n"/>
      <c r="C126" s="31" t="n"/>
      <c r="D126" s="31" t="n"/>
      <c r="E126" s="31" t="n"/>
      <c r="F126" s="31" t="n"/>
      <c r="G126" s="31" t="n"/>
      <c r="H126" s="33" t="n"/>
      <c r="I126" s="32" t="n"/>
      <c r="J126" s="22">
        <f>IF(H126="","",ROUND(H126*N(I126)/100,2))</f>
        <v/>
      </c>
      <c r="K126" s="30" t="n"/>
      <c r="L126" s="32" t="n"/>
      <c r="M126" s="22">
        <f>IF(H126="","",IF(K126="No",0,H126*N(I126)/100*IF(L126="",100,L126)/100))</f>
        <v/>
      </c>
      <c r="N126" s="22">
        <f>IF(H126="","",H126*IF(L126="",100,L126)/100+IF(K126="No",H126*N(I126)/100*IF(L126="",100,L126)/100,0))</f>
        <v/>
      </c>
      <c r="O126" s="35">
        <f>IF(B126="","",ROUNDUP(MONTH(B126)/3,0))</f>
        <v/>
      </c>
      <c r="P126" s="35">
        <f>IF(B126="","",YEAR(B126))</f>
        <v/>
      </c>
    </row>
    <row r="127">
      <c r="B127" s="37" t="n"/>
      <c r="C127" s="31" t="n"/>
      <c r="D127" s="31" t="n"/>
      <c r="E127" s="31" t="n"/>
      <c r="F127" s="31" t="n"/>
      <c r="G127" s="31" t="n"/>
      <c r="H127" s="33" t="n"/>
      <c r="I127" s="32" t="n"/>
      <c r="J127" s="22">
        <f>IF(H127="","",ROUND(H127*N(I127)/100,2))</f>
        <v/>
      </c>
      <c r="K127" s="30" t="n"/>
      <c r="L127" s="32" t="n"/>
      <c r="M127" s="22">
        <f>IF(H127="","",IF(K127="No",0,H127*N(I127)/100*IF(L127="",100,L127)/100))</f>
        <v/>
      </c>
      <c r="N127" s="22">
        <f>IF(H127="","",H127*IF(L127="",100,L127)/100+IF(K127="No",H127*N(I127)/100*IF(L127="",100,L127)/100,0))</f>
        <v/>
      </c>
      <c r="O127" s="35">
        <f>IF(B127="","",ROUNDUP(MONTH(B127)/3,0))</f>
        <v/>
      </c>
      <c r="P127" s="35">
        <f>IF(B127="","",YEAR(B127))</f>
        <v/>
      </c>
    </row>
    <row r="128">
      <c r="B128" s="37" t="n"/>
      <c r="C128" s="31" t="n"/>
      <c r="D128" s="31" t="n"/>
      <c r="E128" s="31" t="n"/>
      <c r="F128" s="31" t="n"/>
      <c r="G128" s="31" t="n"/>
      <c r="H128" s="33" t="n"/>
      <c r="I128" s="32" t="n"/>
      <c r="J128" s="22">
        <f>IF(H128="","",ROUND(H128*N(I128)/100,2))</f>
        <v/>
      </c>
      <c r="K128" s="30" t="n"/>
      <c r="L128" s="32" t="n"/>
      <c r="M128" s="22">
        <f>IF(H128="","",IF(K128="No",0,H128*N(I128)/100*IF(L128="",100,L128)/100))</f>
        <v/>
      </c>
      <c r="N128" s="22">
        <f>IF(H128="","",H128*IF(L128="",100,L128)/100+IF(K128="No",H128*N(I128)/100*IF(L128="",100,L128)/100,0))</f>
        <v/>
      </c>
      <c r="O128" s="35">
        <f>IF(B128="","",ROUNDUP(MONTH(B128)/3,0))</f>
        <v/>
      </c>
      <c r="P128" s="35">
        <f>IF(B128="","",YEAR(B128))</f>
        <v/>
      </c>
    </row>
    <row r="129">
      <c r="B129" s="37" t="n"/>
      <c r="C129" s="31" t="n"/>
      <c r="D129" s="31" t="n"/>
      <c r="E129" s="31" t="n"/>
      <c r="F129" s="31" t="n"/>
      <c r="G129" s="31" t="n"/>
      <c r="H129" s="33" t="n"/>
      <c r="I129" s="32" t="n"/>
      <c r="J129" s="22">
        <f>IF(H129="","",ROUND(H129*N(I129)/100,2))</f>
        <v/>
      </c>
      <c r="K129" s="30" t="n"/>
      <c r="L129" s="32" t="n"/>
      <c r="M129" s="22">
        <f>IF(H129="","",IF(K129="No",0,H129*N(I129)/100*IF(L129="",100,L129)/100))</f>
        <v/>
      </c>
      <c r="N129" s="22">
        <f>IF(H129="","",H129*IF(L129="",100,L129)/100+IF(K129="No",H129*N(I129)/100*IF(L129="",100,L129)/100,0))</f>
        <v/>
      </c>
      <c r="O129" s="35">
        <f>IF(B129="","",ROUNDUP(MONTH(B129)/3,0))</f>
        <v/>
      </c>
      <c r="P129" s="35">
        <f>IF(B129="","",YEAR(B129))</f>
        <v/>
      </c>
    </row>
    <row r="130">
      <c r="B130" s="37" t="n"/>
      <c r="C130" s="31" t="n"/>
      <c r="D130" s="31" t="n"/>
      <c r="E130" s="31" t="n"/>
      <c r="F130" s="31" t="n"/>
      <c r="G130" s="31" t="n"/>
      <c r="H130" s="33" t="n"/>
      <c r="I130" s="32" t="n"/>
      <c r="J130" s="22">
        <f>IF(H130="","",ROUND(H130*N(I130)/100,2))</f>
        <v/>
      </c>
      <c r="K130" s="30" t="n"/>
      <c r="L130" s="32" t="n"/>
      <c r="M130" s="22">
        <f>IF(H130="","",IF(K130="No",0,H130*N(I130)/100*IF(L130="",100,L130)/100))</f>
        <v/>
      </c>
      <c r="N130" s="22">
        <f>IF(H130="","",H130*IF(L130="",100,L130)/100+IF(K130="No",H130*N(I130)/100*IF(L130="",100,L130)/100,0))</f>
        <v/>
      </c>
      <c r="O130" s="35">
        <f>IF(B130="","",ROUNDUP(MONTH(B130)/3,0))</f>
        <v/>
      </c>
      <c r="P130" s="35">
        <f>IF(B130="","",YEAR(B130))</f>
        <v/>
      </c>
    </row>
    <row r="131">
      <c r="B131" s="37" t="n"/>
      <c r="C131" s="31" t="n"/>
      <c r="D131" s="31" t="n"/>
      <c r="E131" s="31" t="n"/>
      <c r="F131" s="31" t="n"/>
      <c r="G131" s="31" t="n"/>
      <c r="H131" s="33" t="n"/>
      <c r="I131" s="32" t="n"/>
      <c r="J131" s="22">
        <f>IF(H131="","",ROUND(H131*N(I131)/100,2))</f>
        <v/>
      </c>
      <c r="K131" s="30" t="n"/>
      <c r="L131" s="32" t="n"/>
      <c r="M131" s="22">
        <f>IF(H131="","",IF(K131="No",0,H131*N(I131)/100*IF(L131="",100,L131)/100))</f>
        <v/>
      </c>
      <c r="N131" s="22">
        <f>IF(H131="","",H131*IF(L131="",100,L131)/100+IF(K131="No",H131*N(I131)/100*IF(L131="",100,L131)/100,0))</f>
        <v/>
      </c>
      <c r="O131" s="35">
        <f>IF(B131="","",ROUNDUP(MONTH(B131)/3,0))</f>
        <v/>
      </c>
      <c r="P131" s="35">
        <f>IF(B131="","",YEAR(B131))</f>
        <v/>
      </c>
    </row>
    <row r="132">
      <c r="B132" s="37" t="n"/>
      <c r="C132" s="31" t="n"/>
      <c r="D132" s="31" t="n"/>
      <c r="E132" s="31" t="n"/>
      <c r="F132" s="31" t="n"/>
      <c r="G132" s="31" t="n"/>
      <c r="H132" s="33" t="n"/>
      <c r="I132" s="32" t="n"/>
      <c r="J132" s="22">
        <f>IF(H132="","",ROUND(H132*N(I132)/100,2))</f>
        <v/>
      </c>
      <c r="K132" s="30" t="n"/>
      <c r="L132" s="32" t="n"/>
      <c r="M132" s="22">
        <f>IF(H132="","",IF(K132="No",0,H132*N(I132)/100*IF(L132="",100,L132)/100))</f>
        <v/>
      </c>
      <c r="N132" s="22">
        <f>IF(H132="","",H132*IF(L132="",100,L132)/100+IF(K132="No",H132*N(I132)/100*IF(L132="",100,L132)/100,0))</f>
        <v/>
      </c>
      <c r="O132" s="35">
        <f>IF(B132="","",ROUNDUP(MONTH(B132)/3,0))</f>
        <v/>
      </c>
      <c r="P132" s="35">
        <f>IF(B132="","",YEAR(B132))</f>
        <v/>
      </c>
    </row>
    <row r="133">
      <c r="B133" s="37" t="n"/>
      <c r="C133" s="31" t="n"/>
      <c r="D133" s="31" t="n"/>
      <c r="E133" s="31" t="n"/>
      <c r="F133" s="31" t="n"/>
      <c r="G133" s="31" t="n"/>
      <c r="H133" s="33" t="n"/>
      <c r="I133" s="32" t="n"/>
      <c r="J133" s="22">
        <f>IF(H133="","",ROUND(H133*N(I133)/100,2))</f>
        <v/>
      </c>
      <c r="K133" s="30" t="n"/>
      <c r="L133" s="32" t="n"/>
      <c r="M133" s="22">
        <f>IF(H133="","",IF(K133="No",0,H133*N(I133)/100*IF(L133="",100,L133)/100))</f>
        <v/>
      </c>
      <c r="N133" s="22">
        <f>IF(H133="","",H133*IF(L133="",100,L133)/100+IF(K133="No",H133*N(I133)/100*IF(L133="",100,L133)/100,0))</f>
        <v/>
      </c>
      <c r="O133" s="35">
        <f>IF(B133="","",ROUNDUP(MONTH(B133)/3,0))</f>
        <v/>
      </c>
      <c r="P133" s="35">
        <f>IF(B133="","",YEAR(B133))</f>
        <v/>
      </c>
    </row>
    <row r="134">
      <c r="B134" s="37" t="n"/>
      <c r="C134" s="31" t="n"/>
      <c r="D134" s="31" t="n"/>
      <c r="E134" s="31" t="n"/>
      <c r="F134" s="31" t="n"/>
      <c r="G134" s="31" t="n"/>
      <c r="H134" s="33" t="n"/>
      <c r="I134" s="32" t="n"/>
      <c r="J134" s="22">
        <f>IF(H134="","",ROUND(H134*N(I134)/100,2))</f>
        <v/>
      </c>
      <c r="K134" s="30" t="n"/>
      <c r="L134" s="32" t="n"/>
      <c r="M134" s="22">
        <f>IF(H134="","",IF(K134="No",0,H134*N(I134)/100*IF(L134="",100,L134)/100))</f>
        <v/>
      </c>
      <c r="N134" s="22">
        <f>IF(H134="","",H134*IF(L134="",100,L134)/100+IF(K134="No",H134*N(I134)/100*IF(L134="",100,L134)/100,0))</f>
        <v/>
      </c>
      <c r="O134" s="35">
        <f>IF(B134="","",ROUNDUP(MONTH(B134)/3,0))</f>
        <v/>
      </c>
      <c r="P134" s="35">
        <f>IF(B134="","",YEAR(B134))</f>
        <v/>
      </c>
    </row>
    <row r="135">
      <c r="B135" s="37" t="n"/>
      <c r="C135" s="31" t="n"/>
      <c r="D135" s="31" t="n"/>
      <c r="E135" s="31" t="n"/>
      <c r="F135" s="31" t="n"/>
      <c r="G135" s="31" t="n"/>
      <c r="H135" s="33" t="n"/>
      <c r="I135" s="32" t="n"/>
      <c r="J135" s="22">
        <f>IF(H135="","",ROUND(H135*N(I135)/100,2))</f>
        <v/>
      </c>
      <c r="K135" s="30" t="n"/>
      <c r="L135" s="32" t="n"/>
      <c r="M135" s="22">
        <f>IF(H135="","",IF(K135="No",0,H135*N(I135)/100*IF(L135="",100,L135)/100))</f>
        <v/>
      </c>
      <c r="N135" s="22">
        <f>IF(H135="","",H135*IF(L135="",100,L135)/100+IF(K135="No",H135*N(I135)/100*IF(L135="",100,L135)/100,0))</f>
        <v/>
      </c>
      <c r="O135" s="35">
        <f>IF(B135="","",ROUNDUP(MONTH(B135)/3,0))</f>
        <v/>
      </c>
      <c r="P135" s="35">
        <f>IF(B135="","",YEAR(B135))</f>
        <v/>
      </c>
    </row>
    <row r="136">
      <c r="B136" s="37" t="n"/>
      <c r="C136" s="31" t="n"/>
      <c r="D136" s="31" t="n"/>
      <c r="E136" s="31" t="n"/>
      <c r="F136" s="31" t="n"/>
      <c r="G136" s="31" t="n"/>
      <c r="H136" s="33" t="n"/>
      <c r="I136" s="32" t="n"/>
      <c r="J136" s="22">
        <f>IF(H136="","",ROUND(H136*N(I136)/100,2))</f>
        <v/>
      </c>
      <c r="K136" s="30" t="n"/>
      <c r="L136" s="32" t="n"/>
      <c r="M136" s="22">
        <f>IF(H136="","",IF(K136="No",0,H136*N(I136)/100*IF(L136="",100,L136)/100))</f>
        <v/>
      </c>
      <c r="N136" s="22">
        <f>IF(H136="","",H136*IF(L136="",100,L136)/100+IF(K136="No",H136*N(I136)/100*IF(L136="",100,L136)/100,0))</f>
        <v/>
      </c>
      <c r="O136" s="35">
        <f>IF(B136="","",ROUNDUP(MONTH(B136)/3,0))</f>
        <v/>
      </c>
      <c r="P136" s="35">
        <f>IF(B136="","",YEAR(B136))</f>
        <v/>
      </c>
    </row>
    <row r="137">
      <c r="B137" s="37" t="n"/>
      <c r="C137" s="31" t="n"/>
      <c r="D137" s="31" t="n"/>
      <c r="E137" s="31" t="n"/>
      <c r="F137" s="31" t="n"/>
      <c r="G137" s="31" t="n"/>
      <c r="H137" s="33" t="n"/>
      <c r="I137" s="32" t="n"/>
      <c r="J137" s="22">
        <f>IF(H137="","",ROUND(H137*N(I137)/100,2))</f>
        <v/>
      </c>
      <c r="K137" s="30" t="n"/>
      <c r="L137" s="32" t="n"/>
      <c r="M137" s="22">
        <f>IF(H137="","",IF(K137="No",0,H137*N(I137)/100*IF(L137="",100,L137)/100))</f>
        <v/>
      </c>
      <c r="N137" s="22">
        <f>IF(H137="","",H137*IF(L137="",100,L137)/100+IF(K137="No",H137*N(I137)/100*IF(L137="",100,L137)/100,0))</f>
        <v/>
      </c>
      <c r="O137" s="35">
        <f>IF(B137="","",ROUNDUP(MONTH(B137)/3,0))</f>
        <v/>
      </c>
      <c r="P137" s="35">
        <f>IF(B137="","",YEAR(B137))</f>
        <v/>
      </c>
    </row>
    <row r="138">
      <c r="B138" s="37" t="n"/>
      <c r="C138" s="31" t="n"/>
      <c r="D138" s="31" t="n"/>
      <c r="E138" s="31" t="n"/>
      <c r="F138" s="31" t="n"/>
      <c r="G138" s="31" t="n"/>
      <c r="H138" s="33" t="n"/>
      <c r="I138" s="32" t="n"/>
      <c r="J138" s="22">
        <f>IF(H138="","",ROUND(H138*N(I138)/100,2))</f>
        <v/>
      </c>
      <c r="K138" s="30" t="n"/>
      <c r="L138" s="32" t="n"/>
      <c r="M138" s="22">
        <f>IF(H138="","",IF(K138="No",0,H138*N(I138)/100*IF(L138="",100,L138)/100))</f>
        <v/>
      </c>
      <c r="N138" s="22">
        <f>IF(H138="","",H138*IF(L138="",100,L138)/100+IF(K138="No",H138*N(I138)/100*IF(L138="",100,L138)/100,0))</f>
        <v/>
      </c>
      <c r="O138" s="35">
        <f>IF(B138="","",ROUNDUP(MONTH(B138)/3,0))</f>
        <v/>
      </c>
      <c r="P138" s="35">
        <f>IF(B138="","",YEAR(B138))</f>
        <v/>
      </c>
    </row>
    <row r="139">
      <c r="B139" s="37" t="n"/>
      <c r="C139" s="31" t="n"/>
      <c r="D139" s="31" t="n"/>
      <c r="E139" s="31" t="n"/>
      <c r="F139" s="31" t="n"/>
      <c r="G139" s="31" t="n"/>
      <c r="H139" s="33" t="n"/>
      <c r="I139" s="32" t="n"/>
      <c r="J139" s="22">
        <f>IF(H139="","",ROUND(H139*N(I139)/100,2))</f>
        <v/>
      </c>
      <c r="K139" s="30" t="n"/>
      <c r="L139" s="32" t="n"/>
      <c r="M139" s="22">
        <f>IF(H139="","",IF(K139="No",0,H139*N(I139)/100*IF(L139="",100,L139)/100))</f>
        <v/>
      </c>
      <c r="N139" s="22">
        <f>IF(H139="","",H139*IF(L139="",100,L139)/100+IF(K139="No",H139*N(I139)/100*IF(L139="",100,L139)/100,0))</f>
        <v/>
      </c>
      <c r="O139" s="35">
        <f>IF(B139="","",ROUNDUP(MONTH(B139)/3,0))</f>
        <v/>
      </c>
      <c r="P139" s="35">
        <f>IF(B139="","",YEAR(B139))</f>
        <v/>
      </c>
    </row>
    <row r="140">
      <c r="B140" s="37" t="n"/>
      <c r="C140" s="31" t="n"/>
      <c r="D140" s="31" t="n"/>
      <c r="E140" s="31" t="n"/>
      <c r="F140" s="31" t="n"/>
      <c r="G140" s="31" t="n"/>
      <c r="H140" s="33" t="n"/>
      <c r="I140" s="32" t="n"/>
      <c r="J140" s="22">
        <f>IF(H140="","",ROUND(H140*N(I140)/100,2))</f>
        <v/>
      </c>
      <c r="K140" s="30" t="n"/>
      <c r="L140" s="32" t="n"/>
      <c r="M140" s="22">
        <f>IF(H140="","",IF(K140="No",0,H140*N(I140)/100*IF(L140="",100,L140)/100))</f>
        <v/>
      </c>
      <c r="N140" s="22">
        <f>IF(H140="","",H140*IF(L140="",100,L140)/100+IF(K140="No",H140*N(I140)/100*IF(L140="",100,L140)/100,0))</f>
        <v/>
      </c>
      <c r="O140" s="35">
        <f>IF(B140="","",ROUNDUP(MONTH(B140)/3,0))</f>
        <v/>
      </c>
      <c r="P140" s="35">
        <f>IF(B140="","",YEAR(B140))</f>
        <v/>
      </c>
    </row>
    <row r="141">
      <c r="B141" s="37" t="n"/>
      <c r="C141" s="31" t="n"/>
      <c r="D141" s="31" t="n"/>
      <c r="E141" s="31" t="n"/>
      <c r="F141" s="31" t="n"/>
      <c r="G141" s="31" t="n"/>
      <c r="H141" s="33" t="n"/>
      <c r="I141" s="32" t="n"/>
      <c r="J141" s="22">
        <f>IF(H141="","",ROUND(H141*N(I141)/100,2))</f>
        <v/>
      </c>
      <c r="K141" s="30" t="n"/>
      <c r="L141" s="32" t="n"/>
      <c r="M141" s="22">
        <f>IF(H141="","",IF(K141="No",0,H141*N(I141)/100*IF(L141="",100,L141)/100))</f>
        <v/>
      </c>
      <c r="N141" s="22">
        <f>IF(H141="","",H141*IF(L141="",100,L141)/100+IF(K141="No",H141*N(I141)/100*IF(L141="",100,L141)/100,0))</f>
        <v/>
      </c>
      <c r="O141" s="35">
        <f>IF(B141="","",ROUNDUP(MONTH(B141)/3,0))</f>
        <v/>
      </c>
      <c r="P141" s="35">
        <f>IF(B141="","",YEAR(B141))</f>
        <v/>
      </c>
    </row>
    <row r="142">
      <c r="B142" s="37" t="n"/>
      <c r="C142" s="31" t="n"/>
      <c r="D142" s="31" t="n"/>
      <c r="E142" s="31" t="n"/>
      <c r="F142" s="31" t="n"/>
      <c r="G142" s="31" t="n"/>
      <c r="H142" s="33" t="n"/>
      <c r="I142" s="32" t="n"/>
      <c r="J142" s="22">
        <f>IF(H142="","",ROUND(H142*N(I142)/100,2))</f>
        <v/>
      </c>
      <c r="K142" s="30" t="n"/>
      <c r="L142" s="32" t="n"/>
      <c r="M142" s="22">
        <f>IF(H142="","",IF(K142="No",0,H142*N(I142)/100*IF(L142="",100,L142)/100))</f>
        <v/>
      </c>
      <c r="N142" s="22">
        <f>IF(H142="","",H142*IF(L142="",100,L142)/100+IF(K142="No",H142*N(I142)/100*IF(L142="",100,L142)/100,0))</f>
        <v/>
      </c>
      <c r="O142" s="35">
        <f>IF(B142="","",ROUNDUP(MONTH(B142)/3,0))</f>
        <v/>
      </c>
      <c r="P142" s="35">
        <f>IF(B142="","",YEAR(B142))</f>
        <v/>
      </c>
    </row>
    <row r="143">
      <c r="B143" s="37" t="n"/>
      <c r="C143" s="31" t="n"/>
      <c r="D143" s="31" t="n"/>
      <c r="E143" s="31" t="n"/>
      <c r="F143" s="31" t="n"/>
      <c r="G143" s="31" t="n"/>
      <c r="H143" s="33" t="n"/>
      <c r="I143" s="32" t="n"/>
      <c r="J143" s="22">
        <f>IF(H143="","",ROUND(H143*N(I143)/100,2))</f>
        <v/>
      </c>
      <c r="K143" s="30" t="n"/>
      <c r="L143" s="32" t="n"/>
      <c r="M143" s="22">
        <f>IF(H143="","",IF(K143="No",0,H143*N(I143)/100*IF(L143="",100,L143)/100))</f>
        <v/>
      </c>
      <c r="N143" s="22">
        <f>IF(H143="","",H143*IF(L143="",100,L143)/100+IF(K143="No",H143*N(I143)/100*IF(L143="",100,L143)/100,0))</f>
        <v/>
      </c>
      <c r="O143" s="35">
        <f>IF(B143="","",ROUNDUP(MONTH(B143)/3,0))</f>
        <v/>
      </c>
      <c r="P143" s="35">
        <f>IF(B143="","",YEAR(B143))</f>
        <v/>
      </c>
    </row>
    <row r="144">
      <c r="B144" s="37" t="n"/>
      <c r="C144" s="31" t="n"/>
      <c r="D144" s="31" t="n"/>
      <c r="E144" s="31" t="n"/>
      <c r="F144" s="31" t="n"/>
      <c r="G144" s="31" t="n"/>
      <c r="H144" s="33" t="n"/>
      <c r="I144" s="32" t="n"/>
      <c r="J144" s="22">
        <f>IF(H144="","",ROUND(H144*N(I144)/100,2))</f>
        <v/>
      </c>
      <c r="K144" s="30" t="n"/>
      <c r="L144" s="32" t="n"/>
      <c r="M144" s="22">
        <f>IF(H144="","",IF(K144="No",0,H144*N(I144)/100*IF(L144="",100,L144)/100))</f>
        <v/>
      </c>
      <c r="N144" s="22">
        <f>IF(H144="","",H144*IF(L144="",100,L144)/100+IF(K144="No",H144*N(I144)/100*IF(L144="",100,L144)/100,0))</f>
        <v/>
      </c>
      <c r="O144" s="35">
        <f>IF(B144="","",ROUNDUP(MONTH(B144)/3,0))</f>
        <v/>
      </c>
      <c r="P144" s="35">
        <f>IF(B144="","",YEAR(B144))</f>
        <v/>
      </c>
    </row>
    <row r="145">
      <c r="B145" s="37" t="n"/>
      <c r="C145" s="31" t="n"/>
      <c r="D145" s="31" t="n"/>
      <c r="E145" s="31" t="n"/>
      <c r="F145" s="31" t="n"/>
      <c r="G145" s="31" t="n"/>
      <c r="H145" s="33" t="n"/>
      <c r="I145" s="32" t="n"/>
      <c r="J145" s="22">
        <f>IF(H145="","",ROUND(H145*N(I145)/100,2))</f>
        <v/>
      </c>
      <c r="K145" s="30" t="n"/>
      <c r="L145" s="32" t="n"/>
      <c r="M145" s="22">
        <f>IF(H145="","",IF(K145="No",0,H145*N(I145)/100*IF(L145="",100,L145)/100))</f>
        <v/>
      </c>
      <c r="N145" s="22">
        <f>IF(H145="","",H145*IF(L145="",100,L145)/100+IF(K145="No",H145*N(I145)/100*IF(L145="",100,L145)/100,0))</f>
        <v/>
      </c>
      <c r="O145" s="35">
        <f>IF(B145="","",ROUNDUP(MONTH(B145)/3,0))</f>
        <v/>
      </c>
      <c r="P145" s="35">
        <f>IF(B145="","",YEAR(B145))</f>
        <v/>
      </c>
    </row>
    <row r="146">
      <c r="B146" s="37" t="n"/>
      <c r="C146" s="31" t="n"/>
      <c r="D146" s="31" t="n"/>
      <c r="E146" s="31" t="n"/>
      <c r="F146" s="31" t="n"/>
      <c r="G146" s="31" t="n"/>
      <c r="H146" s="33" t="n"/>
      <c r="I146" s="32" t="n"/>
      <c r="J146" s="22">
        <f>IF(H146="","",ROUND(H146*N(I146)/100,2))</f>
        <v/>
      </c>
      <c r="K146" s="30" t="n"/>
      <c r="L146" s="32" t="n"/>
      <c r="M146" s="22">
        <f>IF(H146="","",IF(K146="No",0,H146*N(I146)/100*IF(L146="",100,L146)/100))</f>
        <v/>
      </c>
      <c r="N146" s="22">
        <f>IF(H146="","",H146*IF(L146="",100,L146)/100+IF(K146="No",H146*N(I146)/100*IF(L146="",100,L146)/100,0))</f>
        <v/>
      </c>
      <c r="O146" s="35">
        <f>IF(B146="","",ROUNDUP(MONTH(B146)/3,0))</f>
        <v/>
      </c>
      <c r="P146" s="35">
        <f>IF(B146="","",YEAR(B146))</f>
        <v/>
      </c>
    </row>
    <row r="147">
      <c r="B147" s="37" t="n"/>
      <c r="C147" s="31" t="n"/>
      <c r="D147" s="31" t="n"/>
      <c r="E147" s="31" t="n"/>
      <c r="F147" s="31" t="n"/>
      <c r="G147" s="31" t="n"/>
      <c r="H147" s="33" t="n"/>
      <c r="I147" s="32" t="n"/>
      <c r="J147" s="22">
        <f>IF(H147="","",ROUND(H147*N(I147)/100,2))</f>
        <v/>
      </c>
      <c r="K147" s="30" t="n"/>
      <c r="L147" s="32" t="n"/>
      <c r="M147" s="22">
        <f>IF(H147="","",IF(K147="No",0,H147*N(I147)/100*IF(L147="",100,L147)/100))</f>
        <v/>
      </c>
      <c r="N147" s="22">
        <f>IF(H147="","",H147*IF(L147="",100,L147)/100+IF(K147="No",H147*N(I147)/100*IF(L147="",100,L147)/100,0))</f>
        <v/>
      </c>
      <c r="O147" s="35">
        <f>IF(B147="","",ROUNDUP(MONTH(B147)/3,0))</f>
        <v/>
      </c>
      <c r="P147" s="35">
        <f>IF(B147="","",YEAR(B147))</f>
        <v/>
      </c>
    </row>
    <row r="148">
      <c r="B148" s="37" t="n"/>
      <c r="C148" s="31" t="n"/>
      <c r="D148" s="31" t="n"/>
      <c r="E148" s="31" t="n"/>
      <c r="F148" s="31" t="n"/>
      <c r="G148" s="31" t="n"/>
      <c r="H148" s="33" t="n"/>
      <c r="I148" s="32" t="n"/>
      <c r="J148" s="22">
        <f>IF(H148="","",ROUND(H148*N(I148)/100,2))</f>
        <v/>
      </c>
      <c r="K148" s="30" t="n"/>
      <c r="L148" s="32" t="n"/>
      <c r="M148" s="22">
        <f>IF(H148="","",IF(K148="No",0,H148*N(I148)/100*IF(L148="",100,L148)/100))</f>
        <v/>
      </c>
      <c r="N148" s="22">
        <f>IF(H148="","",H148*IF(L148="",100,L148)/100+IF(K148="No",H148*N(I148)/100*IF(L148="",100,L148)/100,0))</f>
        <v/>
      </c>
      <c r="O148" s="35">
        <f>IF(B148="","",ROUNDUP(MONTH(B148)/3,0))</f>
        <v/>
      </c>
      <c r="P148" s="35">
        <f>IF(B148="","",YEAR(B148))</f>
        <v/>
      </c>
    </row>
    <row r="149">
      <c r="B149" s="37" t="n"/>
      <c r="C149" s="31" t="n"/>
      <c r="D149" s="31" t="n"/>
      <c r="E149" s="31" t="n"/>
      <c r="F149" s="31" t="n"/>
      <c r="G149" s="31" t="n"/>
      <c r="H149" s="33" t="n"/>
      <c r="I149" s="32" t="n"/>
      <c r="J149" s="22">
        <f>IF(H149="","",ROUND(H149*N(I149)/100,2))</f>
        <v/>
      </c>
      <c r="K149" s="30" t="n"/>
      <c r="L149" s="32" t="n"/>
      <c r="M149" s="22">
        <f>IF(H149="","",IF(K149="No",0,H149*N(I149)/100*IF(L149="",100,L149)/100))</f>
        <v/>
      </c>
      <c r="N149" s="22">
        <f>IF(H149="","",H149*IF(L149="",100,L149)/100+IF(K149="No",H149*N(I149)/100*IF(L149="",100,L149)/100,0))</f>
        <v/>
      </c>
      <c r="O149" s="35">
        <f>IF(B149="","",ROUNDUP(MONTH(B149)/3,0))</f>
        <v/>
      </c>
      <c r="P149" s="35">
        <f>IF(B149="","",YEAR(B149))</f>
        <v/>
      </c>
    </row>
    <row r="150">
      <c r="B150" s="37" t="n"/>
      <c r="C150" s="31" t="n"/>
      <c r="D150" s="31" t="n"/>
      <c r="E150" s="31" t="n"/>
      <c r="F150" s="31" t="n"/>
      <c r="G150" s="31" t="n"/>
      <c r="H150" s="33" t="n"/>
      <c r="I150" s="32" t="n"/>
      <c r="J150" s="22">
        <f>IF(H150="","",ROUND(H150*N(I150)/100,2))</f>
        <v/>
      </c>
      <c r="K150" s="30" t="n"/>
      <c r="L150" s="32" t="n"/>
      <c r="M150" s="22">
        <f>IF(H150="","",IF(K150="No",0,H150*N(I150)/100*IF(L150="",100,L150)/100))</f>
        <v/>
      </c>
      <c r="N150" s="22">
        <f>IF(H150="","",H150*IF(L150="",100,L150)/100+IF(K150="No",H150*N(I150)/100*IF(L150="",100,L150)/100,0))</f>
        <v/>
      </c>
      <c r="O150" s="35">
        <f>IF(B150="","",ROUNDUP(MONTH(B150)/3,0))</f>
        <v/>
      </c>
      <c r="P150" s="35">
        <f>IF(B150="","",YEAR(B150))</f>
        <v/>
      </c>
    </row>
    <row r="151">
      <c r="B151" s="37" t="n"/>
      <c r="C151" s="31" t="n"/>
      <c r="D151" s="31" t="n"/>
      <c r="E151" s="31" t="n"/>
      <c r="F151" s="31" t="n"/>
      <c r="G151" s="31" t="n"/>
      <c r="H151" s="33" t="n"/>
      <c r="I151" s="32" t="n"/>
      <c r="J151" s="22">
        <f>IF(H151="","",ROUND(H151*N(I151)/100,2))</f>
        <v/>
      </c>
      <c r="K151" s="30" t="n"/>
      <c r="L151" s="32" t="n"/>
      <c r="M151" s="22">
        <f>IF(H151="","",IF(K151="No",0,H151*N(I151)/100*IF(L151="",100,L151)/100))</f>
        <v/>
      </c>
      <c r="N151" s="22">
        <f>IF(H151="","",H151*IF(L151="",100,L151)/100+IF(K151="No",H151*N(I151)/100*IF(L151="",100,L151)/100,0))</f>
        <v/>
      </c>
      <c r="O151" s="35">
        <f>IF(B151="","",ROUNDUP(MONTH(B151)/3,0))</f>
        <v/>
      </c>
      <c r="P151" s="35">
        <f>IF(B151="","",YEAR(B151))</f>
        <v/>
      </c>
    </row>
    <row r="152">
      <c r="B152" s="37" t="n"/>
      <c r="C152" s="31" t="n"/>
      <c r="D152" s="31" t="n"/>
      <c r="E152" s="31" t="n"/>
      <c r="F152" s="31" t="n"/>
      <c r="G152" s="31" t="n"/>
      <c r="H152" s="33" t="n"/>
      <c r="I152" s="32" t="n"/>
      <c r="J152" s="22">
        <f>IF(H152="","",ROUND(H152*N(I152)/100,2))</f>
        <v/>
      </c>
      <c r="K152" s="30" t="n"/>
      <c r="L152" s="32" t="n"/>
      <c r="M152" s="22">
        <f>IF(H152="","",IF(K152="No",0,H152*N(I152)/100*IF(L152="",100,L152)/100))</f>
        <v/>
      </c>
      <c r="N152" s="22">
        <f>IF(H152="","",H152*IF(L152="",100,L152)/100+IF(K152="No",H152*N(I152)/100*IF(L152="",100,L152)/100,0))</f>
        <v/>
      </c>
      <c r="O152" s="35">
        <f>IF(B152="","",ROUNDUP(MONTH(B152)/3,0))</f>
        <v/>
      </c>
      <c r="P152" s="35">
        <f>IF(B152="","",YEAR(B152))</f>
        <v/>
      </c>
    </row>
    <row r="153">
      <c r="B153" s="37" t="n"/>
      <c r="C153" s="31" t="n"/>
      <c r="D153" s="31" t="n"/>
      <c r="E153" s="31" t="n"/>
      <c r="F153" s="31" t="n"/>
      <c r="G153" s="31" t="n"/>
      <c r="H153" s="33" t="n"/>
      <c r="I153" s="32" t="n"/>
      <c r="J153" s="22">
        <f>IF(H153="","",ROUND(H153*N(I153)/100,2))</f>
        <v/>
      </c>
      <c r="K153" s="30" t="n"/>
      <c r="L153" s="32" t="n"/>
      <c r="M153" s="22">
        <f>IF(H153="","",IF(K153="No",0,H153*N(I153)/100*IF(L153="",100,L153)/100))</f>
        <v/>
      </c>
      <c r="N153" s="22">
        <f>IF(H153="","",H153*IF(L153="",100,L153)/100+IF(K153="No",H153*N(I153)/100*IF(L153="",100,L153)/100,0))</f>
        <v/>
      </c>
      <c r="O153" s="35">
        <f>IF(B153="","",ROUNDUP(MONTH(B153)/3,0))</f>
        <v/>
      </c>
      <c r="P153" s="35">
        <f>IF(B153="","",YEAR(B153))</f>
        <v/>
      </c>
    </row>
    <row r="154">
      <c r="B154" s="37" t="n"/>
      <c r="C154" s="31" t="n"/>
      <c r="D154" s="31" t="n"/>
      <c r="E154" s="31" t="n"/>
      <c r="F154" s="31" t="n"/>
      <c r="G154" s="31" t="n"/>
      <c r="H154" s="33" t="n"/>
      <c r="I154" s="32" t="n"/>
      <c r="J154" s="22">
        <f>IF(H154="","",ROUND(H154*N(I154)/100,2))</f>
        <v/>
      </c>
      <c r="K154" s="30" t="n"/>
      <c r="L154" s="32" t="n"/>
      <c r="M154" s="22">
        <f>IF(H154="","",IF(K154="No",0,H154*N(I154)/100*IF(L154="",100,L154)/100))</f>
        <v/>
      </c>
      <c r="N154" s="22">
        <f>IF(H154="","",H154*IF(L154="",100,L154)/100+IF(K154="No",H154*N(I154)/100*IF(L154="",100,L154)/100,0))</f>
        <v/>
      </c>
      <c r="O154" s="35">
        <f>IF(B154="","",ROUNDUP(MONTH(B154)/3,0))</f>
        <v/>
      </c>
      <c r="P154" s="35">
        <f>IF(B154="","",YEAR(B154))</f>
        <v/>
      </c>
    </row>
    <row r="155">
      <c r="B155" s="37" t="n"/>
      <c r="C155" s="31" t="n"/>
      <c r="D155" s="31" t="n"/>
      <c r="E155" s="31" t="n"/>
      <c r="F155" s="31" t="n"/>
      <c r="G155" s="31" t="n"/>
      <c r="H155" s="33" t="n"/>
      <c r="I155" s="32" t="n"/>
      <c r="J155" s="22">
        <f>IF(H155="","",ROUND(H155*N(I155)/100,2))</f>
        <v/>
      </c>
      <c r="K155" s="30" t="n"/>
      <c r="L155" s="32" t="n"/>
      <c r="M155" s="22">
        <f>IF(H155="","",IF(K155="No",0,H155*N(I155)/100*IF(L155="",100,L155)/100))</f>
        <v/>
      </c>
      <c r="N155" s="22">
        <f>IF(H155="","",H155*IF(L155="",100,L155)/100+IF(K155="No",H155*N(I155)/100*IF(L155="",100,L155)/100,0))</f>
        <v/>
      </c>
      <c r="O155" s="35">
        <f>IF(B155="","",ROUNDUP(MONTH(B155)/3,0))</f>
        <v/>
      </c>
      <c r="P155" s="35">
        <f>IF(B155="","",YEAR(B155))</f>
        <v/>
      </c>
    </row>
    <row r="156">
      <c r="B156" s="37" t="n"/>
      <c r="C156" s="31" t="n"/>
      <c r="D156" s="31" t="n"/>
      <c r="E156" s="31" t="n"/>
      <c r="F156" s="31" t="n"/>
      <c r="G156" s="31" t="n"/>
      <c r="H156" s="33" t="n"/>
      <c r="I156" s="32" t="n"/>
      <c r="J156" s="22">
        <f>IF(H156="","",ROUND(H156*N(I156)/100,2))</f>
        <v/>
      </c>
      <c r="K156" s="30" t="n"/>
      <c r="L156" s="32" t="n"/>
      <c r="M156" s="22">
        <f>IF(H156="","",IF(K156="No",0,H156*N(I156)/100*IF(L156="",100,L156)/100))</f>
        <v/>
      </c>
      <c r="N156" s="22">
        <f>IF(H156="","",H156*IF(L156="",100,L156)/100+IF(K156="No",H156*N(I156)/100*IF(L156="",100,L156)/100,0))</f>
        <v/>
      </c>
      <c r="O156" s="35">
        <f>IF(B156="","",ROUNDUP(MONTH(B156)/3,0))</f>
        <v/>
      </c>
      <c r="P156" s="35">
        <f>IF(B156="","",YEAR(B156))</f>
        <v/>
      </c>
    </row>
    <row r="157">
      <c r="B157" s="37" t="n"/>
      <c r="C157" s="31" t="n"/>
      <c r="D157" s="31" t="n"/>
      <c r="E157" s="31" t="n"/>
      <c r="F157" s="31" t="n"/>
      <c r="G157" s="31" t="n"/>
      <c r="H157" s="33" t="n"/>
      <c r="I157" s="32" t="n"/>
      <c r="J157" s="22">
        <f>IF(H157="","",ROUND(H157*N(I157)/100,2))</f>
        <v/>
      </c>
      <c r="K157" s="30" t="n"/>
      <c r="L157" s="32" t="n"/>
      <c r="M157" s="22">
        <f>IF(H157="","",IF(K157="No",0,H157*N(I157)/100*IF(L157="",100,L157)/100))</f>
        <v/>
      </c>
      <c r="N157" s="22">
        <f>IF(H157="","",H157*IF(L157="",100,L157)/100+IF(K157="No",H157*N(I157)/100*IF(L157="",100,L157)/100,0))</f>
        <v/>
      </c>
      <c r="O157" s="35">
        <f>IF(B157="","",ROUNDUP(MONTH(B157)/3,0))</f>
        <v/>
      </c>
      <c r="P157" s="35">
        <f>IF(B157="","",YEAR(B157))</f>
        <v/>
      </c>
    </row>
    <row r="158">
      <c r="B158" s="37" t="n"/>
      <c r="C158" s="31" t="n"/>
      <c r="D158" s="31" t="n"/>
      <c r="E158" s="31" t="n"/>
      <c r="F158" s="31" t="n"/>
      <c r="G158" s="31" t="n"/>
      <c r="H158" s="33" t="n"/>
      <c r="I158" s="32" t="n"/>
      <c r="J158" s="22">
        <f>IF(H158="","",ROUND(H158*N(I158)/100,2))</f>
        <v/>
      </c>
      <c r="K158" s="30" t="n"/>
      <c r="L158" s="32" t="n"/>
      <c r="M158" s="22">
        <f>IF(H158="","",IF(K158="No",0,H158*N(I158)/100*IF(L158="",100,L158)/100))</f>
        <v/>
      </c>
      <c r="N158" s="22">
        <f>IF(H158="","",H158*IF(L158="",100,L158)/100+IF(K158="No",H158*N(I158)/100*IF(L158="",100,L158)/100,0))</f>
        <v/>
      </c>
      <c r="O158" s="35">
        <f>IF(B158="","",ROUNDUP(MONTH(B158)/3,0))</f>
        <v/>
      </c>
      <c r="P158" s="35">
        <f>IF(B158="","",YEAR(B158))</f>
        <v/>
      </c>
    </row>
    <row r="159">
      <c r="B159" s="37" t="n"/>
      <c r="C159" s="31" t="n"/>
      <c r="D159" s="31" t="n"/>
      <c r="E159" s="31" t="n"/>
      <c r="F159" s="31" t="n"/>
      <c r="G159" s="31" t="n"/>
      <c r="H159" s="33" t="n"/>
      <c r="I159" s="32" t="n"/>
      <c r="J159" s="22">
        <f>IF(H159="","",ROUND(H159*N(I159)/100,2))</f>
        <v/>
      </c>
      <c r="K159" s="30" t="n"/>
      <c r="L159" s="32" t="n"/>
      <c r="M159" s="22">
        <f>IF(H159="","",IF(K159="No",0,H159*N(I159)/100*IF(L159="",100,L159)/100))</f>
        <v/>
      </c>
      <c r="N159" s="22">
        <f>IF(H159="","",H159*IF(L159="",100,L159)/100+IF(K159="No",H159*N(I159)/100*IF(L159="",100,L159)/100,0))</f>
        <v/>
      </c>
      <c r="O159" s="35">
        <f>IF(B159="","",ROUNDUP(MONTH(B159)/3,0))</f>
        <v/>
      </c>
      <c r="P159" s="35">
        <f>IF(B159="","",YEAR(B159))</f>
        <v/>
      </c>
    </row>
    <row r="160">
      <c r="B160" s="37" t="n"/>
      <c r="C160" s="31" t="n"/>
      <c r="D160" s="31" t="n"/>
      <c r="E160" s="31" t="n"/>
      <c r="F160" s="31" t="n"/>
      <c r="G160" s="31" t="n"/>
      <c r="H160" s="33" t="n"/>
      <c r="I160" s="32" t="n"/>
      <c r="J160" s="22">
        <f>IF(H160="","",ROUND(H160*N(I160)/100,2))</f>
        <v/>
      </c>
      <c r="K160" s="30" t="n"/>
      <c r="L160" s="32" t="n"/>
      <c r="M160" s="22">
        <f>IF(H160="","",IF(K160="No",0,H160*N(I160)/100*IF(L160="",100,L160)/100))</f>
        <v/>
      </c>
      <c r="N160" s="22">
        <f>IF(H160="","",H160*IF(L160="",100,L160)/100+IF(K160="No",H160*N(I160)/100*IF(L160="",100,L160)/100,0))</f>
        <v/>
      </c>
      <c r="O160" s="35">
        <f>IF(B160="","",ROUNDUP(MONTH(B160)/3,0))</f>
        <v/>
      </c>
      <c r="P160" s="35">
        <f>IF(B160="","",YEAR(B160))</f>
        <v/>
      </c>
    </row>
    <row r="161">
      <c r="B161" s="37" t="n"/>
      <c r="C161" s="31" t="n"/>
      <c r="D161" s="31" t="n"/>
      <c r="E161" s="31" t="n"/>
      <c r="F161" s="31" t="n"/>
      <c r="G161" s="31" t="n"/>
      <c r="H161" s="33" t="n"/>
      <c r="I161" s="32" t="n"/>
      <c r="J161" s="22">
        <f>IF(H161="","",ROUND(H161*N(I161)/100,2))</f>
        <v/>
      </c>
      <c r="K161" s="30" t="n"/>
      <c r="L161" s="32" t="n"/>
      <c r="M161" s="22">
        <f>IF(H161="","",IF(K161="No",0,H161*N(I161)/100*IF(L161="",100,L161)/100))</f>
        <v/>
      </c>
      <c r="N161" s="22">
        <f>IF(H161="","",H161*IF(L161="",100,L161)/100+IF(K161="No",H161*N(I161)/100*IF(L161="",100,L161)/100,0))</f>
        <v/>
      </c>
      <c r="O161" s="35">
        <f>IF(B161="","",ROUNDUP(MONTH(B161)/3,0))</f>
        <v/>
      </c>
      <c r="P161" s="35">
        <f>IF(B161="","",YEAR(B161))</f>
        <v/>
      </c>
    </row>
    <row r="162">
      <c r="B162" s="37" t="n"/>
      <c r="C162" s="31" t="n"/>
      <c r="D162" s="31" t="n"/>
      <c r="E162" s="31" t="n"/>
      <c r="F162" s="31" t="n"/>
      <c r="G162" s="31" t="n"/>
      <c r="H162" s="33" t="n"/>
      <c r="I162" s="32" t="n"/>
      <c r="J162" s="22">
        <f>IF(H162="","",ROUND(H162*N(I162)/100,2))</f>
        <v/>
      </c>
      <c r="K162" s="30" t="n"/>
      <c r="L162" s="32" t="n"/>
      <c r="M162" s="22">
        <f>IF(H162="","",IF(K162="No",0,H162*N(I162)/100*IF(L162="",100,L162)/100))</f>
        <v/>
      </c>
      <c r="N162" s="22">
        <f>IF(H162="","",H162*IF(L162="",100,L162)/100+IF(K162="No",H162*N(I162)/100*IF(L162="",100,L162)/100,0))</f>
        <v/>
      </c>
      <c r="O162" s="35">
        <f>IF(B162="","",ROUNDUP(MONTH(B162)/3,0))</f>
        <v/>
      </c>
      <c r="P162" s="35">
        <f>IF(B162="","",YEAR(B162))</f>
        <v/>
      </c>
    </row>
    <row r="163">
      <c r="B163" s="37" t="n"/>
      <c r="C163" s="31" t="n"/>
      <c r="D163" s="31" t="n"/>
      <c r="E163" s="31" t="n"/>
      <c r="F163" s="31" t="n"/>
      <c r="G163" s="31" t="n"/>
      <c r="H163" s="33" t="n"/>
      <c r="I163" s="32" t="n"/>
      <c r="J163" s="22">
        <f>IF(H163="","",ROUND(H163*N(I163)/100,2))</f>
        <v/>
      </c>
      <c r="K163" s="30" t="n"/>
      <c r="L163" s="32" t="n"/>
      <c r="M163" s="22">
        <f>IF(H163="","",IF(K163="No",0,H163*N(I163)/100*IF(L163="",100,L163)/100))</f>
        <v/>
      </c>
      <c r="N163" s="22">
        <f>IF(H163="","",H163*IF(L163="",100,L163)/100+IF(K163="No",H163*N(I163)/100*IF(L163="",100,L163)/100,0))</f>
        <v/>
      </c>
      <c r="O163" s="35">
        <f>IF(B163="","",ROUNDUP(MONTH(B163)/3,0))</f>
        <v/>
      </c>
      <c r="P163" s="35">
        <f>IF(B163="","",YEAR(B163))</f>
        <v/>
      </c>
    </row>
    <row r="164">
      <c r="B164" s="37" t="n"/>
      <c r="C164" s="31" t="n"/>
      <c r="D164" s="31" t="n"/>
      <c r="E164" s="31" t="n"/>
      <c r="F164" s="31" t="n"/>
      <c r="G164" s="31" t="n"/>
      <c r="H164" s="33" t="n"/>
      <c r="I164" s="32" t="n"/>
      <c r="J164" s="22">
        <f>IF(H164="","",ROUND(H164*N(I164)/100,2))</f>
        <v/>
      </c>
      <c r="K164" s="30" t="n"/>
      <c r="L164" s="32" t="n"/>
      <c r="M164" s="22">
        <f>IF(H164="","",IF(K164="No",0,H164*N(I164)/100*IF(L164="",100,L164)/100))</f>
        <v/>
      </c>
      <c r="N164" s="22">
        <f>IF(H164="","",H164*IF(L164="",100,L164)/100+IF(K164="No",H164*N(I164)/100*IF(L164="",100,L164)/100,0))</f>
        <v/>
      </c>
      <c r="O164" s="35">
        <f>IF(B164="","",ROUNDUP(MONTH(B164)/3,0))</f>
        <v/>
      </c>
      <c r="P164" s="35">
        <f>IF(B164="","",YEAR(B164))</f>
        <v/>
      </c>
    </row>
    <row r="165">
      <c r="B165" s="37" t="n"/>
      <c r="C165" s="31" t="n"/>
      <c r="D165" s="31" t="n"/>
      <c r="E165" s="31" t="n"/>
      <c r="F165" s="31" t="n"/>
      <c r="G165" s="31" t="n"/>
      <c r="H165" s="33" t="n"/>
      <c r="I165" s="32" t="n"/>
      <c r="J165" s="22">
        <f>IF(H165="","",ROUND(H165*N(I165)/100,2))</f>
        <v/>
      </c>
      <c r="K165" s="30" t="n"/>
      <c r="L165" s="32" t="n"/>
      <c r="M165" s="22">
        <f>IF(H165="","",IF(K165="No",0,H165*N(I165)/100*IF(L165="",100,L165)/100))</f>
        <v/>
      </c>
      <c r="N165" s="22">
        <f>IF(H165="","",H165*IF(L165="",100,L165)/100+IF(K165="No",H165*N(I165)/100*IF(L165="",100,L165)/100,0))</f>
        <v/>
      </c>
      <c r="O165" s="35">
        <f>IF(B165="","",ROUNDUP(MONTH(B165)/3,0))</f>
        <v/>
      </c>
      <c r="P165" s="35">
        <f>IF(B165="","",YEAR(B165))</f>
        <v/>
      </c>
    </row>
    <row r="166">
      <c r="B166" s="37" t="n"/>
      <c r="C166" s="31" t="n"/>
      <c r="D166" s="31" t="n"/>
      <c r="E166" s="31" t="n"/>
      <c r="F166" s="31" t="n"/>
      <c r="G166" s="31" t="n"/>
      <c r="H166" s="33" t="n"/>
      <c r="I166" s="32" t="n"/>
      <c r="J166" s="22">
        <f>IF(H166="","",ROUND(H166*N(I166)/100,2))</f>
        <v/>
      </c>
      <c r="K166" s="30" t="n"/>
      <c r="L166" s="32" t="n"/>
      <c r="M166" s="22">
        <f>IF(H166="","",IF(K166="No",0,H166*N(I166)/100*IF(L166="",100,L166)/100))</f>
        <v/>
      </c>
      <c r="N166" s="22">
        <f>IF(H166="","",H166*IF(L166="",100,L166)/100+IF(K166="No",H166*N(I166)/100*IF(L166="",100,L166)/100,0))</f>
        <v/>
      </c>
      <c r="O166" s="35">
        <f>IF(B166="","",ROUNDUP(MONTH(B166)/3,0))</f>
        <v/>
      </c>
      <c r="P166" s="35">
        <f>IF(B166="","",YEAR(B166))</f>
        <v/>
      </c>
    </row>
    <row r="167">
      <c r="B167" s="37" t="n"/>
      <c r="C167" s="31" t="n"/>
      <c r="D167" s="31" t="n"/>
      <c r="E167" s="31" t="n"/>
      <c r="F167" s="31" t="n"/>
      <c r="G167" s="31" t="n"/>
      <c r="H167" s="33" t="n"/>
      <c r="I167" s="32" t="n"/>
      <c r="J167" s="22">
        <f>IF(H167="","",ROUND(H167*N(I167)/100,2))</f>
        <v/>
      </c>
      <c r="K167" s="30" t="n"/>
      <c r="L167" s="32" t="n"/>
      <c r="M167" s="22">
        <f>IF(H167="","",IF(K167="No",0,H167*N(I167)/100*IF(L167="",100,L167)/100))</f>
        <v/>
      </c>
      <c r="N167" s="22">
        <f>IF(H167="","",H167*IF(L167="",100,L167)/100+IF(K167="No",H167*N(I167)/100*IF(L167="",100,L167)/100,0))</f>
        <v/>
      </c>
      <c r="O167" s="35">
        <f>IF(B167="","",ROUNDUP(MONTH(B167)/3,0))</f>
        <v/>
      </c>
      <c r="P167" s="35">
        <f>IF(B167="","",YEAR(B167))</f>
        <v/>
      </c>
    </row>
    <row r="168">
      <c r="B168" s="37" t="n"/>
      <c r="C168" s="31" t="n"/>
      <c r="D168" s="31" t="n"/>
      <c r="E168" s="31" t="n"/>
      <c r="F168" s="31" t="n"/>
      <c r="G168" s="31" t="n"/>
      <c r="H168" s="33" t="n"/>
      <c r="I168" s="32" t="n"/>
      <c r="J168" s="22">
        <f>IF(H168="","",ROUND(H168*N(I168)/100,2))</f>
        <v/>
      </c>
      <c r="K168" s="30" t="n"/>
      <c r="L168" s="32" t="n"/>
      <c r="M168" s="22">
        <f>IF(H168="","",IF(K168="No",0,H168*N(I168)/100*IF(L168="",100,L168)/100))</f>
        <v/>
      </c>
      <c r="N168" s="22">
        <f>IF(H168="","",H168*IF(L168="",100,L168)/100+IF(K168="No",H168*N(I168)/100*IF(L168="",100,L168)/100,0))</f>
        <v/>
      </c>
      <c r="O168" s="35">
        <f>IF(B168="","",ROUNDUP(MONTH(B168)/3,0))</f>
        <v/>
      </c>
      <c r="P168" s="35">
        <f>IF(B168="","",YEAR(B168))</f>
        <v/>
      </c>
    </row>
    <row r="169">
      <c r="B169" s="37" t="n"/>
      <c r="C169" s="31" t="n"/>
      <c r="D169" s="31" t="n"/>
      <c r="E169" s="31" t="n"/>
      <c r="F169" s="31" t="n"/>
      <c r="G169" s="31" t="n"/>
      <c r="H169" s="33" t="n"/>
      <c r="I169" s="32" t="n"/>
      <c r="J169" s="22">
        <f>IF(H169="","",ROUND(H169*N(I169)/100,2))</f>
        <v/>
      </c>
      <c r="K169" s="30" t="n"/>
      <c r="L169" s="32" t="n"/>
      <c r="M169" s="22">
        <f>IF(H169="","",IF(K169="No",0,H169*N(I169)/100*IF(L169="",100,L169)/100))</f>
        <v/>
      </c>
      <c r="N169" s="22">
        <f>IF(H169="","",H169*IF(L169="",100,L169)/100+IF(K169="No",H169*N(I169)/100*IF(L169="",100,L169)/100,0))</f>
        <v/>
      </c>
      <c r="O169" s="35">
        <f>IF(B169="","",ROUNDUP(MONTH(B169)/3,0))</f>
        <v/>
      </c>
      <c r="P169" s="35">
        <f>IF(B169="","",YEAR(B169))</f>
        <v/>
      </c>
    </row>
    <row r="170">
      <c r="B170" s="37" t="n"/>
      <c r="C170" s="31" t="n"/>
      <c r="D170" s="31" t="n"/>
      <c r="E170" s="31" t="n"/>
      <c r="F170" s="31" t="n"/>
      <c r="G170" s="31" t="n"/>
      <c r="H170" s="33" t="n"/>
      <c r="I170" s="32" t="n"/>
      <c r="J170" s="22">
        <f>IF(H170="","",ROUND(H170*N(I170)/100,2))</f>
        <v/>
      </c>
      <c r="K170" s="30" t="n"/>
      <c r="L170" s="32" t="n"/>
      <c r="M170" s="22">
        <f>IF(H170="","",IF(K170="No",0,H170*N(I170)/100*IF(L170="",100,L170)/100))</f>
        <v/>
      </c>
      <c r="N170" s="22">
        <f>IF(H170="","",H170*IF(L170="",100,L170)/100+IF(K170="No",H170*N(I170)/100*IF(L170="",100,L170)/100,0))</f>
        <v/>
      </c>
      <c r="O170" s="35">
        <f>IF(B170="","",ROUNDUP(MONTH(B170)/3,0))</f>
        <v/>
      </c>
      <c r="P170" s="35">
        <f>IF(B170="","",YEAR(B170))</f>
        <v/>
      </c>
    </row>
    <row r="171">
      <c r="B171" s="37" t="n"/>
      <c r="C171" s="31" t="n"/>
      <c r="D171" s="31" t="n"/>
      <c r="E171" s="31" t="n"/>
      <c r="F171" s="31" t="n"/>
      <c r="G171" s="31" t="n"/>
      <c r="H171" s="33" t="n"/>
      <c r="I171" s="32" t="n"/>
      <c r="J171" s="22">
        <f>IF(H171="","",ROUND(H171*N(I171)/100,2))</f>
        <v/>
      </c>
      <c r="K171" s="30" t="n"/>
      <c r="L171" s="32" t="n"/>
      <c r="M171" s="22">
        <f>IF(H171="","",IF(K171="No",0,H171*N(I171)/100*IF(L171="",100,L171)/100))</f>
        <v/>
      </c>
      <c r="N171" s="22">
        <f>IF(H171="","",H171*IF(L171="",100,L171)/100+IF(K171="No",H171*N(I171)/100*IF(L171="",100,L171)/100,0))</f>
        <v/>
      </c>
      <c r="O171" s="35">
        <f>IF(B171="","",ROUNDUP(MONTH(B171)/3,0))</f>
        <v/>
      </c>
      <c r="P171" s="35">
        <f>IF(B171="","",YEAR(B171))</f>
        <v/>
      </c>
    </row>
    <row r="172">
      <c r="B172" s="37" t="n"/>
      <c r="C172" s="31" t="n"/>
      <c r="D172" s="31" t="n"/>
      <c r="E172" s="31" t="n"/>
      <c r="F172" s="31" t="n"/>
      <c r="G172" s="31" t="n"/>
      <c r="H172" s="33" t="n"/>
      <c r="I172" s="32" t="n"/>
      <c r="J172" s="22">
        <f>IF(H172="","",ROUND(H172*N(I172)/100,2))</f>
        <v/>
      </c>
      <c r="K172" s="30" t="n"/>
      <c r="L172" s="32" t="n"/>
      <c r="M172" s="22">
        <f>IF(H172="","",IF(K172="No",0,H172*N(I172)/100*IF(L172="",100,L172)/100))</f>
        <v/>
      </c>
      <c r="N172" s="22">
        <f>IF(H172="","",H172*IF(L172="",100,L172)/100+IF(K172="No",H172*N(I172)/100*IF(L172="",100,L172)/100,0))</f>
        <v/>
      </c>
      <c r="O172" s="35">
        <f>IF(B172="","",ROUNDUP(MONTH(B172)/3,0))</f>
        <v/>
      </c>
      <c r="P172" s="35">
        <f>IF(B172="","",YEAR(B172))</f>
        <v/>
      </c>
    </row>
    <row r="173">
      <c r="B173" s="37" t="n"/>
      <c r="C173" s="31" t="n"/>
      <c r="D173" s="31" t="n"/>
      <c r="E173" s="31" t="n"/>
      <c r="F173" s="31" t="n"/>
      <c r="G173" s="31" t="n"/>
      <c r="H173" s="33" t="n"/>
      <c r="I173" s="32" t="n"/>
      <c r="J173" s="22">
        <f>IF(H173="","",ROUND(H173*N(I173)/100,2))</f>
        <v/>
      </c>
      <c r="K173" s="30" t="n"/>
      <c r="L173" s="32" t="n"/>
      <c r="M173" s="22">
        <f>IF(H173="","",IF(K173="No",0,H173*N(I173)/100*IF(L173="",100,L173)/100))</f>
        <v/>
      </c>
      <c r="N173" s="22">
        <f>IF(H173="","",H173*IF(L173="",100,L173)/100+IF(K173="No",H173*N(I173)/100*IF(L173="",100,L173)/100,0))</f>
        <v/>
      </c>
      <c r="O173" s="35">
        <f>IF(B173="","",ROUNDUP(MONTH(B173)/3,0))</f>
        <v/>
      </c>
      <c r="P173" s="35">
        <f>IF(B173="","",YEAR(B173))</f>
        <v/>
      </c>
    </row>
    <row r="174">
      <c r="B174" s="37" t="n"/>
      <c r="C174" s="31" t="n"/>
      <c r="D174" s="31" t="n"/>
      <c r="E174" s="31" t="n"/>
      <c r="F174" s="31" t="n"/>
      <c r="G174" s="31" t="n"/>
      <c r="H174" s="33" t="n"/>
      <c r="I174" s="32" t="n"/>
      <c r="J174" s="22">
        <f>IF(H174="","",ROUND(H174*N(I174)/100,2))</f>
        <v/>
      </c>
      <c r="K174" s="30" t="n"/>
      <c r="L174" s="32" t="n"/>
      <c r="M174" s="22">
        <f>IF(H174="","",IF(K174="No",0,H174*N(I174)/100*IF(L174="",100,L174)/100))</f>
        <v/>
      </c>
      <c r="N174" s="22">
        <f>IF(H174="","",H174*IF(L174="",100,L174)/100+IF(K174="No",H174*N(I174)/100*IF(L174="",100,L174)/100,0))</f>
        <v/>
      </c>
      <c r="O174" s="35">
        <f>IF(B174="","",ROUNDUP(MONTH(B174)/3,0))</f>
        <v/>
      </c>
      <c r="P174" s="35">
        <f>IF(B174="","",YEAR(B174))</f>
        <v/>
      </c>
    </row>
    <row r="175">
      <c r="B175" s="37" t="n"/>
      <c r="C175" s="31" t="n"/>
      <c r="D175" s="31" t="n"/>
      <c r="E175" s="31" t="n"/>
      <c r="F175" s="31" t="n"/>
      <c r="G175" s="31" t="n"/>
      <c r="H175" s="33" t="n"/>
      <c r="I175" s="32" t="n"/>
      <c r="J175" s="22">
        <f>IF(H175="","",ROUND(H175*N(I175)/100,2))</f>
        <v/>
      </c>
      <c r="K175" s="30" t="n"/>
      <c r="L175" s="32" t="n"/>
      <c r="M175" s="22">
        <f>IF(H175="","",IF(K175="No",0,H175*N(I175)/100*IF(L175="",100,L175)/100))</f>
        <v/>
      </c>
      <c r="N175" s="22">
        <f>IF(H175="","",H175*IF(L175="",100,L175)/100+IF(K175="No",H175*N(I175)/100*IF(L175="",100,L175)/100,0))</f>
        <v/>
      </c>
      <c r="O175" s="35">
        <f>IF(B175="","",ROUNDUP(MONTH(B175)/3,0))</f>
        <v/>
      </c>
      <c r="P175" s="35">
        <f>IF(B175="","",YEAR(B175))</f>
        <v/>
      </c>
    </row>
    <row r="176">
      <c r="B176" s="37" t="n"/>
      <c r="C176" s="31" t="n"/>
      <c r="D176" s="31" t="n"/>
      <c r="E176" s="31" t="n"/>
      <c r="F176" s="31" t="n"/>
      <c r="G176" s="31" t="n"/>
      <c r="H176" s="33" t="n"/>
      <c r="I176" s="32" t="n"/>
      <c r="J176" s="22">
        <f>IF(H176="","",ROUND(H176*N(I176)/100,2))</f>
        <v/>
      </c>
      <c r="K176" s="30" t="n"/>
      <c r="L176" s="32" t="n"/>
      <c r="M176" s="22">
        <f>IF(H176="","",IF(K176="No",0,H176*N(I176)/100*IF(L176="",100,L176)/100))</f>
        <v/>
      </c>
      <c r="N176" s="22">
        <f>IF(H176="","",H176*IF(L176="",100,L176)/100+IF(K176="No",H176*N(I176)/100*IF(L176="",100,L176)/100,0))</f>
        <v/>
      </c>
      <c r="O176" s="35">
        <f>IF(B176="","",ROUNDUP(MONTH(B176)/3,0))</f>
        <v/>
      </c>
      <c r="P176" s="35">
        <f>IF(B176="","",YEAR(B176))</f>
        <v/>
      </c>
    </row>
    <row r="177">
      <c r="B177" s="37" t="n"/>
      <c r="C177" s="31" t="n"/>
      <c r="D177" s="31" t="n"/>
      <c r="E177" s="31" t="n"/>
      <c r="F177" s="31" t="n"/>
      <c r="G177" s="31" t="n"/>
      <c r="H177" s="33" t="n"/>
      <c r="I177" s="32" t="n"/>
      <c r="J177" s="22">
        <f>IF(H177="","",ROUND(H177*N(I177)/100,2))</f>
        <v/>
      </c>
      <c r="K177" s="30" t="n"/>
      <c r="L177" s="32" t="n"/>
      <c r="M177" s="22">
        <f>IF(H177="","",IF(K177="No",0,H177*N(I177)/100*IF(L177="",100,L177)/100))</f>
        <v/>
      </c>
      <c r="N177" s="22">
        <f>IF(H177="","",H177*IF(L177="",100,L177)/100+IF(K177="No",H177*N(I177)/100*IF(L177="",100,L177)/100,0))</f>
        <v/>
      </c>
      <c r="O177" s="35">
        <f>IF(B177="","",ROUNDUP(MONTH(B177)/3,0))</f>
        <v/>
      </c>
      <c r="P177" s="35">
        <f>IF(B177="","",YEAR(B177))</f>
        <v/>
      </c>
    </row>
    <row r="178">
      <c r="B178" s="37" t="n"/>
      <c r="C178" s="31" t="n"/>
      <c r="D178" s="31" t="n"/>
      <c r="E178" s="31" t="n"/>
      <c r="F178" s="31" t="n"/>
      <c r="G178" s="31" t="n"/>
      <c r="H178" s="33" t="n"/>
      <c r="I178" s="32" t="n"/>
      <c r="J178" s="22">
        <f>IF(H178="","",ROUND(H178*N(I178)/100,2))</f>
        <v/>
      </c>
      <c r="K178" s="30" t="n"/>
      <c r="L178" s="32" t="n"/>
      <c r="M178" s="22">
        <f>IF(H178="","",IF(K178="No",0,H178*N(I178)/100*IF(L178="",100,L178)/100))</f>
        <v/>
      </c>
      <c r="N178" s="22">
        <f>IF(H178="","",H178*IF(L178="",100,L178)/100+IF(K178="No",H178*N(I178)/100*IF(L178="",100,L178)/100,0))</f>
        <v/>
      </c>
      <c r="O178" s="35">
        <f>IF(B178="","",ROUNDUP(MONTH(B178)/3,0))</f>
        <v/>
      </c>
      <c r="P178" s="35">
        <f>IF(B178="","",YEAR(B178))</f>
        <v/>
      </c>
    </row>
    <row r="179">
      <c r="B179" s="37" t="n"/>
      <c r="C179" s="31" t="n"/>
      <c r="D179" s="31" t="n"/>
      <c r="E179" s="31" t="n"/>
      <c r="F179" s="31" t="n"/>
      <c r="G179" s="31" t="n"/>
      <c r="H179" s="33" t="n"/>
      <c r="I179" s="32" t="n"/>
      <c r="J179" s="22">
        <f>IF(H179="","",ROUND(H179*N(I179)/100,2))</f>
        <v/>
      </c>
      <c r="K179" s="30" t="n"/>
      <c r="L179" s="32" t="n"/>
      <c r="M179" s="22">
        <f>IF(H179="","",IF(K179="No",0,H179*N(I179)/100*IF(L179="",100,L179)/100))</f>
        <v/>
      </c>
      <c r="N179" s="22">
        <f>IF(H179="","",H179*IF(L179="",100,L179)/100+IF(K179="No",H179*N(I179)/100*IF(L179="",100,L179)/100,0))</f>
        <v/>
      </c>
      <c r="O179" s="35">
        <f>IF(B179="","",ROUNDUP(MONTH(B179)/3,0))</f>
        <v/>
      </c>
      <c r="P179" s="35">
        <f>IF(B179="","",YEAR(B179))</f>
        <v/>
      </c>
    </row>
    <row r="180">
      <c r="B180" s="37" t="n"/>
      <c r="C180" s="31" t="n"/>
      <c r="D180" s="31" t="n"/>
      <c r="E180" s="31" t="n"/>
      <c r="F180" s="31" t="n"/>
      <c r="G180" s="31" t="n"/>
      <c r="H180" s="33" t="n"/>
      <c r="I180" s="32" t="n"/>
      <c r="J180" s="22">
        <f>IF(H180="","",ROUND(H180*N(I180)/100,2))</f>
        <v/>
      </c>
      <c r="K180" s="30" t="n"/>
      <c r="L180" s="32" t="n"/>
      <c r="M180" s="22">
        <f>IF(H180="","",IF(K180="No",0,H180*N(I180)/100*IF(L180="",100,L180)/100))</f>
        <v/>
      </c>
      <c r="N180" s="22">
        <f>IF(H180="","",H180*IF(L180="",100,L180)/100+IF(K180="No",H180*N(I180)/100*IF(L180="",100,L180)/100,0))</f>
        <v/>
      </c>
      <c r="O180" s="35">
        <f>IF(B180="","",ROUNDUP(MONTH(B180)/3,0))</f>
        <v/>
      </c>
      <c r="P180" s="35">
        <f>IF(B180="","",YEAR(B180))</f>
        <v/>
      </c>
    </row>
    <row r="181">
      <c r="B181" s="37" t="n"/>
      <c r="C181" s="31" t="n"/>
      <c r="D181" s="31" t="n"/>
      <c r="E181" s="31" t="n"/>
      <c r="F181" s="31" t="n"/>
      <c r="G181" s="31" t="n"/>
      <c r="H181" s="33" t="n"/>
      <c r="I181" s="32" t="n"/>
      <c r="J181" s="22">
        <f>IF(H181="","",ROUND(H181*N(I181)/100,2))</f>
        <v/>
      </c>
      <c r="K181" s="30" t="n"/>
      <c r="L181" s="32" t="n"/>
      <c r="M181" s="22">
        <f>IF(H181="","",IF(K181="No",0,H181*N(I181)/100*IF(L181="",100,L181)/100))</f>
        <v/>
      </c>
      <c r="N181" s="22">
        <f>IF(H181="","",H181*IF(L181="",100,L181)/100+IF(K181="No",H181*N(I181)/100*IF(L181="",100,L181)/100,0))</f>
        <v/>
      </c>
      <c r="O181" s="35">
        <f>IF(B181="","",ROUNDUP(MONTH(B181)/3,0))</f>
        <v/>
      </c>
      <c r="P181" s="35">
        <f>IF(B181="","",YEAR(B181))</f>
        <v/>
      </c>
    </row>
    <row r="182">
      <c r="B182" s="37" t="n"/>
      <c r="C182" s="31" t="n"/>
      <c r="D182" s="31" t="n"/>
      <c r="E182" s="31" t="n"/>
      <c r="F182" s="31" t="n"/>
      <c r="G182" s="31" t="n"/>
      <c r="H182" s="33" t="n"/>
      <c r="I182" s="32" t="n"/>
      <c r="J182" s="22">
        <f>IF(H182="","",ROUND(H182*N(I182)/100,2))</f>
        <v/>
      </c>
      <c r="K182" s="30" t="n"/>
      <c r="L182" s="32" t="n"/>
      <c r="M182" s="22">
        <f>IF(H182="","",IF(K182="No",0,H182*N(I182)/100*IF(L182="",100,L182)/100))</f>
        <v/>
      </c>
      <c r="N182" s="22">
        <f>IF(H182="","",H182*IF(L182="",100,L182)/100+IF(K182="No",H182*N(I182)/100*IF(L182="",100,L182)/100,0))</f>
        <v/>
      </c>
      <c r="O182" s="35">
        <f>IF(B182="","",ROUNDUP(MONTH(B182)/3,0))</f>
        <v/>
      </c>
      <c r="P182" s="35">
        <f>IF(B182="","",YEAR(B182))</f>
        <v/>
      </c>
    </row>
    <row r="183">
      <c r="B183" s="37" t="n"/>
      <c r="C183" s="31" t="n"/>
      <c r="D183" s="31" t="n"/>
      <c r="E183" s="31" t="n"/>
      <c r="F183" s="31" t="n"/>
      <c r="G183" s="31" t="n"/>
      <c r="H183" s="33" t="n"/>
      <c r="I183" s="32" t="n"/>
      <c r="J183" s="22">
        <f>IF(H183="","",ROUND(H183*N(I183)/100,2))</f>
        <v/>
      </c>
      <c r="K183" s="30" t="n"/>
      <c r="L183" s="32" t="n"/>
      <c r="M183" s="22">
        <f>IF(H183="","",IF(K183="No",0,H183*N(I183)/100*IF(L183="",100,L183)/100))</f>
        <v/>
      </c>
      <c r="N183" s="22">
        <f>IF(H183="","",H183*IF(L183="",100,L183)/100+IF(K183="No",H183*N(I183)/100*IF(L183="",100,L183)/100,0))</f>
        <v/>
      </c>
      <c r="O183" s="35">
        <f>IF(B183="","",ROUNDUP(MONTH(B183)/3,0))</f>
        <v/>
      </c>
      <c r="P183" s="35">
        <f>IF(B183="","",YEAR(B183))</f>
        <v/>
      </c>
    </row>
    <row r="184">
      <c r="B184" s="37" t="n"/>
      <c r="C184" s="31" t="n"/>
      <c r="D184" s="31" t="n"/>
      <c r="E184" s="31" t="n"/>
      <c r="F184" s="31" t="n"/>
      <c r="G184" s="31" t="n"/>
      <c r="H184" s="33" t="n"/>
      <c r="I184" s="32" t="n"/>
      <c r="J184" s="22">
        <f>IF(H184="","",ROUND(H184*N(I184)/100,2))</f>
        <v/>
      </c>
      <c r="K184" s="30" t="n"/>
      <c r="L184" s="32" t="n"/>
      <c r="M184" s="22">
        <f>IF(H184="","",IF(K184="No",0,H184*N(I184)/100*IF(L184="",100,L184)/100))</f>
        <v/>
      </c>
      <c r="N184" s="22">
        <f>IF(H184="","",H184*IF(L184="",100,L184)/100+IF(K184="No",H184*N(I184)/100*IF(L184="",100,L184)/100,0))</f>
        <v/>
      </c>
      <c r="O184" s="35">
        <f>IF(B184="","",ROUNDUP(MONTH(B184)/3,0))</f>
        <v/>
      </c>
      <c r="P184" s="35">
        <f>IF(B184="","",YEAR(B184))</f>
        <v/>
      </c>
    </row>
    <row r="185">
      <c r="B185" s="37" t="n"/>
      <c r="C185" s="31" t="n"/>
      <c r="D185" s="31" t="n"/>
      <c r="E185" s="31" t="n"/>
      <c r="F185" s="31" t="n"/>
      <c r="G185" s="31" t="n"/>
      <c r="H185" s="33" t="n"/>
      <c r="I185" s="32" t="n"/>
      <c r="J185" s="22">
        <f>IF(H185="","",ROUND(H185*N(I185)/100,2))</f>
        <v/>
      </c>
      <c r="K185" s="30" t="n"/>
      <c r="L185" s="32" t="n"/>
      <c r="M185" s="22">
        <f>IF(H185="","",IF(K185="No",0,H185*N(I185)/100*IF(L185="",100,L185)/100))</f>
        <v/>
      </c>
      <c r="N185" s="22">
        <f>IF(H185="","",H185*IF(L185="",100,L185)/100+IF(K185="No",H185*N(I185)/100*IF(L185="",100,L185)/100,0))</f>
        <v/>
      </c>
      <c r="O185" s="35">
        <f>IF(B185="","",ROUNDUP(MONTH(B185)/3,0))</f>
        <v/>
      </c>
      <c r="P185" s="35">
        <f>IF(B185="","",YEAR(B185))</f>
        <v/>
      </c>
    </row>
    <row r="186">
      <c r="B186" s="37" t="n"/>
      <c r="C186" s="31" t="n"/>
      <c r="D186" s="31" t="n"/>
      <c r="E186" s="31" t="n"/>
      <c r="F186" s="31" t="n"/>
      <c r="G186" s="31" t="n"/>
      <c r="H186" s="33" t="n"/>
      <c r="I186" s="32" t="n"/>
      <c r="J186" s="22">
        <f>IF(H186="","",ROUND(H186*N(I186)/100,2))</f>
        <v/>
      </c>
      <c r="K186" s="30" t="n"/>
      <c r="L186" s="32" t="n"/>
      <c r="M186" s="22">
        <f>IF(H186="","",IF(K186="No",0,H186*N(I186)/100*IF(L186="",100,L186)/100))</f>
        <v/>
      </c>
      <c r="N186" s="22">
        <f>IF(H186="","",H186*IF(L186="",100,L186)/100+IF(K186="No",H186*N(I186)/100*IF(L186="",100,L186)/100,0))</f>
        <v/>
      </c>
      <c r="O186" s="35">
        <f>IF(B186="","",ROUNDUP(MONTH(B186)/3,0))</f>
        <v/>
      </c>
      <c r="P186" s="35">
        <f>IF(B186="","",YEAR(B186))</f>
        <v/>
      </c>
    </row>
    <row r="187">
      <c r="B187" s="37" t="n"/>
      <c r="C187" s="31" t="n"/>
      <c r="D187" s="31" t="n"/>
      <c r="E187" s="31" t="n"/>
      <c r="F187" s="31" t="n"/>
      <c r="G187" s="31" t="n"/>
      <c r="H187" s="33" t="n"/>
      <c r="I187" s="32" t="n"/>
      <c r="J187" s="22">
        <f>IF(H187="","",ROUND(H187*N(I187)/100,2))</f>
        <v/>
      </c>
      <c r="K187" s="30" t="n"/>
      <c r="L187" s="32" t="n"/>
      <c r="M187" s="22">
        <f>IF(H187="","",IF(K187="No",0,H187*N(I187)/100*IF(L187="",100,L187)/100))</f>
        <v/>
      </c>
      <c r="N187" s="22">
        <f>IF(H187="","",H187*IF(L187="",100,L187)/100+IF(K187="No",H187*N(I187)/100*IF(L187="",100,L187)/100,0))</f>
        <v/>
      </c>
      <c r="O187" s="35">
        <f>IF(B187="","",ROUNDUP(MONTH(B187)/3,0))</f>
        <v/>
      </c>
      <c r="P187" s="35">
        <f>IF(B187="","",YEAR(B187))</f>
        <v/>
      </c>
    </row>
    <row r="188">
      <c r="B188" s="37" t="n"/>
      <c r="C188" s="31" t="n"/>
      <c r="D188" s="31" t="n"/>
      <c r="E188" s="31" t="n"/>
      <c r="F188" s="31" t="n"/>
      <c r="G188" s="31" t="n"/>
      <c r="H188" s="33" t="n"/>
      <c r="I188" s="32" t="n"/>
      <c r="J188" s="22">
        <f>IF(H188="","",ROUND(H188*N(I188)/100,2))</f>
        <v/>
      </c>
      <c r="K188" s="30" t="n"/>
      <c r="L188" s="32" t="n"/>
      <c r="M188" s="22">
        <f>IF(H188="","",IF(K188="No",0,H188*N(I188)/100*IF(L188="",100,L188)/100))</f>
        <v/>
      </c>
      <c r="N188" s="22">
        <f>IF(H188="","",H188*IF(L188="",100,L188)/100+IF(K188="No",H188*N(I188)/100*IF(L188="",100,L188)/100,0))</f>
        <v/>
      </c>
      <c r="O188" s="35">
        <f>IF(B188="","",ROUNDUP(MONTH(B188)/3,0))</f>
        <v/>
      </c>
      <c r="P188" s="35">
        <f>IF(B188="","",YEAR(B188))</f>
        <v/>
      </c>
    </row>
    <row r="189">
      <c r="B189" s="37" t="n"/>
      <c r="C189" s="31" t="n"/>
      <c r="D189" s="31" t="n"/>
      <c r="E189" s="31" t="n"/>
      <c r="F189" s="31" t="n"/>
      <c r="G189" s="31" t="n"/>
      <c r="H189" s="33" t="n"/>
      <c r="I189" s="32" t="n"/>
      <c r="J189" s="22">
        <f>IF(H189="","",ROUND(H189*N(I189)/100,2))</f>
        <v/>
      </c>
      <c r="K189" s="30" t="n"/>
      <c r="L189" s="32" t="n"/>
      <c r="M189" s="22">
        <f>IF(H189="","",IF(K189="No",0,H189*N(I189)/100*IF(L189="",100,L189)/100))</f>
        <v/>
      </c>
      <c r="N189" s="22">
        <f>IF(H189="","",H189*IF(L189="",100,L189)/100+IF(K189="No",H189*N(I189)/100*IF(L189="",100,L189)/100,0))</f>
        <v/>
      </c>
      <c r="O189" s="35">
        <f>IF(B189="","",ROUNDUP(MONTH(B189)/3,0))</f>
        <v/>
      </c>
      <c r="P189" s="35">
        <f>IF(B189="","",YEAR(B189))</f>
        <v/>
      </c>
    </row>
    <row r="190">
      <c r="B190" s="37" t="n"/>
      <c r="C190" s="31" t="n"/>
      <c r="D190" s="31" t="n"/>
      <c r="E190" s="31" t="n"/>
      <c r="F190" s="31" t="n"/>
      <c r="G190" s="31" t="n"/>
      <c r="H190" s="33" t="n"/>
      <c r="I190" s="32" t="n"/>
      <c r="J190" s="22">
        <f>IF(H190="","",ROUND(H190*N(I190)/100,2))</f>
        <v/>
      </c>
      <c r="K190" s="30" t="n"/>
      <c r="L190" s="32" t="n"/>
      <c r="M190" s="22">
        <f>IF(H190="","",IF(K190="No",0,H190*N(I190)/100*IF(L190="",100,L190)/100))</f>
        <v/>
      </c>
      <c r="N190" s="22">
        <f>IF(H190="","",H190*IF(L190="",100,L190)/100+IF(K190="No",H190*N(I190)/100*IF(L190="",100,L190)/100,0))</f>
        <v/>
      </c>
      <c r="O190" s="35">
        <f>IF(B190="","",ROUNDUP(MONTH(B190)/3,0))</f>
        <v/>
      </c>
      <c r="P190" s="35">
        <f>IF(B190="","",YEAR(B190))</f>
        <v/>
      </c>
    </row>
    <row r="191">
      <c r="B191" s="37" t="n"/>
      <c r="C191" s="31" t="n"/>
      <c r="D191" s="31" t="n"/>
      <c r="E191" s="31" t="n"/>
      <c r="F191" s="31" t="n"/>
      <c r="G191" s="31" t="n"/>
      <c r="H191" s="33" t="n"/>
      <c r="I191" s="32" t="n"/>
      <c r="J191" s="22">
        <f>IF(H191="","",ROUND(H191*N(I191)/100,2))</f>
        <v/>
      </c>
      <c r="K191" s="30" t="n"/>
      <c r="L191" s="32" t="n"/>
      <c r="M191" s="22">
        <f>IF(H191="","",IF(K191="No",0,H191*N(I191)/100*IF(L191="",100,L191)/100))</f>
        <v/>
      </c>
      <c r="N191" s="22">
        <f>IF(H191="","",H191*IF(L191="",100,L191)/100+IF(K191="No",H191*N(I191)/100*IF(L191="",100,L191)/100,0))</f>
        <v/>
      </c>
      <c r="O191" s="35">
        <f>IF(B191="","",ROUNDUP(MONTH(B191)/3,0))</f>
        <v/>
      </c>
      <c r="P191" s="35">
        <f>IF(B191="","",YEAR(B191))</f>
        <v/>
      </c>
    </row>
    <row r="192">
      <c r="B192" s="37" t="n"/>
      <c r="C192" s="31" t="n"/>
      <c r="D192" s="31" t="n"/>
      <c r="E192" s="31" t="n"/>
      <c r="F192" s="31" t="n"/>
      <c r="G192" s="31" t="n"/>
      <c r="H192" s="33" t="n"/>
      <c r="I192" s="32" t="n"/>
      <c r="J192" s="22">
        <f>IF(H192="","",ROUND(H192*N(I192)/100,2))</f>
        <v/>
      </c>
      <c r="K192" s="30" t="n"/>
      <c r="L192" s="32" t="n"/>
      <c r="M192" s="22">
        <f>IF(H192="","",IF(K192="No",0,H192*N(I192)/100*IF(L192="",100,L192)/100))</f>
        <v/>
      </c>
      <c r="N192" s="22">
        <f>IF(H192="","",H192*IF(L192="",100,L192)/100+IF(K192="No",H192*N(I192)/100*IF(L192="",100,L192)/100,0))</f>
        <v/>
      </c>
      <c r="O192" s="35">
        <f>IF(B192="","",ROUNDUP(MONTH(B192)/3,0))</f>
        <v/>
      </c>
      <c r="P192" s="35">
        <f>IF(B192="","",YEAR(B192))</f>
        <v/>
      </c>
    </row>
    <row r="193">
      <c r="B193" s="37" t="n"/>
      <c r="C193" s="31" t="n"/>
      <c r="D193" s="31" t="n"/>
      <c r="E193" s="31" t="n"/>
      <c r="F193" s="31" t="n"/>
      <c r="G193" s="31" t="n"/>
      <c r="H193" s="33" t="n"/>
      <c r="I193" s="32" t="n"/>
      <c r="J193" s="22">
        <f>IF(H193="","",ROUND(H193*N(I193)/100,2))</f>
        <v/>
      </c>
      <c r="K193" s="30" t="n"/>
      <c r="L193" s="32" t="n"/>
      <c r="M193" s="22">
        <f>IF(H193="","",IF(K193="No",0,H193*N(I193)/100*IF(L193="",100,L193)/100))</f>
        <v/>
      </c>
      <c r="N193" s="22">
        <f>IF(H193="","",H193*IF(L193="",100,L193)/100+IF(K193="No",H193*N(I193)/100*IF(L193="",100,L193)/100,0))</f>
        <v/>
      </c>
      <c r="O193" s="35">
        <f>IF(B193="","",ROUNDUP(MONTH(B193)/3,0))</f>
        <v/>
      </c>
      <c r="P193" s="35">
        <f>IF(B193="","",YEAR(B193))</f>
        <v/>
      </c>
    </row>
    <row r="194">
      <c r="B194" s="37" t="n"/>
      <c r="C194" s="31" t="n"/>
      <c r="D194" s="31" t="n"/>
      <c r="E194" s="31" t="n"/>
      <c r="F194" s="31" t="n"/>
      <c r="G194" s="31" t="n"/>
      <c r="H194" s="33" t="n"/>
      <c r="I194" s="32" t="n"/>
      <c r="J194" s="22">
        <f>IF(H194="","",ROUND(H194*N(I194)/100,2))</f>
        <v/>
      </c>
      <c r="K194" s="30" t="n"/>
      <c r="L194" s="32" t="n"/>
      <c r="M194" s="22">
        <f>IF(H194="","",IF(K194="No",0,H194*N(I194)/100*IF(L194="",100,L194)/100))</f>
        <v/>
      </c>
      <c r="N194" s="22">
        <f>IF(H194="","",H194*IF(L194="",100,L194)/100+IF(K194="No",H194*N(I194)/100*IF(L194="",100,L194)/100,0))</f>
        <v/>
      </c>
      <c r="O194" s="35">
        <f>IF(B194="","",ROUNDUP(MONTH(B194)/3,0))</f>
        <v/>
      </c>
      <c r="P194" s="35">
        <f>IF(B194="","",YEAR(B194))</f>
        <v/>
      </c>
    </row>
    <row r="195">
      <c r="B195" s="37" t="n"/>
      <c r="C195" s="31" t="n"/>
      <c r="D195" s="31" t="n"/>
      <c r="E195" s="31" t="n"/>
      <c r="F195" s="31" t="n"/>
      <c r="G195" s="31" t="n"/>
      <c r="H195" s="33" t="n"/>
      <c r="I195" s="32" t="n"/>
      <c r="J195" s="22">
        <f>IF(H195="","",ROUND(H195*N(I195)/100,2))</f>
        <v/>
      </c>
      <c r="K195" s="30" t="n"/>
      <c r="L195" s="32" t="n"/>
      <c r="M195" s="22">
        <f>IF(H195="","",IF(K195="No",0,H195*N(I195)/100*IF(L195="",100,L195)/100))</f>
        <v/>
      </c>
      <c r="N195" s="22">
        <f>IF(H195="","",H195*IF(L195="",100,L195)/100+IF(K195="No",H195*N(I195)/100*IF(L195="",100,L195)/100,0))</f>
        <v/>
      </c>
      <c r="O195" s="35">
        <f>IF(B195="","",ROUNDUP(MONTH(B195)/3,0))</f>
        <v/>
      </c>
      <c r="P195" s="35">
        <f>IF(B195="","",YEAR(B195))</f>
        <v/>
      </c>
    </row>
    <row r="196">
      <c r="B196" s="37" t="n"/>
      <c r="C196" s="31" t="n"/>
      <c r="D196" s="31" t="n"/>
      <c r="E196" s="31" t="n"/>
      <c r="F196" s="31" t="n"/>
      <c r="G196" s="31" t="n"/>
      <c r="H196" s="33" t="n"/>
      <c r="I196" s="32" t="n"/>
      <c r="J196" s="22">
        <f>IF(H196="","",ROUND(H196*N(I196)/100,2))</f>
        <v/>
      </c>
      <c r="K196" s="30" t="n"/>
      <c r="L196" s="32" t="n"/>
      <c r="M196" s="22">
        <f>IF(H196="","",IF(K196="No",0,H196*N(I196)/100*IF(L196="",100,L196)/100))</f>
        <v/>
      </c>
      <c r="N196" s="22">
        <f>IF(H196="","",H196*IF(L196="",100,L196)/100+IF(K196="No",H196*N(I196)/100*IF(L196="",100,L196)/100,0))</f>
        <v/>
      </c>
      <c r="O196" s="35">
        <f>IF(B196="","",ROUNDUP(MONTH(B196)/3,0))</f>
        <v/>
      </c>
      <c r="P196" s="35">
        <f>IF(B196="","",YEAR(B196))</f>
        <v/>
      </c>
    </row>
    <row r="197">
      <c r="B197" s="37" t="n"/>
      <c r="C197" s="31" t="n"/>
      <c r="D197" s="31" t="n"/>
      <c r="E197" s="31" t="n"/>
      <c r="F197" s="31" t="n"/>
      <c r="G197" s="31" t="n"/>
      <c r="H197" s="33" t="n"/>
      <c r="I197" s="32" t="n"/>
      <c r="J197" s="22">
        <f>IF(H197="","",ROUND(H197*N(I197)/100,2))</f>
        <v/>
      </c>
      <c r="K197" s="30" t="n"/>
      <c r="L197" s="32" t="n"/>
      <c r="M197" s="22">
        <f>IF(H197="","",IF(K197="No",0,H197*N(I197)/100*IF(L197="",100,L197)/100))</f>
        <v/>
      </c>
      <c r="N197" s="22">
        <f>IF(H197="","",H197*IF(L197="",100,L197)/100+IF(K197="No",H197*N(I197)/100*IF(L197="",100,L197)/100,0))</f>
        <v/>
      </c>
      <c r="O197" s="35">
        <f>IF(B197="","",ROUNDUP(MONTH(B197)/3,0))</f>
        <v/>
      </c>
      <c r="P197" s="35">
        <f>IF(B197="","",YEAR(B197))</f>
        <v/>
      </c>
    </row>
    <row r="198">
      <c r="B198" s="37" t="n"/>
      <c r="C198" s="31" t="n"/>
      <c r="D198" s="31" t="n"/>
      <c r="E198" s="31" t="n"/>
      <c r="F198" s="31" t="n"/>
      <c r="G198" s="31" t="n"/>
      <c r="H198" s="33" t="n"/>
      <c r="I198" s="32" t="n"/>
      <c r="J198" s="22">
        <f>IF(H198="","",ROUND(H198*N(I198)/100,2))</f>
        <v/>
      </c>
      <c r="K198" s="30" t="n"/>
      <c r="L198" s="32" t="n"/>
      <c r="M198" s="22">
        <f>IF(H198="","",IF(K198="No",0,H198*N(I198)/100*IF(L198="",100,L198)/100))</f>
        <v/>
      </c>
      <c r="N198" s="22">
        <f>IF(H198="","",H198*IF(L198="",100,L198)/100+IF(K198="No",H198*N(I198)/100*IF(L198="",100,L198)/100,0))</f>
        <v/>
      </c>
      <c r="O198" s="35">
        <f>IF(B198="","",ROUNDUP(MONTH(B198)/3,0))</f>
        <v/>
      </c>
      <c r="P198" s="35">
        <f>IF(B198="","",YEAR(B198))</f>
        <v/>
      </c>
    </row>
    <row r="199">
      <c r="B199" s="37" t="n"/>
      <c r="C199" s="31" t="n"/>
      <c r="D199" s="31" t="n"/>
      <c r="E199" s="31" t="n"/>
      <c r="F199" s="31" t="n"/>
      <c r="G199" s="31" t="n"/>
      <c r="H199" s="33" t="n"/>
      <c r="I199" s="32" t="n"/>
      <c r="J199" s="22">
        <f>IF(H199="","",ROUND(H199*N(I199)/100,2))</f>
        <v/>
      </c>
      <c r="K199" s="30" t="n"/>
      <c r="L199" s="32" t="n"/>
      <c r="M199" s="22">
        <f>IF(H199="","",IF(K199="No",0,H199*N(I199)/100*IF(L199="",100,L199)/100))</f>
        <v/>
      </c>
      <c r="N199" s="22">
        <f>IF(H199="","",H199*IF(L199="",100,L199)/100+IF(K199="No",H199*N(I199)/100*IF(L199="",100,L199)/100,0))</f>
        <v/>
      </c>
      <c r="O199" s="35">
        <f>IF(B199="","",ROUNDUP(MONTH(B199)/3,0))</f>
        <v/>
      </c>
      <c r="P199" s="35">
        <f>IF(B199="","",YEAR(B199))</f>
        <v/>
      </c>
    </row>
    <row r="200">
      <c r="B200" s="37" t="n"/>
      <c r="C200" s="31" t="n"/>
      <c r="D200" s="31" t="n"/>
      <c r="E200" s="31" t="n"/>
      <c r="F200" s="31" t="n"/>
      <c r="G200" s="31" t="n"/>
      <c r="H200" s="33" t="n"/>
      <c r="I200" s="32" t="n"/>
      <c r="J200" s="22">
        <f>IF(H200="","",ROUND(H200*N(I200)/100,2))</f>
        <v/>
      </c>
      <c r="K200" s="30" t="n"/>
      <c r="L200" s="32" t="n"/>
      <c r="M200" s="22">
        <f>IF(H200="","",IF(K200="No",0,H200*N(I200)/100*IF(L200="",100,L200)/100))</f>
        <v/>
      </c>
      <c r="N200" s="22">
        <f>IF(H200="","",H200*IF(L200="",100,L200)/100+IF(K200="No",H200*N(I200)/100*IF(L200="",100,L200)/100,0))</f>
        <v/>
      </c>
      <c r="O200" s="35">
        <f>IF(B200="","",ROUNDUP(MONTH(B200)/3,0))</f>
        <v/>
      </c>
      <c r="P200" s="35">
        <f>IF(B200="","",YEAR(B200))</f>
        <v/>
      </c>
    </row>
    <row r="201">
      <c r="B201" s="37" t="n"/>
      <c r="C201" s="31" t="n"/>
      <c r="D201" s="31" t="n"/>
      <c r="E201" s="31" t="n"/>
      <c r="F201" s="31" t="n"/>
      <c r="G201" s="31" t="n"/>
      <c r="H201" s="33" t="n"/>
      <c r="I201" s="32" t="n"/>
      <c r="J201" s="22">
        <f>IF(H201="","",ROUND(H201*N(I201)/100,2))</f>
        <v/>
      </c>
      <c r="K201" s="30" t="n"/>
      <c r="L201" s="32" t="n"/>
      <c r="M201" s="22">
        <f>IF(H201="","",IF(K201="No",0,H201*N(I201)/100*IF(L201="",100,L201)/100))</f>
        <v/>
      </c>
      <c r="N201" s="22">
        <f>IF(H201="","",H201*IF(L201="",100,L201)/100+IF(K201="No",H201*N(I201)/100*IF(L201="",100,L201)/100,0))</f>
        <v/>
      </c>
      <c r="O201" s="35">
        <f>IF(B201="","",ROUNDUP(MONTH(B201)/3,0))</f>
        <v/>
      </c>
      <c r="P201" s="35">
        <f>IF(B201="","",YEAR(B201))</f>
        <v/>
      </c>
    </row>
    <row r="202">
      <c r="B202" s="37" t="n"/>
      <c r="C202" s="31" t="n"/>
      <c r="D202" s="31" t="n"/>
      <c r="E202" s="31" t="n"/>
      <c r="F202" s="31" t="n"/>
      <c r="G202" s="31" t="n"/>
      <c r="H202" s="33" t="n"/>
      <c r="I202" s="32" t="n"/>
      <c r="J202" s="22">
        <f>IF(H202="","",ROUND(H202*N(I202)/100,2))</f>
        <v/>
      </c>
      <c r="K202" s="30" t="n"/>
      <c r="L202" s="32" t="n"/>
      <c r="M202" s="22">
        <f>IF(H202="","",IF(K202="No",0,H202*N(I202)/100*IF(L202="",100,L202)/100))</f>
        <v/>
      </c>
      <c r="N202" s="22">
        <f>IF(H202="","",H202*IF(L202="",100,L202)/100+IF(K202="No",H202*N(I202)/100*IF(L202="",100,L202)/100,0))</f>
        <v/>
      </c>
      <c r="O202" s="35">
        <f>IF(B202="","",ROUNDUP(MONTH(B202)/3,0))</f>
        <v/>
      </c>
      <c r="P202" s="35">
        <f>IF(B202="","",YEAR(B202))</f>
        <v/>
      </c>
    </row>
    <row r="203">
      <c r="B203" s="37" t="n"/>
      <c r="C203" s="31" t="n"/>
      <c r="D203" s="31" t="n"/>
      <c r="E203" s="31" t="n"/>
      <c r="F203" s="31" t="n"/>
      <c r="G203" s="31" t="n"/>
      <c r="H203" s="33" t="n"/>
      <c r="I203" s="32" t="n"/>
      <c r="J203" s="22">
        <f>IF(H203="","",ROUND(H203*N(I203)/100,2))</f>
        <v/>
      </c>
      <c r="K203" s="30" t="n"/>
      <c r="L203" s="32" t="n"/>
      <c r="M203" s="22">
        <f>IF(H203="","",IF(K203="No",0,H203*N(I203)/100*IF(L203="",100,L203)/100))</f>
        <v/>
      </c>
      <c r="N203" s="22">
        <f>IF(H203="","",H203*IF(L203="",100,L203)/100+IF(K203="No",H203*N(I203)/100*IF(L203="",100,L203)/100,0))</f>
        <v/>
      </c>
      <c r="O203" s="35">
        <f>IF(B203="","",ROUNDUP(MONTH(B203)/3,0))</f>
        <v/>
      </c>
      <c r="P203" s="35">
        <f>IF(B203="","",YEAR(B203))</f>
        <v/>
      </c>
    </row>
    <row r="204">
      <c r="B204" s="37" t="n"/>
      <c r="C204" s="31" t="n"/>
      <c r="D204" s="31" t="n"/>
      <c r="E204" s="31" t="n"/>
      <c r="F204" s="31" t="n"/>
      <c r="G204" s="31" t="n"/>
      <c r="H204" s="33" t="n"/>
      <c r="I204" s="32" t="n"/>
      <c r="J204" s="22">
        <f>IF(H204="","",ROUND(H204*N(I204)/100,2))</f>
        <v/>
      </c>
      <c r="K204" s="30" t="n"/>
      <c r="L204" s="32" t="n"/>
      <c r="M204" s="22">
        <f>IF(H204="","",IF(K204="No",0,H204*N(I204)/100*IF(L204="",100,L204)/100))</f>
        <v/>
      </c>
      <c r="N204" s="22">
        <f>IF(H204="","",H204*IF(L204="",100,L204)/100+IF(K204="No",H204*N(I204)/100*IF(L204="",100,L204)/100,0))</f>
        <v/>
      </c>
      <c r="O204" s="35">
        <f>IF(B204="","",ROUNDUP(MONTH(B204)/3,0))</f>
        <v/>
      </c>
      <c r="P204" s="35">
        <f>IF(B204="","",YEAR(B204))</f>
        <v/>
      </c>
    </row>
    <row r="205">
      <c r="B205" s="37" t="n"/>
      <c r="C205" s="31" t="n"/>
      <c r="D205" s="31" t="n"/>
      <c r="E205" s="31" t="n"/>
      <c r="F205" s="31" t="n"/>
      <c r="G205" s="31" t="n"/>
      <c r="H205" s="33" t="n"/>
      <c r="I205" s="32" t="n"/>
      <c r="J205" s="22">
        <f>IF(H205="","",ROUND(H205*N(I205)/100,2))</f>
        <v/>
      </c>
      <c r="K205" s="30" t="n"/>
      <c r="L205" s="32" t="n"/>
      <c r="M205" s="22">
        <f>IF(H205="","",IF(K205="No",0,H205*N(I205)/100*IF(L205="",100,L205)/100))</f>
        <v/>
      </c>
      <c r="N205" s="22">
        <f>IF(H205="","",H205*IF(L205="",100,L205)/100+IF(K205="No",H205*N(I205)/100*IF(L205="",100,L205)/100,0))</f>
        <v/>
      </c>
      <c r="O205" s="35">
        <f>IF(B205="","",ROUNDUP(MONTH(B205)/3,0))</f>
        <v/>
      </c>
      <c r="P205" s="35">
        <f>IF(B205="","",YEAR(B205))</f>
        <v/>
      </c>
    </row>
    <row r="206">
      <c r="B206" s="37" t="n"/>
      <c r="C206" s="31" t="n"/>
      <c r="D206" s="31" t="n"/>
      <c r="E206" s="31" t="n"/>
      <c r="F206" s="31" t="n"/>
      <c r="G206" s="31" t="n"/>
      <c r="H206" s="33" t="n"/>
      <c r="I206" s="32" t="n"/>
      <c r="J206" s="22">
        <f>IF(H206="","",ROUND(H206*N(I206)/100,2))</f>
        <v/>
      </c>
      <c r="K206" s="30" t="n"/>
      <c r="L206" s="32" t="n"/>
      <c r="M206" s="22">
        <f>IF(H206="","",IF(K206="No",0,H206*N(I206)/100*IF(L206="",100,L206)/100))</f>
        <v/>
      </c>
      <c r="N206" s="22">
        <f>IF(H206="","",H206*IF(L206="",100,L206)/100+IF(K206="No",H206*N(I206)/100*IF(L206="",100,L206)/100,0))</f>
        <v/>
      </c>
      <c r="O206" s="35">
        <f>IF(B206="","",ROUNDUP(MONTH(B206)/3,0))</f>
        <v/>
      </c>
      <c r="P206" s="35">
        <f>IF(B206="","",YEAR(B206))</f>
        <v/>
      </c>
    </row>
    <row r="207">
      <c r="B207" s="37" t="n"/>
      <c r="C207" s="31" t="n"/>
      <c r="D207" s="31" t="n"/>
      <c r="E207" s="31" t="n"/>
      <c r="F207" s="31" t="n"/>
      <c r="G207" s="31" t="n"/>
      <c r="H207" s="33" t="n"/>
      <c r="I207" s="32" t="n"/>
      <c r="J207" s="22">
        <f>IF(H207="","",ROUND(H207*N(I207)/100,2))</f>
        <v/>
      </c>
      <c r="K207" s="30" t="n"/>
      <c r="L207" s="32" t="n"/>
      <c r="M207" s="22">
        <f>IF(H207="","",IF(K207="No",0,H207*N(I207)/100*IF(L207="",100,L207)/100))</f>
        <v/>
      </c>
      <c r="N207" s="22">
        <f>IF(H207="","",H207*IF(L207="",100,L207)/100+IF(K207="No",H207*N(I207)/100*IF(L207="",100,L207)/100,0))</f>
        <v/>
      </c>
      <c r="O207" s="35">
        <f>IF(B207="","",ROUNDUP(MONTH(B207)/3,0))</f>
        <v/>
      </c>
      <c r="P207" s="35">
        <f>IF(B207="","",YEAR(B207))</f>
        <v/>
      </c>
    </row>
    <row r="208">
      <c r="B208" s="37" t="n"/>
      <c r="C208" s="31" t="n"/>
      <c r="D208" s="31" t="n"/>
      <c r="E208" s="31" t="n"/>
      <c r="F208" s="31" t="n"/>
      <c r="G208" s="31" t="n"/>
      <c r="H208" s="33" t="n"/>
      <c r="I208" s="32" t="n"/>
      <c r="J208" s="22">
        <f>IF(H208="","",ROUND(H208*N(I208)/100,2))</f>
        <v/>
      </c>
      <c r="K208" s="30" t="n"/>
      <c r="L208" s="32" t="n"/>
      <c r="M208" s="22">
        <f>IF(H208="","",IF(K208="No",0,H208*N(I208)/100*IF(L208="",100,L208)/100))</f>
        <v/>
      </c>
      <c r="N208" s="22">
        <f>IF(H208="","",H208*IF(L208="",100,L208)/100+IF(K208="No",H208*N(I208)/100*IF(L208="",100,L208)/100,0))</f>
        <v/>
      </c>
      <c r="O208" s="35">
        <f>IF(B208="","",ROUNDUP(MONTH(B208)/3,0))</f>
        <v/>
      </c>
      <c r="P208" s="35">
        <f>IF(B208="","",YEAR(B208))</f>
        <v/>
      </c>
    </row>
    <row r="209">
      <c r="B209" s="37" t="n"/>
      <c r="C209" s="31" t="n"/>
      <c r="D209" s="31" t="n"/>
      <c r="E209" s="31" t="n"/>
      <c r="F209" s="31" t="n"/>
      <c r="G209" s="31" t="n"/>
      <c r="H209" s="33" t="n"/>
      <c r="I209" s="32" t="n"/>
      <c r="J209" s="22">
        <f>IF(H209="","",ROUND(H209*N(I209)/100,2))</f>
        <v/>
      </c>
      <c r="K209" s="30" t="n"/>
      <c r="L209" s="32" t="n"/>
      <c r="M209" s="22">
        <f>IF(H209="","",IF(K209="No",0,H209*N(I209)/100*IF(L209="",100,L209)/100))</f>
        <v/>
      </c>
      <c r="N209" s="22">
        <f>IF(H209="","",H209*IF(L209="",100,L209)/100+IF(K209="No",H209*N(I209)/100*IF(L209="",100,L209)/100,0))</f>
        <v/>
      </c>
      <c r="O209" s="35">
        <f>IF(B209="","",ROUNDUP(MONTH(B209)/3,0))</f>
        <v/>
      </c>
      <c r="P209" s="35">
        <f>IF(B209="","",YEAR(B209))</f>
        <v/>
      </c>
    </row>
    <row r="210">
      <c r="B210" s="37" t="n"/>
      <c r="C210" s="31" t="n"/>
      <c r="D210" s="31" t="n"/>
      <c r="E210" s="31" t="n"/>
      <c r="F210" s="31" t="n"/>
      <c r="G210" s="31" t="n"/>
      <c r="H210" s="33" t="n"/>
      <c r="I210" s="32" t="n"/>
      <c r="J210" s="22">
        <f>IF(H210="","",ROUND(H210*N(I210)/100,2))</f>
        <v/>
      </c>
      <c r="K210" s="30" t="n"/>
      <c r="L210" s="32" t="n"/>
      <c r="M210" s="22">
        <f>IF(H210="","",IF(K210="No",0,H210*N(I210)/100*IF(L210="",100,L210)/100))</f>
        <v/>
      </c>
      <c r="N210" s="22">
        <f>IF(H210="","",H210*IF(L210="",100,L210)/100+IF(K210="No",H210*N(I210)/100*IF(L210="",100,L210)/100,0))</f>
        <v/>
      </c>
      <c r="O210" s="35">
        <f>IF(B210="","",ROUNDUP(MONTH(B210)/3,0))</f>
        <v/>
      </c>
      <c r="P210" s="35">
        <f>IF(B210="","",YEAR(B210))</f>
        <v/>
      </c>
    </row>
    <row r="211">
      <c r="B211" s="37" t="n"/>
      <c r="C211" s="31" t="n"/>
      <c r="D211" s="31" t="n"/>
      <c r="E211" s="31" t="n"/>
      <c r="F211" s="31" t="n"/>
      <c r="G211" s="31" t="n"/>
      <c r="H211" s="33" t="n"/>
      <c r="I211" s="32" t="n"/>
      <c r="J211" s="22">
        <f>IF(H211="","",ROUND(H211*N(I211)/100,2))</f>
        <v/>
      </c>
      <c r="K211" s="30" t="n"/>
      <c r="L211" s="32" t="n"/>
      <c r="M211" s="22">
        <f>IF(H211="","",IF(K211="No",0,H211*N(I211)/100*IF(L211="",100,L211)/100))</f>
        <v/>
      </c>
      <c r="N211" s="22">
        <f>IF(H211="","",H211*IF(L211="",100,L211)/100+IF(K211="No",H211*N(I211)/100*IF(L211="",100,L211)/100,0))</f>
        <v/>
      </c>
      <c r="O211" s="35">
        <f>IF(B211="","",ROUNDUP(MONTH(B211)/3,0))</f>
        <v/>
      </c>
      <c r="P211" s="35">
        <f>IF(B211="","",YEAR(B211))</f>
        <v/>
      </c>
    </row>
    <row r="212">
      <c r="B212" s="37" t="n"/>
      <c r="C212" s="31" t="n"/>
      <c r="D212" s="31" t="n"/>
      <c r="E212" s="31" t="n"/>
      <c r="F212" s="31" t="n"/>
      <c r="G212" s="31" t="n"/>
      <c r="H212" s="33" t="n"/>
      <c r="I212" s="32" t="n"/>
      <c r="J212" s="22">
        <f>IF(H212="","",ROUND(H212*N(I212)/100,2))</f>
        <v/>
      </c>
      <c r="K212" s="30" t="n"/>
      <c r="L212" s="32" t="n"/>
      <c r="M212" s="22">
        <f>IF(H212="","",IF(K212="No",0,H212*N(I212)/100*IF(L212="",100,L212)/100))</f>
        <v/>
      </c>
      <c r="N212" s="22">
        <f>IF(H212="","",H212*IF(L212="",100,L212)/100+IF(K212="No",H212*N(I212)/100*IF(L212="",100,L212)/100,0))</f>
        <v/>
      </c>
      <c r="O212" s="35">
        <f>IF(B212="","",ROUNDUP(MONTH(B212)/3,0))</f>
        <v/>
      </c>
      <c r="P212" s="35">
        <f>IF(B212="","",YEAR(B212))</f>
        <v/>
      </c>
    </row>
    <row r="213">
      <c r="B213" s="37" t="n"/>
      <c r="C213" s="31" t="n"/>
      <c r="D213" s="31" t="n"/>
      <c r="E213" s="31" t="n"/>
      <c r="F213" s="31" t="n"/>
      <c r="G213" s="31" t="n"/>
      <c r="H213" s="33" t="n"/>
      <c r="I213" s="32" t="n"/>
      <c r="J213" s="22">
        <f>IF(H213="","",ROUND(H213*N(I213)/100,2))</f>
        <v/>
      </c>
      <c r="K213" s="30" t="n"/>
      <c r="L213" s="32" t="n"/>
      <c r="M213" s="22">
        <f>IF(H213="","",IF(K213="No",0,H213*N(I213)/100*IF(L213="",100,L213)/100))</f>
        <v/>
      </c>
      <c r="N213" s="22">
        <f>IF(H213="","",H213*IF(L213="",100,L213)/100+IF(K213="No",H213*N(I213)/100*IF(L213="",100,L213)/100,0))</f>
        <v/>
      </c>
      <c r="O213" s="35">
        <f>IF(B213="","",ROUNDUP(MONTH(B213)/3,0))</f>
        <v/>
      </c>
      <c r="P213" s="35">
        <f>IF(B213="","",YEAR(B213))</f>
        <v/>
      </c>
    </row>
    <row r="214">
      <c r="B214" s="37" t="n"/>
      <c r="C214" s="31" t="n"/>
      <c r="D214" s="31" t="n"/>
      <c r="E214" s="31" t="n"/>
      <c r="F214" s="31" t="n"/>
      <c r="G214" s="31" t="n"/>
      <c r="H214" s="33" t="n"/>
      <c r="I214" s="32" t="n"/>
      <c r="J214" s="22">
        <f>IF(H214="","",ROUND(H214*N(I214)/100,2))</f>
        <v/>
      </c>
      <c r="K214" s="30" t="n"/>
      <c r="L214" s="32" t="n"/>
      <c r="M214" s="22">
        <f>IF(H214="","",IF(K214="No",0,H214*N(I214)/100*IF(L214="",100,L214)/100))</f>
        <v/>
      </c>
      <c r="N214" s="22">
        <f>IF(H214="","",H214*IF(L214="",100,L214)/100+IF(K214="No",H214*N(I214)/100*IF(L214="",100,L214)/100,0))</f>
        <v/>
      </c>
      <c r="O214" s="35">
        <f>IF(B214="","",ROUNDUP(MONTH(B214)/3,0))</f>
        <v/>
      </c>
      <c r="P214" s="35">
        <f>IF(B214="","",YEAR(B214))</f>
        <v/>
      </c>
    </row>
    <row r="215">
      <c r="B215" s="37" t="n"/>
      <c r="C215" s="31" t="n"/>
      <c r="D215" s="31" t="n"/>
      <c r="E215" s="31" t="n"/>
      <c r="F215" s="31" t="n"/>
      <c r="G215" s="31" t="n"/>
      <c r="H215" s="33" t="n"/>
      <c r="I215" s="32" t="n"/>
      <c r="J215" s="22">
        <f>IF(H215="","",ROUND(H215*N(I215)/100,2))</f>
        <v/>
      </c>
      <c r="K215" s="30" t="n"/>
      <c r="L215" s="32" t="n"/>
      <c r="M215" s="22">
        <f>IF(H215="","",IF(K215="No",0,H215*N(I215)/100*IF(L215="",100,L215)/100))</f>
        <v/>
      </c>
      <c r="N215" s="22">
        <f>IF(H215="","",H215*IF(L215="",100,L215)/100+IF(K215="No",H215*N(I215)/100*IF(L215="",100,L215)/100,0))</f>
        <v/>
      </c>
      <c r="O215" s="35">
        <f>IF(B215="","",ROUNDUP(MONTH(B215)/3,0))</f>
        <v/>
      </c>
      <c r="P215" s="35">
        <f>IF(B215="","",YEAR(B215))</f>
        <v/>
      </c>
    </row>
    <row r="216">
      <c r="B216" s="37" t="n"/>
      <c r="C216" s="31" t="n"/>
      <c r="D216" s="31" t="n"/>
      <c r="E216" s="31" t="n"/>
      <c r="F216" s="31" t="n"/>
      <c r="G216" s="31" t="n"/>
      <c r="H216" s="33" t="n"/>
      <c r="I216" s="32" t="n"/>
      <c r="J216" s="22">
        <f>IF(H216="","",ROUND(H216*N(I216)/100,2))</f>
        <v/>
      </c>
      <c r="K216" s="30" t="n"/>
      <c r="L216" s="32" t="n"/>
      <c r="M216" s="22">
        <f>IF(H216="","",IF(K216="No",0,H216*N(I216)/100*IF(L216="",100,L216)/100))</f>
        <v/>
      </c>
      <c r="N216" s="22">
        <f>IF(H216="","",H216*IF(L216="",100,L216)/100+IF(K216="No",H216*N(I216)/100*IF(L216="",100,L216)/100,0))</f>
        <v/>
      </c>
      <c r="O216" s="35">
        <f>IF(B216="","",ROUNDUP(MONTH(B216)/3,0))</f>
        <v/>
      </c>
      <c r="P216" s="35">
        <f>IF(B216="","",YEAR(B216))</f>
        <v/>
      </c>
    </row>
    <row r="217">
      <c r="B217" s="37" t="n"/>
      <c r="C217" s="31" t="n"/>
      <c r="D217" s="31" t="n"/>
      <c r="E217" s="31" t="n"/>
      <c r="F217" s="31" t="n"/>
      <c r="G217" s="31" t="n"/>
      <c r="H217" s="33" t="n"/>
      <c r="I217" s="32" t="n"/>
      <c r="J217" s="22">
        <f>IF(H217="","",ROUND(H217*N(I217)/100,2))</f>
        <v/>
      </c>
      <c r="K217" s="30" t="n"/>
      <c r="L217" s="32" t="n"/>
      <c r="M217" s="22">
        <f>IF(H217="","",IF(K217="No",0,H217*N(I217)/100*IF(L217="",100,L217)/100))</f>
        <v/>
      </c>
      <c r="N217" s="22">
        <f>IF(H217="","",H217*IF(L217="",100,L217)/100+IF(K217="No",H217*N(I217)/100*IF(L217="",100,L217)/100,0))</f>
        <v/>
      </c>
      <c r="O217" s="35">
        <f>IF(B217="","",ROUNDUP(MONTH(B217)/3,0))</f>
        <v/>
      </c>
      <c r="P217" s="35">
        <f>IF(B217="","",YEAR(B217))</f>
        <v/>
      </c>
    </row>
    <row r="218">
      <c r="B218" s="37" t="n"/>
      <c r="C218" s="31" t="n"/>
      <c r="D218" s="31" t="n"/>
      <c r="E218" s="31" t="n"/>
      <c r="F218" s="31" t="n"/>
      <c r="G218" s="31" t="n"/>
      <c r="H218" s="33" t="n"/>
      <c r="I218" s="32" t="n"/>
      <c r="J218" s="22">
        <f>IF(H218="","",ROUND(H218*N(I218)/100,2))</f>
        <v/>
      </c>
      <c r="K218" s="30" t="n"/>
      <c r="L218" s="32" t="n"/>
      <c r="M218" s="22">
        <f>IF(H218="","",IF(K218="No",0,H218*N(I218)/100*IF(L218="",100,L218)/100))</f>
        <v/>
      </c>
      <c r="N218" s="22">
        <f>IF(H218="","",H218*IF(L218="",100,L218)/100+IF(K218="No",H218*N(I218)/100*IF(L218="",100,L218)/100,0))</f>
        <v/>
      </c>
      <c r="O218" s="35">
        <f>IF(B218="","",ROUNDUP(MONTH(B218)/3,0))</f>
        <v/>
      </c>
      <c r="P218" s="35">
        <f>IF(B218="","",YEAR(B218))</f>
        <v/>
      </c>
    </row>
    <row r="219">
      <c r="B219" s="37" t="n"/>
      <c r="C219" s="31" t="n"/>
      <c r="D219" s="31" t="n"/>
      <c r="E219" s="31" t="n"/>
      <c r="F219" s="31" t="n"/>
      <c r="G219" s="31" t="n"/>
      <c r="H219" s="33" t="n"/>
      <c r="I219" s="32" t="n"/>
      <c r="J219" s="22">
        <f>IF(H219="","",ROUND(H219*N(I219)/100,2))</f>
        <v/>
      </c>
      <c r="K219" s="30" t="n"/>
      <c r="L219" s="32" t="n"/>
      <c r="M219" s="22">
        <f>IF(H219="","",IF(K219="No",0,H219*N(I219)/100*IF(L219="",100,L219)/100))</f>
        <v/>
      </c>
      <c r="N219" s="22">
        <f>IF(H219="","",H219*IF(L219="",100,L219)/100+IF(K219="No",H219*N(I219)/100*IF(L219="",100,L219)/100,0))</f>
        <v/>
      </c>
      <c r="O219" s="35">
        <f>IF(B219="","",ROUNDUP(MONTH(B219)/3,0))</f>
        <v/>
      </c>
      <c r="P219" s="35">
        <f>IF(B219="","",YEAR(B219))</f>
        <v/>
      </c>
    </row>
    <row r="220">
      <c r="B220" s="37" t="n"/>
      <c r="C220" s="31" t="n"/>
      <c r="D220" s="31" t="n"/>
      <c r="E220" s="31" t="n"/>
      <c r="F220" s="31" t="n"/>
      <c r="G220" s="31" t="n"/>
      <c r="H220" s="33" t="n"/>
      <c r="I220" s="32" t="n"/>
      <c r="J220" s="22">
        <f>IF(H220="","",ROUND(H220*N(I220)/100,2))</f>
        <v/>
      </c>
      <c r="K220" s="30" t="n"/>
      <c r="L220" s="32" t="n"/>
      <c r="M220" s="22">
        <f>IF(H220="","",IF(K220="No",0,H220*N(I220)/100*IF(L220="",100,L220)/100))</f>
        <v/>
      </c>
      <c r="N220" s="22">
        <f>IF(H220="","",H220*IF(L220="",100,L220)/100+IF(K220="No",H220*N(I220)/100*IF(L220="",100,L220)/100,0))</f>
        <v/>
      </c>
      <c r="O220" s="35">
        <f>IF(B220="","",ROUNDUP(MONTH(B220)/3,0))</f>
        <v/>
      </c>
      <c r="P220" s="35">
        <f>IF(B220="","",YEAR(B220))</f>
        <v/>
      </c>
    </row>
    <row r="221">
      <c r="B221" s="37" t="n"/>
      <c r="C221" s="31" t="n"/>
      <c r="D221" s="31" t="n"/>
      <c r="E221" s="31" t="n"/>
      <c r="F221" s="31" t="n"/>
      <c r="G221" s="31" t="n"/>
      <c r="H221" s="33" t="n"/>
      <c r="I221" s="32" t="n"/>
      <c r="J221" s="22">
        <f>IF(H221="","",ROUND(H221*N(I221)/100,2))</f>
        <v/>
      </c>
      <c r="K221" s="30" t="n"/>
      <c r="L221" s="32" t="n"/>
      <c r="M221" s="22">
        <f>IF(H221="","",IF(K221="No",0,H221*N(I221)/100*IF(L221="",100,L221)/100))</f>
        <v/>
      </c>
      <c r="N221" s="22">
        <f>IF(H221="","",H221*IF(L221="",100,L221)/100+IF(K221="No",H221*N(I221)/100*IF(L221="",100,L221)/100,0))</f>
        <v/>
      </c>
      <c r="O221" s="35">
        <f>IF(B221="","",ROUNDUP(MONTH(B221)/3,0))</f>
        <v/>
      </c>
      <c r="P221" s="35">
        <f>IF(B221="","",YEAR(B221))</f>
        <v/>
      </c>
    </row>
    <row r="222">
      <c r="B222" s="37" t="n"/>
      <c r="C222" s="31" t="n"/>
      <c r="D222" s="31" t="n"/>
      <c r="E222" s="31" t="n"/>
      <c r="F222" s="31" t="n"/>
      <c r="G222" s="31" t="n"/>
      <c r="H222" s="33" t="n"/>
      <c r="I222" s="32" t="n"/>
      <c r="J222" s="22">
        <f>IF(H222="","",ROUND(H222*N(I222)/100,2))</f>
        <v/>
      </c>
      <c r="K222" s="30" t="n"/>
      <c r="L222" s="32" t="n"/>
      <c r="M222" s="22">
        <f>IF(H222="","",IF(K222="No",0,H222*N(I222)/100*IF(L222="",100,L222)/100))</f>
        <v/>
      </c>
      <c r="N222" s="22">
        <f>IF(H222="","",H222*IF(L222="",100,L222)/100+IF(K222="No",H222*N(I222)/100*IF(L222="",100,L222)/100,0))</f>
        <v/>
      </c>
      <c r="O222" s="35">
        <f>IF(B222="","",ROUNDUP(MONTH(B222)/3,0))</f>
        <v/>
      </c>
      <c r="P222" s="35">
        <f>IF(B222="","",YEAR(B222))</f>
        <v/>
      </c>
    </row>
    <row r="223">
      <c r="B223" s="37" t="n"/>
      <c r="C223" s="31" t="n"/>
      <c r="D223" s="31" t="n"/>
      <c r="E223" s="31" t="n"/>
      <c r="F223" s="31" t="n"/>
      <c r="G223" s="31" t="n"/>
      <c r="H223" s="33" t="n"/>
      <c r="I223" s="32" t="n"/>
      <c r="J223" s="22">
        <f>IF(H223="","",ROUND(H223*N(I223)/100,2))</f>
        <v/>
      </c>
      <c r="K223" s="30" t="n"/>
      <c r="L223" s="32" t="n"/>
      <c r="M223" s="22">
        <f>IF(H223="","",IF(K223="No",0,H223*N(I223)/100*IF(L223="",100,L223)/100))</f>
        <v/>
      </c>
      <c r="N223" s="22">
        <f>IF(H223="","",H223*IF(L223="",100,L223)/100+IF(K223="No",H223*N(I223)/100*IF(L223="",100,L223)/100,0))</f>
        <v/>
      </c>
      <c r="O223" s="35">
        <f>IF(B223="","",ROUNDUP(MONTH(B223)/3,0))</f>
        <v/>
      </c>
      <c r="P223" s="35">
        <f>IF(B223="","",YEAR(B223))</f>
        <v/>
      </c>
    </row>
    <row r="224">
      <c r="B224" s="37" t="n"/>
      <c r="C224" s="31" t="n"/>
      <c r="D224" s="31" t="n"/>
      <c r="E224" s="31" t="n"/>
      <c r="F224" s="31" t="n"/>
      <c r="G224" s="31" t="n"/>
      <c r="H224" s="33" t="n"/>
      <c r="I224" s="32" t="n"/>
      <c r="J224" s="22">
        <f>IF(H224="","",ROUND(H224*N(I224)/100,2))</f>
        <v/>
      </c>
      <c r="K224" s="30" t="n"/>
      <c r="L224" s="32" t="n"/>
      <c r="M224" s="22">
        <f>IF(H224="","",IF(K224="No",0,H224*N(I224)/100*IF(L224="",100,L224)/100))</f>
        <v/>
      </c>
      <c r="N224" s="22">
        <f>IF(H224="","",H224*IF(L224="",100,L224)/100+IF(K224="No",H224*N(I224)/100*IF(L224="",100,L224)/100,0))</f>
        <v/>
      </c>
      <c r="O224" s="35">
        <f>IF(B224="","",ROUNDUP(MONTH(B224)/3,0))</f>
        <v/>
      </c>
      <c r="P224" s="35">
        <f>IF(B224="","",YEAR(B224))</f>
        <v/>
      </c>
    </row>
    <row r="225">
      <c r="B225" s="37" t="n"/>
      <c r="C225" s="31" t="n"/>
      <c r="D225" s="31" t="n"/>
      <c r="E225" s="31" t="n"/>
      <c r="F225" s="31" t="n"/>
      <c r="G225" s="31" t="n"/>
      <c r="H225" s="33" t="n"/>
      <c r="I225" s="32" t="n"/>
      <c r="J225" s="22">
        <f>IF(H225="","",ROUND(H225*N(I225)/100,2))</f>
        <v/>
      </c>
      <c r="K225" s="30" t="n"/>
      <c r="L225" s="32" t="n"/>
      <c r="M225" s="22">
        <f>IF(H225="","",IF(K225="No",0,H225*N(I225)/100*IF(L225="",100,L225)/100))</f>
        <v/>
      </c>
      <c r="N225" s="22">
        <f>IF(H225="","",H225*IF(L225="",100,L225)/100+IF(K225="No",H225*N(I225)/100*IF(L225="",100,L225)/100,0))</f>
        <v/>
      </c>
      <c r="O225" s="35">
        <f>IF(B225="","",ROUNDUP(MONTH(B225)/3,0))</f>
        <v/>
      </c>
      <c r="P225" s="35">
        <f>IF(B225="","",YEAR(B225))</f>
        <v/>
      </c>
    </row>
    <row r="226">
      <c r="B226" s="37" t="n"/>
      <c r="C226" s="31" t="n"/>
      <c r="D226" s="31" t="n"/>
      <c r="E226" s="31" t="n"/>
      <c r="F226" s="31" t="n"/>
      <c r="G226" s="31" t="n"/>
      <c r="H226" s="33" t="n"/>
      <c r="I226" s="32" t="n"/>
      <c r="J226" s="22">
        <f>IF(H226="","",ROUND(H226*N(I226)/100,2))</f>
        <v/>
      </c>
      <c r="K226" s="30" t="n"/>
      <c r="L226" s="32" t="n"/>
      <c r="M226" s="22">
        <f>IF(H226="","",IF(K226="No",0,H226*N(I226)/100*IF(L226="",100,L226)/100))</f>
        <v/>
      </c>
      <c r="N226" s="22">
        <f>IF(H226="","",H226*IF(L226="",100,L226)/100+IF(K226="No",H226*N(I226)/100*IF(L226="",100,L226)/100,0))</f>
        <v/>
      </c>
      <c r="O226" s="35">
        <f>IF(B226="","",ROUNDUP(MONTH(B226)/3,0))</f>
        <v/>
      </c>
      <c r="P226" s="35">
        <f>IF(B226="","",YEAR(B226))</f>
        <v/>
      </c>
    </row>
    <row r="227">
      <c r="B227" s="37" t="n"/>
      <c r="C227" s="31" t="n"/>
      <c r="D227" s="31" t="n"/>
      <c r="E227" s="31" t="n"/>
      <c r="F227" s="31" t="n"/>
      <c r="G227" s="31" t="n"/>
      <c r="H227" s="33" t="n"/>
      <c r="I227" s="32" t="n"/>
      <c r="J227" s="22">
        <f>IF(H227="","",ROUND(H227*N(I227)/100,2))</f>
        <v/>
      </c>
      <c r="K227" s="30" t="n"/>
      <c r="L227" s="32" t="n"/>
      <c r="M227" s="22">
        <f>IF(H227="","",IF(K227="No",0,H227*N(I227)/100*IF(L227="",100,L227)/100))</f>
        <v/>
      </c>
      <c r="N227" s="22">
        <f>IF(H227="","",H227*IF(L227="",100,L227)/100+IF(K227="No",H227*N(I227)/100*IF(L227="",100,L227)/100,0))</f>
        <v/>
      </c>
      <c r="O227" s="35">
        <f>IF(B227="","",ROUNDUP(MONTH(B227)/3,0))</f>
        <v/>
      </c>
      <c r="P227" s="35">
        <f>IF(B227="","",YEAR(B227))</f>
        <v/>
      </c>
    </row>
    <row r="228">
      <c r="B228" s="37" t="n"/>
      <c r="C228" s="31" t="n"/>
      <c r="D228" s="31" t="n"/>
      <c r="E228" s="31" t="n"/>
      <c r="F228" s="31" t="n"/>
      <c r="G228" s="31" t="n"/>
      <c r="H228" s="33" t="n"/>
      <c r="I228" s="32" t="n"/>
      <c r="J228" s="22">
        <f>IF(H228="","",ROUND(H228*N(I228)/100,2))</f>
        <v/>
      </c>
      <c r="K228" s="30" t="n"/>
      <c r="L228" s="32" t="n"/>
      <c r="M228" s="22">
        <f>IF(H228="","",IF(K228="No",0,H228*N(I228)/100*IF(L228="",100,L228)/100))</f>
        <v/>
      </c>
      <c r="N228" s="22">
        <f>IF(H228="","",H228*IF(L228="",100,L228)/100+IF(K228="No",H228*N(I228)/100*IF(L228="",100,L228)/100,0))</f>
        <v/>
      </c>
      <c r="O228" s="35">
        <f>IF(B228="","",ROUNDUP(MONTH(B228)/3,0))</f>
        <v/>
      </c>
      <c r="P228" s="35">
        <f>IF(B228="","",YEAR(B228))</f>
        <v/>
      </c>
    </row>
    <row r="229">
      <c r="B229" s="37" t="n"/>
      <c r="C229" s="31" t="n"/>
      <c r="D229" s="31" t="n"/>
      <c r="E229" s="31" t="n"/>
      <c r="F229" s="31" t="n"/>
      <c r="G229" s="31" t="n"/>
      <c r="H229" s="33" t="n"/>
      <c r="I229" s="32" t="n"/>
      <c r="J229" s="22">
        <f>IF(H229="","",ROUND(H229*N(I229)/100,2))</f>
        <v/>
      </c>
      <c r="K229" s="30" t="n"/>
      <c r="L229" s="32" t="n"/>
      <c r="M229" s="22">
        <f>IF(H229="","",IF(K229="No",0,H229*N(I229)/100*IF(L229="",100,L229)/100))</f>
        <v/>
      </c>
      <c r="N229" s="22">
        <f>IF(H229="","",H229*IF(L229="",100,L229)/100+IF(K229="No",H229*N(I229)/100*IF(L229="",100,L229)/100,0))</f>
        <v/>
      </c>
      <c r="O229" s="35">
        <f>IF(B229="","",ROUNDUP(MONTH(B229)/3,0))</f>
        <v/>
      </c>
      <c r="P229" s="35">
        <f>IF(B229="","",YEAR(B229))</f>
        <v/>
      </c>
    </row>
    <row r="230">
      <c r="B230" s="37" t="n"/>
      <c r="C230" s="31" t="n"/>
      <c r="D230" s="31" t="n"/>
      <c r="E230" s="31" t="n"/>
      <c r="F230" s="31" t="n"/>
      <c r="G230" s="31" t="n"/>
      <c r="H230" s="33" t="n"/>
      <c r="I230" s="32" t="n"/>
      <c r="J230" s="22">
        <f>IF(H230="","",ROUND(H230*N(I230)/100,2))</f>
        <v/>
      </c>
      <c r="K230" s="30" t="n"/>
      <c r="L230" s="32" t="n"/>
      <c r="M230" s="22">
        <f>IF(H230="","",IF(K230="No",0,H230*N(I230)/100*IF(L230="",100,L230)/100))</f>
        <v/>
      </c>
      <c r="N230" s="22">
        <f>IF(H230="","",H230*IF(L230="",100,L230)/100+IF(K230="No",H230*N(I230)/100*IF(L230="",100,L230)/100,0))</f>
        <v/>
      </c>
      <c r="O230" s="35">
        <f>IF(B230="","",ROUNDUP(MONTH(B230)/3,0))</f>
        <v/>
      </c>
      <c r="P230" s="35">
        <f>IF(B230="","",YEAR(B230))</f>
        <v/>
      </c>
    </row>
    <row r="231">
      <c r="B231" s="37" t="n"/>
      <c r="C231" s="31" t="n"/>
      <c r="D231" s="31" t="n"/>
      <c r="E231" s="31" t="n"/>
      <c r="F231" s="31" t="n"/>
      <c r="G231" s="31" t="n"/>
      <c r="H231" s="33" t="n"/>
      <c r="I231" s="32" t="n"/>
      <c r="J231" s="22">
        <f>IF(H231="","",ROUND(H231*N(I231)/100,2))</f>
        <v/>
      </c>
      <c r="K231" s="30" t="n"/>
      <c r="L231" s="32" t="n"/>
      <c r="M231" s="22">
        <f>IF(H231="","",IF(K231="No",0,H231*N(I231)/100*IF(L231="",100,L231)/100))</f>
        <v/>
      </c>
      <c r="N231" s="22">
        <f>IF(H231="","",H231*IF(L231="",100,L231)/100+IF(K231="No",H231*N(I231)/100*IF(L231="",100,L231)/100,0))</f>
        <v/>
      </c>
      <c r="O231" s="35">
        <f>IF(B231="","",ROUNDUP(MONTH(B231)/3,0))</f>
        <v/>
      </c>
      <c r="P231" s="35">
        <f>IF(B231="","",YEAR(B231))</f>
        <v/>
      </c>
    </row>
    <row r="232">
      <c r="B232" s="37" t="n"/>
      <c r="C232" s="31" t="n"/>
      <c r="D232" s="31" t="n"/>
      <c r="E232" s="31" t="n"/>
      <c r="F232" s="31" t="n"/>
      <c r="G232" s="31" t="n"/>
      <c r="H232" s="33" t="n"/>
      <c r="I232" s="32" t="n"/>
      <c r="J232" s="22">
        <f>IF(H232="","",ROUND(H232*N(I232)/100,2))</f>
        <v/>
      </c>
      <c r="K232" s="30" t="n"/>
      <c r="L232" s="32" t="n"/>
      <c r="M232" s="22">
        <f>IF(H232="","",IF(K232="No",0,H232*N(I232)/100*IF(L232="",100,L232)/100))</f>
        <v/>
      </c>
      <c r="N232" s="22">
        <f>IF(H232="","",H232*IF(L232="",100,L232)/100+IF(K232="No",H232*N(I232)/100*IF(L232="",100,L232)/100,0))</f>
        <v/>
      </c>
      <c r="O232" s="35">
        <f>IF(B232="","",ROUNDUP(MONTH(B232)/3,0))</f>
        <v/>
      </c>
      <c r="P232" s="35">
        <f>IF(B232="","",YEAR(B232))</f>
        <v/>
      </c>
    </row>
    <row r="233">
      <c r="B233" s="37" t="n"/>
      <c r="C233" s="31" t="n"/>
      <c r="D233" s="31" t="n"/>
      <c r="E233" s="31" t="n"/>
      <c r="F233" s="31" t="n"/>
      <c r="G233" s="31" t="n"/>
      <c r="H233" s="33" t="n"/>
      <c r="I233" s="32" t="n"/>
      <c r="J233" s="22">
        <f>IF(H233="","",ROUND(H233*N(I233)/100,2))</f>
        <v/>
      </c>
      <c r="K233" s="30" t="n"/>
      <c r="L233" s="32" t="n"/>
      <c r="M233" s="22">
        <f>IF(H233="","",IF(K233="No",0,H233*N(I233)/100*IF(L233="",100,L233)/100))</f>
        <v/>
      </c>
      <c r="N233" s="22">
        <f>IF(H233="","",H233*IF(L233="",100,L233)/100+IF(K233="No",H233*N(I233)/100*IF(L233="",100,L233)/100,0))</f>
        <v/>
      </c>
      <c r="O233" s="35">
        <f>IF(B233="","",ROUNDUP(MONTH(B233)/3,0))</f>
        <v/>
      </c>
      <c r="P233" s="35">
        <f>IF(B233="","",YEAR(B233))</f>
        <v/>
      </c>
    </row>
    <row r="234">
      <c r="B234" s="37" t="n"/>
      <c r="C234" s="31" t="n"/>
      <c r="D234" s="31" t="n"/>
      <c r="E234" s="31" t="n"/>
      <c r="F234" s="31" t="n"/>
      <c r="G234" s="31" t="n"/>
      <c r="H234" s="33" t="n"/>
      <c r="I234" s="32" t="n"/>
      <c r="J234" s="22">
        <f>IF(H234="","",ROUND(H234*N(I234)/100,2))</f>
        <v/>
      </c>
      <c r="K234" s="30" t="n"/>
      <c r="L234" s="32" t="n"/>
      <c r="M234" s="22">
        <f>IF(H234="","",IF(K234="No",0,H234*N(I234)/100*IF(L234="",100,L234)/100))</f>
        <v/>
      </c>
      <c r="N234" s="22">
        <f>IF(H234="","",H234*IF(L234="",100,L234)/100+IF(K234="No",H234*N(I234)/100*IF(L234="",100,L234)/100,0))</f>
        <v/>
      </c>
      <c r="O234" s="35">
        <f>IF(B234="","",ROUNDUP(MONTH(B234)/3,0))</f>
        <v/>
      </c>
      <c r="P234" s="35">
        <f>IF(B234="","",YEAR(B234))</f>
        <v/>
      </c>
    </row>
    <row r="235">
      <c r="B235" s="37" t="n"/>
      <c r="C235" s="31" t="n"/>
      <c r="D235" s="31" t="n"/>
      <c r="E235" s="31" t="n"/>
      <c r="F235" s="31" t="n"/>
      <c r="G235" s="31" t="n"/>
      <c r="H235" s="33" t="n"/>
      <c r="I235" s="32" t="n"/>
      <c r="J235" s="22">
        <f>IF(H235="","",ROUND(H235*N(I235)/100,2))</f>
        <v/>
      </c>
      <c r="K235" s="30" t="n"/>
      <c r="L235" s="32" t="n"/>
      <c r="M235" s="22">
        <f>IF(H235="","",IF(K235="No",0,H235*N(I235)/100*IF(L235="",100,L235)/100))</f>
        <v/>
      </c>
      <c r="N235" s="22">
        <f>IF(H235="","",H235*IF(L235="",100,L235)/100+IF(K235="No",H235*N(I235)/100*IF(L235="",100,L235)/100,0))</f>
        <v/>
      </c>
      <c r="O235" s="35">
        <f>IF(B235="","",ROUNDUP(MONTH(B235)/3,0))</f>
        <v/>
      </c>
      <c r="P235" s="35">
        <f>IF(B235="","",YEAR(B235))</f>
        <v/>
      </c>
    </row>
    <row r="236">
      <c r="B236" s="37" t="n"/>
      <c r="C236" s="31" t="n"/>
      <c r="D236" s="31" t="n"/>
      <c r="E236" s="31" t="n"/>
      <c r="F236" s="31" t="n"/>
      <c r="G236" s="31" t="n"/>
      <c r="H236" s="33" t="n"/>
      <c r="I236" s="32" t="n"/>
      <c r="J236" s="22">
        <f>IF(H236="","",ROUND(H236*N(I236)/100,2))</f>
        <v/>
      </c>
      <c r="K236" s="30" t="n"/>
      <c r="L236" s="32" t="n"/>
      <c r="M236" s="22">
        <f>IF(H236="","",IF(K236="No",0,H236*N(I236)/100*IF(L236="",100,L236)/100))</f>
        <v/>
      </c>
      <c r="N236" s="22">
        <f>IF(H236="","",H236*IF(L236="",100,L236)/100+IF(K236="No",H236*N(I236)/100*IF(L236="",100,L236)/100,0))</f>
        <v/>
      </c>
      <c r="O236" s="35">
        <f>IF(B236="","",ROUNDUP(MONTH(B236)/3,0))</f>
        <v/>
      </c>
      <c r="P236" s="35">
        <f>IF(B236="","",YEAR(B236))</f>
        <v/>
      </c>
    </row>
    <row r="237">
      <c r="B237" s="37" t="n"/>
      <c r="C237" s="31" t="n"/>
      <c r="D237" s="31" t="n"/>
      <c r="E237" s="31" t="n"/>
      <c r="F237" s="31" t="n"/>
      <c r="G237" s="31" t="n"/>
      <c r="H237" s="33" t="n"/>
      <c r="I237" s="32" t="n"/>
      <c r="J237" s="22">
        <f>IF(H237="","",ROUND(H237*N(I237)/100,2))</f>
        <v/>
      </c>
      <c r="K237" s="30" t="n"/>
      <c r="L237" s="32" t="n"/>
      <c r="M237" s="22">
        <f>IF(H237="","",IF(K237="No",0,H237*N(I237)/100*IF(L237="",100,L237)/100))</f>
        <v/>
      </c>
      <c r="N237" s="22">
        <f>IF(H237="","",H237*IF(L237="",100,L237)/100+IF(K237="No",H237*N(I237)/100*IF(L237="",100,L237)/100,0))</f>
        <v/>
      </c>
      <c r="O237" s="35">
        <f>IF(B237="","",ROUNDUP(MONTH(B237)/3,0))</f>
        <v/>
      </c>
      <c r="P237" s="35">
        <f>IF(B237="","",YEAR(B237))</f>
        <v/>
      </c>
    </row>
    <row r="238">
      <c r="B238" s="37" t="n"/>
      <c r="C238" s="31" t="n"/>
      <c r="D238" s="31" t="n"/>
      <c r="E238" s="31" t="n"/>
      <c r="F238" s="31" t="n"/>
      <c r="G238" s="31" t="n"/>
      <c r="H238" s="33" t="n"/>
      <c r="I238" s="32" t="n"/>
      <c r="J238" s="22">
        <f>IF(H238="","",ROUND(H238*N(I238)/100,2))</f>
        <v/>
      </c>
      <c r="K238" s="30" t="n"/>
      <c r="L238" s="32" t="n"/>
      <c r="M238" s="22">
        <f>IF(H238="","",IF(K238="No",0,H238*N(I238)/100*IF(L238="",100,L238)/100))</f>
        <v/>
      </c>
      <c r="N238" s="22">
        <f>IF(H238="","",H238*IF(L238="",100,L238)/100+IF(K238="No",H238*N(I238)/100*IF(L238="",100,L238)/100,0))</f>
        <v/>
      </c>
      <c r="O238" s="35">
        <f>IF(B238="","",ROUNDUP(MONTH(B238)/3,0))</f>
        <v/>
      </c>
      <c r="P238" s="35">
        <f>IF(B238="","",YEAR(B238))</f>
        <v/>
      </c>
    </row>
    <row r="239">
      <c r="B239" s="37" t="n"/>
      <c r="C239" s="31" t="n"/>
      <c r="D239" s="31" t="n"/>
      <c r="E239" s="31" t="n"/>
      <c r="F239" s="31" t="n"/>
      <c r="G239" s="31" t="n"/>
      <c r="H239" s="33" t="n"/>
      <c r="I239" s="32" t="n"/>
      <c r="J239" s="22">
        <f>IF(H239="","",ROUND(H239*N(I239)/100,2))</f>
        <v/>
      </c>
      <c r="K239" s="30" t="n"/>
      <c r="L239" s="32" t="n"/>
      <c r="M239" s="22">
        <f>IF(H239="","",IF(K239="No",0,H239*N(I239)/100*IF(L239="",100,L239)/100))</f>
        <v/>
      </c>
      <c r="N239" s="22">
        <f>IF(H239="","",H239*IF(L239="",100,L239)/100+IF(K239="No",H239*N(I239)/100*IF(L239="",100,L239)/100,0))</f>
        <v/>
      </c>
      <c r="O239" s="35">
        <f>IF(B239="","",ROUNDUP(MONTH(B239)/3,0))</f>
        <v/>
      </c>
      <c r="P239" s="35">
        <f>IF(B239="","",YEAR(B239))</f>
        <v/>
      </c>
    </row>
    <row r="240">
      <c r="B240" s="37" t="n"/>
      <c r="C240" s="31" t="n"/>
      <c r="D240" s="31" t="n"/>
      <c r="E240" s="31" t="n"/>
      <c r="F240" s="31" t="n"/>
      <c r="G240" s="31" t="n"/>
      <c r="H240" s="33" t="n"/>
      <c r="I240" s="32" t="n"/>
      <c r="J240" s="22">
        <f>IF(H240="","",ROUND(H240*N(I240)/100,2))</f>
        <v/>
      </c>
      <c r="K240" s="30" t="n"/>
      <c r="L240" s="32" t="n"/>
      <c r="M240" s="22">
        <f>IF(H240="","",IF(K240="No",0,H240*N(I240)/100*IF(L240="",100,L240)/100))</f>
        <v/>
      </c>
      <c r="N240" s="22">
        <f>IF(H240="","",H240*IF(L240="",100,L240)/100+IF(K240="No",H240*N(I240)/100*IF(L240="",100,L240)/100,0))</f>
        <v/>
      </c>
      <c r="O240" s="35">
        <f>IF(B240="","",ROUNDUP(MONTH(B240)/3,0))</f>
        <v/>
      </c>
      <c r="P240" s="35">
        <f>IF(B240="","",YEAR(B240))</f>
        <v/>
      </c>
    </row>
    <row r="241">
      <c r="B241" s="37" t="n"/>
      <c r="C241" s="31" t="n"/>
      <c r="D241" s="31" t="n"/>
      <c r="E241" s="31" t="n"/>
      <c r="F241" s="31" t="n"/>
      <c r="G241" s="31" t="n"/>
      <c r="H241" s="33" t="n"/>
      <c r="I241" s="32" t="n"/>
      <c r="J241" s="22">
        <f>IF(H241="","",ROUND(H241*N(I241)/100,2))</f>
        <v/>
      </c>
      <c r="K241" s="30" t="n"/>
      <c r="L241" s="32" t="n"/>
      <c r="M241" s="22">
        <f>IF(H241="","",IF(K241="No",0,H241*N(I241)/100*IF(L241="",100,L241)/100))</f>
        <v/>
      </c>
      <c r="N241" s="22">
        <f>IF(H241="","",H241*IF(L241="",100,L241)/100+IF(K241="No",H241*N(I241)/100*IF(L241="",100,L241)/100,0))</f>
        <v/>
      </c>
      <c r="O241" s="35">
        <f>IF(B241="","",ROUNDUP(MONTH(B241)/3,0))</f>
        <v/>
      </c>
      <c r="P241" s="35">
        <f>IF(B241="","",YEAR(B241))</f>
        <v/>
      </c>
    </row>
    <row r="242">
      <c r="B242" s="37" t="n"/>
      <c r="C242" s="31" t="n"/>
      <c r="D242" s="31" t="n"/>
      <c r="E242" s="31" t="n"/>
      <c r="F242" s="31" t="n"/>
      <c r="G242" s="31" t="n"/>
      <c r="H242" s="33" t="n"/>
      <c r="I242" s="32" t="n"/>
      <c r="J242" s="22">
        <f>IF(H242="","",ROUND(H242*N(I242)/100,2))</f>
        <v/>
      </c>
      <c r="K242" s="30" t="n"/>
      <c r="L242" s="32" t="n"/>
      <c r="M242" s="22">
        <f>IF(H242="","",IF(K242="No",0,H242*N(I242)/100*IF(L242="",100,L242)/100))</f>
        <v/>
      </c>
      <c r="N242" s="22">
        <f>IF(H242="","",H242*IF(L242="",100,L242)/100+IF(K242="No",H242*N(I242)/100*IF(L242="",100,L242)/100,0))</f>
        <v/>
      </c>
      <c r="O242" s="35">
        <f>IF(B242="","",ROUNDUP(MONTH(B242)/3,0))</f>
        <v/>
      </c>
      <c r="P242" s="35">
        <f>IF(B242="","",YEAR(B242))</f>
        <v/>
      </c>
    </row>
    <row r="243">
      <c r="B243" s="37" t="n"/>
      <c r="C243" s="31" t="n"/>
      <c r="D243" s="31" t="n"/>
      <c r="E243" s="31" t="n"/>
      <c r="F243" s="31" t="n"/>
      <c r="G243" s="31" t="n"/>
      <c r="H243" s="33" t="n"/>
      <c r="I243" s="32" t="n"/>
      <c r="J243" s="22">
        <f>IF(H243="","",ROUND(H243*N(I243)/100,2))</f>
        <v/>
      </c>
      <c r="K243" s="30" t="n"/>
      <c r="L243" s="32" t="n"/>
      <c r="M243" s="22">
        <f>IF(H243="","",IF(K243="No",0,H243*N(I243)/100*IF(L243="",100,L243)/100))</f>
        <v/>
      </c>
      <c r="N243" s="22">
        <f>IF(H243="","",H243*IF(L243="",100,L243)/100+IF(K243="No",H243*N(I243)/100*IF(L243="",100,L243)/100,0))</f>
        <v/>
      </c>
      <c r="O243" s="35">
        <f>IF(B243="","",ROUNDUP(MONTH(B243)/3,0))</f>
        <v/>
      </c>
      <c r="P243" s="35">
        <f>IF(B243="","",YEAR(B243))</f>
        <v/>
      </c>
    </row>
    <row r="244">
      <c r="B244" s="37" t="n"/>
      <c r="C244" s="31" t="n"/>
      <c r="D244" s="31" t="n"/>
      <c r="E244" s="31" t="n"/>
      <c r="F244" s="31" t="n"/>
      <c r="G244" s="31" t="n"/>
      <c r="H244" s="33" t="n"/>
      <c r="I244" s="32" t="n"/>
      <c r="J244" s="22">
        <f>IF(H244="","",ROUND(H244*N(I244)/100,2))</f>
        <v/>
      </c>
      <c r="K244" s="30" t="n"/>
      <c r="L244" s="32" t="n"/>
      <c r="M244" s="22">
        <f>IF(H244="","",IF(K244="No",0,H244*N(I244)/100*IF(L244="",100,L244)/100))</f>
        <v/>
      </c>
      <c r="N244" s="22">
        <f>IF(H244="","",H244*IF(L244="",100,L244)/100+IF(K244="No",H244*N(I244)/100*IF(L244="",100,L244)/100,0))</f>
        <v/>
      </c>
      <c r="O244" s="35">
        <f>IF(B244="","",ROUNDUP(MONTH(B244)/3,0))</f>
        <v/>
      </c>
      <c r="P244" s="35">
        <f>IF(B244="","",YEAR(B244))</f>
        <v/>
      </c>
    </row>
    <row r="245">
      <c r="B245" s="37" t="n"/>
      <c r="C245" s="31" t="n"/>
      <c r="D245" s="31" t="n"/>
      <c r="E245" s="31" t="n"/>
      <c r="F245" s="31" t="n"/>
      <c r="G245" s="31" t="n"/>
      <c r="H245" s="33" t="n"/>
      <c r="I245" s="32" t="n"/>
      <c r="J245" s="22">
        <f>IF(H245="","",ROUND(H245*N(I245)/100,2))</f>
        <v/>
      </c>
      <c r="K245" s="30" t="n"/>
      <c r="L245" s="32" t="n"/>
      <c r="M245" s="22">
        <f>IF(H245="","",IF(K245="No",0,H245*N(I245)/100*IF(L245="",100,L245)/100))</f>
        <v/>
      </c>
      <c r="N245" s="22">
        <f>IF(H245="","",H245*IF(L245="",100,L245)/100+IF(K245="No",H245*N(I245)/100*IF(L245="",100,L245)/100,0))</f>
        <v/>
      </c>
      <c r="O245" s="35">
        <f>IF(B245="","",ROUNDUP(MONTH(B245)/3,0))</f>
        <v/>
      </c>
      <c r="P245" s="35">
        <f>IF(B245="","",YEAR(B245))</f>
        <v/>
      </c>
    </row>
    <row r="246">
      <c r="B246" s="37" t="n"/>
      <c r="C246" s="31" t="n"/>
      <c r="D246" s="31" t="n"/>
      <c r="E246" s="31" t="n"/>
      <c r="F246" s="31" t="n"/>
      <c r="G246" s="31" t="n"/>
      <c r="H246" s="33" t="n"/>
      <c r="I246" s="32" t="n"/>
      <c r="J246" s="22">
        <f>IF(H246="","",ROUND(H246*N(I246)/100,2))</f>
        <v/>
      </c>
      <c r="K246" s="30" t="n"/>
      <c r="L246" s="32" t="n"/>
      <c r="M246" s="22">
        <f>IF(H246="","",IF(K246="No",0,H246*N(I246)/100*IF(L246="",100,L246)/100))</f>
        <v/>
      </c>
      <c r="N246" s="22">
        <f>IF(H246="","",H246*IF(L246="",100,L246)/100+IF(K246="No",H246*N(I246)/100*IF(L246="",100,L246)/100,0))</f>
        <v/>
      </c>
      <c r="O246" s="35">
        <f>IF(B246="","",ROUNDUP(MONTH(B246)/3,0))</f>
        <v/>
      </c>
      <c r="P246" s="35">
        <f>IF(B246="","",YEAR(B246))</f>
        <v/>
      </c>
    </row>
    <row r="247">
      <c r="B247" s="37" t="n"/>
      <c r="C247" s="31" t="n"/>
      <c r="D247" s="31" t="n"/>
      <c r="E247" s="31" t="n"/>
      <c r="F247" s="31" t="n"/>
      <c r="G247" s="31" t="n"/>
      <c r="H247" s="33" t="n"/>
      <c r="I247" s="32" t="n"/>
      <c r="J247" s="22">
        <f>IF(H247="","",ROUND(H247*N(I247)/100,2))</f>
        <v/>
      </c>
      <c r="K247" s="30" t="n"/>
      <c r="L247" s="32" t="n"/>
      <c r="M247" s="22">
        <f>IF(H247="","",IF(K247="No",0,H247*N(I247)/100*IF(L247="",100,L247)/100))</f>
        <v/>
      </c>
      <c r="N247" s="22">
        <f>IF(H247="","",H247*IF(L247="",100,L247)/100+IF(K247="No",H247*N(I247)/100*IF(L247="",100,L247)/100,0))</f>
        <v/>
      </c>
      <c r="O247" s="35">
        <f>IF(B247="","",ROUNDUP(MONTH(B247)/3,0))</f>
        <v/>
      </c>
      <c r="P247" s="35">
        <f>IF(B247="","",YEAR(B247))</f>
        <v/>
      </c>
    </row>
    <row r="248">
      <c r="B248" s="37" t="n"/>
      <c r="C248" s="31" t="n"/>
      <c r="D248" s="31" t="n"/>
      <c r="E248" s="31" t="n"/>
      <c r="F248" s="31" t="n"/>
      <c r="G248" s="31" t="n"/>
      <c r="H248" s="33" t="n"/>
      <c r="I248" s="32" t="n"/>
      <c r="J248" s="22">
        <f>IF(H248="","",ROUND(H248*N(I248)/100,2))</f>
        <v/>
      </c>
      <c r="K248" s="30" t="n"/>
      <c r="L248" s="32" t="n"/>
      <c r="M248" s="22">
        <f>IF(H248="","",IF(K248="No",0,H248*N(I248)/100*IF(L248="",100,L248)/100))</f>
        <v/>
      </c>
      <c r="N248" s="22">
        <f>IF(H248="","",H248*IF(L248="",100,L248)/100+IF(K248="No",H248*N(I248)/100*IF(L248="",100,L248)/100,0))</f>
        <v/>
      </c>
      <c r="O248" s="35">
        <f>IF(B248="","",ROUNDUP(MONTH(B248)/3,0))</f>
        <v/>
      </c>
      <c r="P248" s="35">
        <f>IF(B248="","",YEAR(B248))</f>
        <v/>
      </c>
    </row>
    <row r="249">
      <c r="B249" s="37" t="n"/>
      <c r="C249" s="31" t="n"/>
      <c r="D249" s="31" t="n"/>
      <c r="E249" s="31" t="n"/>
      <c r="F249" s="31" t="n"/>
      <c r="G249" s="31" t="n"/>
      <c r="H249" s="33" t="n"/>
      <c r="I249" s="32" t="n"/>
      <c r="J249" s="22">
        <f>IF(H249="","",ROUND(H249*N(I249)/100,2))</f>
        <v/>
      </c>
      <c r="K249" s="30" t="n"/>
      <c r="L249" s="32" t="n"/>
      <c r="M249" s="22">
        <f>IF(H249="","",IF(K249="No",0,H249*N(I249)/100*IF(L249="",100,L249)/100))</f>
        <v/>
      </c>
      <c r="N249" s="22">
        <f>IF(H249="","",H249*IF(L249="",100,L249)/100+IF(K249="No",H249*N(I249)/100*IF(L249="",100,L249)/100,0))</f>
        <v/>
      </c>
      <c r="O249" s="35">
        <f>IF(B249="","",ROUNDUP(MONTH(B249)/3,0))</f>
        <v/>
      </c>
      <c r="P249" s="35">
        <f>IF(B249="","",YEAR(B249))</f>
        <v/>
      </c>
    </row>
    <row r="250">
      <c r="B250" s="37" t="n"/>
      <c r="C250" s="31" t="n"/>
      <c r="D250" s="31" t="n"/>
      <c r="E250" s="31" t="n"/>
      <c r="F250" s="31" t="n"/>
      <c r="G250" s="31" t="n"/>
      <c r="H250" s="33" t="n"/>
      <c r="I250" s="32" t="n"/>
      <c r="J250" s="22">
        <f>IF(H250="","",ROUND(H250*N(I250)/100,2))</f>
        <v/>
      </c>
      <c r="K250" s="30" t="n"/>
      <c r="L250" s="32" t="n"/>
      <c r="M250" s="22">
        <f>IF(H250="","",IF(K250="No",0,H250*N(I250)/100*IF(L250="",100,L250)/100))</f>
        <v/>
      </c>
      <c r="N250" s="22">
        <f>IF(H250="","",H250*IF(L250="",100,L250)/100+IF(K250="No",H250*N(I250)/100*IF(L250="",100,L250)/100,0))</f>
        <v/>
      </c>
      <c r="O250" s="35">
        <f>IF(B250="","",ROUNDUP(MONTH(B250)/3,0))</f>
        <v/>
      </c>
      <c r="P250" s="35">
        <f>IF(B250="","",YEAR(B250))</f>
        <v/>
      </c>
    </row>
    <row r="251">
      <c r="B251" s="37" t="n"/>
      <c r="C251" s="31" t="n"/>
      <c r="D251" s="31" t="n"/>
      <c r="E251" s="31" t="n"/>
      <c r="F251" s="31" t="n"/>
      <c r="G251" s="31" t="n"/>
      <c r="H251" s="33" t="n"/>
      <c r="I251" s="32" t="n"/>
      <c r="J251" s="22">
        <f>IF(H251="","",ROUND(H251*N(I251)/100,2))</f>
        <v/>
      </c>
      <c r="K251" s="30" t="n"/>
      <c r="L251" s="32" t="n"/>
      <c r="M251" s="22">
        <f>IF(H251="","",IF(K251="No",0,H251*N(I251)/100*IF(L251="",100,L251)/100))</f>
        <v/>
      </c>
      <c r="N251" s="22">
        <f>IF(H251="","",H251*IF(L251="",100,L251)/100+IF(K251="No",H251*N(I251)/100*IF(L251="",100,L251)/100,0))</f>
        <v/>
      </c>
      <c r="O251" s="35">
        <f>IF(B251="","",ROUNDUP(MONTH(B251)/3,0))</f>
        <v/>
      </c>
      <c r="P251" s="35">
        <f>IF(B251="","",YEAR(B251))</f>
        <v/>
      </c>
    </row>
    <row r="252">
      <c r="B252" s="37" t="n"/>
      <c r="C252" s="31" t="n"/>
      <c r="D252" s="31" t="n"/>
      <c r="E252" s="31" t="n"/>
      <c r="F252" s="31" t="n"/>
      <c r="G252" s="31" t="n"/>
      <c r="H252" s="33" t="n"/>
      <c r="I252" s="32" t="n"/>
      <c r="J252" s="22">
        <f>IF(H252="","",ROUND(H252*N(I252)/100,2))</f>
        <v/>
      </c>
      <c r="K252" s="30" t="n"/>
      <c r="L252" s="32" t="n"/>
      <c r="M252" s="22">
        <f>IF(H252="","",IF(K252="No",0,H252*N(I252)/100*IF(L252="",100,L252)/100))</f>
        <v/>
      </c>
      <c r="N252" s="22">
        <f>IF(H252="","",H252*IF(L252="",100,L252)/100+IF(K252="No",H252*N(I252)/100*IF(L252="",100,L252)/100,0))</f>
        <v/>
      </c>
      <c r="O252" s="35">
        <f>IF(B252="","",ROUNDUP(MONTH(B252)/3,0))</f>
        <v/>
      </c>
      <c r="P252" s="35">
        <f>IF(B252="","",YEAR(B252))</f>
        <v/>
      </c>
    </row>
    <row r="253">
      <c r="B253" s="37" t="n"/>
      <c r="C253" s="31" t="n"/>
      <c r="D253" s="31" t="n"/>
      <c r="E253" s="31" t="n"/>
      <c r="F253" s="31" t="n"/>
      <c r="G253" s="31" t="n"/>
      <c r="H253" s="33" t="n"/>
      <c r="I253" s="32" t="n"/>
      <c r="J253" s="22">
        <f>IF(H253="","",ROUND(H253*N(I253)/100,2))</f>
        <v/>
      </c>
      <c r="K253" s="30" t="n"/>
      <c r="L253" s="32" t="n"/>
      <c r="M253" s="22">
        <f>IF(H253="","",IF(K253="No",0,H253*N(I253)/100*IF(L253="",100,L253)/100))</f>
        <v/>
      </c>
      <c r="N253" s="22">
        <f>IF(H253="","",H253*IF(L253="",100,L253)/100+IF(K253="No",H253*N(I253)/100*IF(L253="",100,L253)/100,0))</f>
        <v/>
      </c>
      <c r="O253" s="35">
        <f>IF(B253="","",ROUNDUP(MONTH(B253)/3,0))</f>
        <v/>
      </c>
      <c r="P253" s="35">
        <f>IF(B253="","",YEAR(B253))</f>
        <v/>
      </c>
    </row>
    <row r="254">
      <c r="B254" s="37" t="n"/>
      <c r="C254" s="31" t="n"/>
      <c r="D254" s="31" t="n"/>
      <c r="E254" s="31" t="n"/>
      <c r="F254" s="31" t="n"/>
      <c r="G254" s="31" t="n"/>
      <c r="H254" s="33" t="n"/>
      <c r="I254" s="32" t="n"/>
      <c r="J254" s="22">
        <f>IF(H254="","",ROUND(H254*N(I254)/100,2))</f>
        <v/>
      </c>
      <c r="K254" s="30" t="n"/>
      <c r="L254" s="32" t="n"/>
      <c r="M254" s="22">
        <f>IF(H254="","",IF(K254="No",0,H254*N(I254)/100*IF(L254="",100,L254)/100))</f>
        <v/>
      </c>
      <c r="N254" s="22">
        <f>IF(H254="","",H254*IF(L254="",100,L254)/100+IF(K254="No",H254*N(I254)/100*IF(L254="",100,L254)/100,0))</f>
        <v/>
      </c>
      <c r="O254" s="35">
        <f>IF(B254="","",ROUNDUP(MONTH(B254)/3,0))</f>
        <v/>
      </c>
      <c r="P254" s="35">
        <f>IF(B254="","",YEAR(B254))</f>
        <v/>
      </c>
    </row>
    <row r="255">
      <c r="B255" s="37" t="n"/>
      <c r="C255" s="31" t="n"/>
      <c r="D255" s="31" t="n"/>
      <c r="E255" s="31" t="n"/>
      <c r="F255" s="31" t="n"/>
      <c r="G255" s="31" t="n"/>
      <c r="H255" s="33" t="n"/>
      <c r="I255" s="32" t="n"/>
      <c r="J255" s="22">
        <f>IF(H255="","",ROUND(H255*N(I255)/100,2))</f>
        <v/>
      </c>
      <c r="K255" s="30" t="n"/>
      <c r="L255" s="32" t="n"/>
      <c r="M255" s="22">
        <f>IF(H255="","",IF(K255="No",0,H255*N(I255)/100*IF(L255="",100,L255)/100))</f>
        <v/>
      </c>
      <c r="N255" s="22">
        <f>IF(H255="","",H255*IF(L255="",100,L255)/100+IF(K255="No",H255*N(I255)/100*IF(L255="",100,L255)/100,0))</f>
        <v/>
      </c>
      <c r="O255" s="35">
        <f>IF(B255="","",ROUNDUP(MONTH(B255)/3,0))</f>
        <v/>
      </c>
      <c r="P255" s="35">
        <f>IF(B255="","",YEAR(B255))</f>
        <v/>
      </c>
    </row>
    <row r="256">
      <c r="B256" s="37" t="n"/>
      <c r="C256" s="31" t="n"/>
      <c r="D256" s="31" t="n"/>
      <c r="E256" s="31" t="n"/>
      <c r="F256" s="31" t="n"/>
      <c r="G256" s="31" t="n"/>
      <c r="H256" s="33" t="n"/>
      <c r="I256" s="32" t="n"/>
      <c r="J256" s="22">
        <f>IF(H256="","",ROUND(H256*N(I256)/100,2))</f>
        <v/>
      </c>
      <c r="K256" s="30" t="n"/>
      <c r="L256" s="32" t="n"/>
      <c r="M256" s="22">
        <f>IF(H256="","",IF(K256="No",0,H256*N(I256)/100*IF(L256="",100,L256)/100))</f>
        <v/>
      </c>
      <c r="N256" s="22">
        <f>IF(H256="","",H256*IF(L256="",100,L256)/100+IF(K256="No",H256*N(I256)/100*IF(L256="",100,L256)/100,0))</f>
        <v/>
      </c>
      <c r="O256" s="35">
        <f>IF(B256="","",ROUNDUP(MONTH(B256)/3,0))</f>
        <v/>
      </c>
      <c r="P256" s="35">
        <f>IF(B256="","",YEAR(B256))</f>
        <v/>
      </c>
    </row>
    <row r="257">
      <c r="B257" s="37" t="n"/>
      <c r="C257" s="31" t="n"/>
      <c r="D257" s="31" t="n"/>
      <c r="E257" s="31" t="n"/>
      <c r="F257" s="31" t="n"/>
      <c r="G257" s="31" t="n"/>
      <c r="H257" s="33" t="n"/>
      <c r="I257" s="32" t="n"/>
      <c r="J257" s="22">
        <f>IF(H257="","",ROUND(H257*N(I257)/100,2))</f>
        <v/>
      </c>
      <c r="K257" s="30" t="n"/>
      <c r="L257" s="32" t="n"/>
      <c r="M257" s="22">
        <f>IF(H257="","",IF(K257="No",0,H257*N(I257)/100*IF(L257="",100,L257)/100))</f>
        <v/>
      </c>
      <c r="N257" s="22">
        <f>IF(H257="","",H257*IF(L257="",100,L257)/100+IF(K257="No",H257*N(I257)/100*IF(L257="",100,L257)/100,0))</f>
        <v/>
      </c>
      <c r="O257" s="35">
        <f>IF(B257="","",ROUNDUP(MONTH(B257)/3,0))</f>
        <v/>
      </c>
      <c r="P257" s="35">
        <f>IF(B257="","",YEAR(B257))</f>
        <v/>
      </c>
    </row>
    <row r="258">
      <c r="B258" s="37" t="n"/>
      <c r="C258" s="31" t="n"/>
      <c r="D258" s="31" t="n"/>
      <c r="E258" s="31" t="n"/>
      <c r="F258" s="31" t="n"/>
      <c r="G258" s="31" t="n"/>
      <c r="H258" s="33" t="n"/>
      <c r="I258" s="32" t="n"/>
      <c r="J258" s="22">
        <f>IF(H258="","",ROUND(H258*N(I258)/100,2))</f>
        <v/>
      </c>
      <c r="K258" s="30" t="n"/>
      <c r="L258" s="32" t="n"/>
      <c r="M258" s="22">
        <f>IF(H258="","",IF(K258="No",0,H258*N(I258)/100*IF(L258="",100,L258)/100))</f>
        <v/>
      </c>
      <c r="N258" s="22">
        <f>IF(H258="","",H258*IF(L258="",100,L258)/100+IF(K258="No",H258*N(I258)/100*IF(L258="",100,L258)/100,0))</f>
        <v/>
      </c>
      <c r="O258" s="35">
        <f>IF(B258="","",ROUNDUP(MONTH(B258)/3,0))</f>
        <v/>
      </c>
      <c r="P258" s="35">
        <f>IF(B258="","",YEAR(B258))</f>
        <v/>
      </c>
    </row>
    <row r="259">
      <c r="B259" s="37" t="n"/>
      <c r="C259" s="31" t="n"/>
      <c r="D259" s="31" t="n"/>
      <c r="E259" s="31" t="n"/>
      <c r="F259" s="31" t="n"/>
      <c r="G259" s="31" t="n"/>
      <c r="H259" s="33" t="n"/>
      <c r="I259" s="32" t="n"/>
      <c r="J259" s="22">
        <f>IF(H259="","",ROUND(H259*N(I259)/100,2))</f>
        <v/>
      </c>
      <c r="K259" s="30" t="n"/>
      <c r="L259" s="32" t="n"/>
      <c r="M259" s="22">
        <f>IF(H259="","",IF(K259="No",0,H259*N(I259)/100*IF(L259="",100,L259)/100))</f>
        <v/>
      </c>
      <c r="N259" s="22">
        <f>IF(H259="","",H259*IF(L259="",100,L259)/100+IF(K259="No",H259*N(I259)/100*IF(L259="",100,L259)/100,0))</f>
        <v/>
      </c>
      <c r="O259" s="35">
        <f>IF(B259="","",ROUNDUP(MONTH(B259)/3,0))</f>
        <v/>
      </c>
      <c r="P259" s="35">
        <f>IF(B259="","",YEAR(B259))</f>
        <v/>
      </c>
    </row>
    <row r="260">
      <c r="B260" s="37" t="n"/>
      <c r="C260" s="31" t="n"/>
      <c r="D260" s="31" t="n"/>
      <c r="E260" s="31" t="n"/>
      <c r="F260" s="31" t="n"/>
      <c r="G260" s="31" t="n"/>
      <c r="H260" s="33" t="n"/>
      <c r="I260" s="32" t="n"/>
      <c r="J260" s="22">
        <f>IF(H260="","",ROUND(H260*N(I260)/100,2))</f>
        <v/>
      </c>
      <c r="K260" s="30" t="n"/>
      <c r="L260" s="32" t="n"/>
      <c r="M260" s="22">
        <f>IF(H260="","",IF(K260="No",0,H260*N(I260)/100*IF(L260="",100,L260)/100))</f>
        <v/>
      </c>
      <c r="N260" s="22">
        <f>IF(H260="","",H260*IF(L260="",100,L260)/100+IF(K260="No",H260*N(I260)/100*IF(L260="",100,L260)/100,0))</f>
        <v/>
      </c>
      <c r="O260" s="35">
        <f>IF(B260="","",ROUNDUP(MONTH(B260)/3,0))</f>
        <v/>
      </c>
      <c r="P260" s="35">
        <f>IF(B260="","",YEAR(B260))</f>
        <v/>
      </c>
    </row>
    <row r="261">
      <c r="B261" s="37" t="n"/>
      <c r="C261" s="31" t="n"/>
      <c r="D261" s="31" t="n"/>
      <c r="E261" s="31" t="n"/>
      <c r="F261" s="31" t="n"/>
      <c r="G261" s="31" t="n"/>
      <c r="H261" s="33" t="n"/>
      <c r="I261" s="32" t="n"/>
      <c r="J261" s="22">
        <f>IF(H261="","",ROUND(H261*N(I261)/100,2))</f>
        <v/>
      </c>
      <c r="K261" s="30" t="n"/>
      <c r="L261" s="32" t="n"/>
      <c r="M261" s="22">
        <f>IF(H261="","",IF(K261="No",0,H261*N(I261)/100*IF(L261="",100,L261)/100))</f>
        <v/>
      </c>
      <c r="N261" s="22">
        <f>IF(H261="","",H261*IF(L261="",100,L261)/100+IF(K261="No",H261*N(I261)/100*IF(L261="",100,L261)/100,0))</f>
        <v/>
      </c>
      <c r="O261" s="35">
        <f>IF(B261="","",ROUNDUP(MONTH(B261)/3,0))</f>
        <v/>
      </c>
      <c r="P261" s="35">
        <f>IF(B261="","",YEAR(B261))</f>
        <v/>
      </c>
    </row>
    <row r="262">
      <c r="B262" s="37" t="n"/>
      <c r="C262" s="31" t="n"/>
      <c r="D262" s="31" t="n"/>
      <c r="E262" s="31" t="n"/>
      <c r="F262" s="31" t="n"/>
      <c r="G262" s="31" t="n"/>
      <c r="H262" s="33" t="n"/>
      <c r="I262" s="32" t="n"/>
      <c r="J262" s="22">
        <f>IF(H262="","",ROUND(H262*N(I262)/100,2))</f>
        <v/>
      </c>
      <c r="K262" s="30" t="n"/>
      <c r="L262" s="32" t="n"/>
      <c r="M262" s="22">
        <f>IF(H262="","",IF(K262="No",0,H262*N(I262)/100*IF(L262="",100,L262)/100))</f>
        <v/>
      </c>
      <c r="N262" s="22">
        <f>IF(H262="","",H262*IF(L262="",100,L262)/100+IF(K262="No",H262*N(I262)/100*IF(L262="",100,L262)/100,0))</f>
        <v/>
      </c>
      <c r="O262" s="35">
        <f>IF(B262="","",ROUNDUP(MONTH(B262)/3,0))</f>
        <v/>
      </c>
      <c r="P262" s="35">
        <f>IF(B262="","",YEAR(B262))</f>
        <v/>
      </c>
    </row>
    <row r="263">
      <c r="B263" s="37" t="n"/>
      <c r="C263" s="31" t="n"/>
      <c r="D263" s="31" t="n"/>
      <c r="E263" s="31" t="n"/>
      <c r="F263" s="31" t="n"/>
      <c r="G263" s="31" t="n"/>
      <c r="H263" s="33" t="n"/>
      <c r="I263" s="32" t="n"/>
      <c r="J263" s="22">
        <f>IF(H263="","",ROUND(H263*N(I263)/100,2))</f>
        <v/>
      </c>
      <c r="K263" s="30" t="n"/>
      <c r="L263" s="32" t="n"/>
      <c r="M263" s="22">
        <f>IF(H263="","",IF(K263="No",0,H263*N(I263)/100*IF(L263="",100,L263)/100))</f>
        <v/>
      </c>
      <c r="N263" s="22">
        <f>IF(H263="","",H263*IF(L263="",100,L263)/100+IF(K263="No",H263*N(I263)/100*IF(L263="",100,L263)/100,0))</f>
        <v/>
      </c>
      <c r="O263" s="35">
        <f>IF(B263="","",ROUNDUP(MONTH(B263)/3,0))</f>
        <v/>
      </c>
      <c r="P263" s="35">
        <f>IF(B263="","",YEAR(B263))</f>
        <v/>
      </c>
    </row>
    <row r="264">
      <c r="B264" s="37" t="n"/>
      <c r="C264" s="31" t="n"/>
      <c r="D264" s="31" t="n"/>
      <c r="E264" s="31" t="n"/>
      <c r="F264" s="31" t="n"/>
      <c r="G264" s="31" t="n"/>
      <c r="H264" s="33" t="n"/>
      <c r="I264" s="32" t="n"/>
      <c r="J264" s="22">
        <f>IF(H264="","",ROUND(H264*N(I264)/100,2))</f>
        <v/>
      </c>
      <c r="K264" s="30" t="n"/>
      <c r="L264" s="32" t="n"/>
      <c r="M264" s="22">
        <f>IF(H264="","",IF(K264="No",0,H264*N(I264)/100*IF(L264="",100,L264)/100))</f>
        <v/>
      </c>
      <c r="N264" s="22">
        <f>IF(H264="","",H264*IF(L264="",100,L264)/100+IF(K264="No",H264*N(I264)/100*IF(L264="",100,L264)/100,0))</f>
        <v/>
      </c>
      <c r="O264" s="35">
        <f>IF(B264="","",ROUNDUP(MONTH(B264)/3,0))</f>
        <v/>
      </c>
      <c r="P264" s="35">
        <f>IF(B264="","",YEAR(B264))</f>
        <v/>
      </c>
    </row>
    <row r="265">
      <c r="B265" s="37" t="n"/>
      <c r="C265" s="31" t="n"/>
      <c r="D265" s="31" t="n"/>
      <c r="E265" s="31" t="n"/>
      <c r="F265" s="31" t="n"/>
      <c r="G265" s="31" t="n"/>
      <c r="H265" s="33" t="n"/>
      <c r="I265" s="32" t="n"/>
      <c r="J265" s="22">
        <f>IF(H265="","",ROUND(H265*N(I265)/100,2))</f>
        <v/>
      </c>
      <c r="K265" s="30" t="n"/>
      <c r="L265" s="32" t="n"/>
      <c r="M265" s="22">
        <f>IF(H265="","",IF(K265="No",0,H265*N(I265)/100*IF(L265="",100,L265)/100))</f>
        <v/>
      </c>
      <c r="N265" s="22">
        <f>IF(H265="","",H265*IF(L265="",100,L265)/100+IF(K265="No",H265*N(I265)/100*IF(L265="",100,L265)/100,0))</f>
        <v/>
      </c>
      <c r="O265" s="35">
        <f>IF(B265="","",ROUNDUP(MONTH(B265)/3,0))</f>
        <v/>
      </c>
      <c r="P265" s="35">
        <f>IF(B265="","",YEAR(B265))</f>
        <v/>
      </c>
    </row>
    <row r="266">
      <c r="B266" s="37" t="n"/>
      <c r="C266" s="31" t="n"/>
      <c r="D266" s="31" t="n"/>
      <c r="E266" s="31" t="n"/>
      <c r="F266" s="31" t="n"/>
      <c r="G266" s="31" t="n"/>
      <c r="H266" s="33" t="n"/>
      <c r="I266" s="32" t="n"/>
      <c r="J266" s="22">
        <f>IF(H266="","",ROUND(H266*N(I266)/100,2))</f>
        <v/>
      </c>
      <c r="K266" s="30" t="n"/>
      <c r="L266" s="32" t="n"/>
      <c r="M266" s="22">
        <f>IF(H266="","",IF(K266="No",0,H266*N(I266)/100*IF(L266="",100,L266)/100))</f>
        <v/>
      </c>
      <c r="N266" s="22">
        <f>IF(H266="","",H266*IF(L266="",100,L266)/100+IF(K266="No",H266*N(I266)/100*IF(L266="",100,L266)/100,0))</f>
        <v/>
      </c>
      <c r="O266" s="35">
        <f>IF(B266="","",ROUNDUP(MONTH(B266)/3,0))</f>
        <v/>
      </c>
      <c r="P266" s="35">
        <f>IF(B266="","",YEAR(B266))</f>
        <v/>
      </c>
    </row>
    <row r="267">
      <c r="B267" s="37" t="n"/>
      <c r="C267" s="31" t="n"/>
      <c r="D267" s="31" t="n"/>
      <c r="E267" s="31" t="n"/>
      <c r="F267" s="31" t="n"/>
      <c r="G267" s="31" t="n"/>
      <c r="H267" s="33" t="n"/>
      <c r="I267" s="32" t="n"/>
      <c r="J267" s="22">
        <f>IF(H267="","",ROUND(H267*N(I267)/100,2))</f>
        <v/>
      </c>
      <c r="K267" s="30" t="n"/>
      <c r="L267" s="32" t="n"/>
      <c r="M267" s="22">
        <f>IF(H267="","",IF(K267="No",0,H267*N(I267)/100*IF(L267="",100,L267)/100))</f>
        <v/>
      </c>
      <c r="N267" s="22">
        <f>IF(H267="","",H267*IF(L267="",100,L267)/100+IF(K267="No",H267*N(I267)/100*IF(L267="",100,L267)/100,0))</f>
        <v/>
      </c>
      <c r="O267" s="35">
        <f>IF(B267="","",ROUNDUP(MONTH(B267)/3,0))</f>
        <v/>
      </c>
      <c r="P267" s="35">
        <f>IF(B267="","",YEAR(B267))</f>
        <v/>
      </c>
    </row>
    <row r="268">
      <c r="B268" s="37" t="n"/>
      <c r="C268" s="31" t="n"/>
      <c r="D268" s="31" t="n"/>
      <c r="E268" s="31" t="n"/>
      <c r="F268" s="31" t="n"/>
      <c r="G268" s="31" t="n"/>
      <c r="H268" s="33" t="n"/>
      <c r="I268" s="32" t="n"/>
      <c r="J268" s="22">
        <f>IF(H268="","",ROUND(H268*N(I268)/100,2))</f>
        <v/>
      </c>
      <c r="K268" s="30" t="n"/>
      <c r="L268" s="32" t="n"/>
      <c r="M268" s="22">
        <f>IF(H268="","",IF(K268="No",0,H268*N(I268)/100*IF(L268="",100,L268)/100))</f>
        <v/>
      </c>
      <c r="N268" s="22">
        <f>IF(H268="","",H268*IF(L268="",100,L268)/100+IF(K268="No",H268*N(I268)/100*IF(L268="",100,L268)/100,0))</f>
        <v/>
      </c>
      <c r="O268" s="35">
        <f>IF(B268="","",ROUNDUP(MONTH(B268)/3,0))</f>
        <v/>
      </c>
      <c r="P268" s="35">
        <f>IF(B268="","",YEAR(B268))</f>
        <v/>
      </c>
    </row>
    <row r="269">
      <c r="B269" s="37" t="n"/>
      <c r="C269" s="31" t="n"/>
      <c r="D269" s="31" t="n"/>
      <c r="E269" s="31" t="n"/>
      <c r="F269" s="31" t="n"/>
      <c r="G269" s="31" t="n"/>
      <c r="H269" s="33" t="n"/>
      <c r="I269" s="32" t="n"/>
      <c r="J269" s="22">
        <f>IF(H269="","",ROUND(H269*N(I269)/100,2))</f>
        <v/>
      </c>
      <c r="K269" s="30" t="n"/>
      <c r="L269" s="32" t="n"/>
      <c r="M269" s="22">
        <f>IF(H269="","",IF(K269="No",0,H269*N(I269)/100*IF(L269="",100,L269)/100))</f>
        <v/>
      </c>
      <c r="N269" s="22">
        <f>IF(H269="","",H269*IF(L269="",100,L269)/100+IF(K269="No",H269*N(I269)/100*IF(L269="",100,L269)/100,0))</f>
        <v/>
      </c>
      <c r="O269" s="35">
        <f>IF(B269="","",ROUNDUP(MONTH(B269)/3,0))</f>
        <v/>
      </c>
      <c r="P269" s="35">
        <f>IF(B269="","",YEAR(B269))</f>
        <v/>
      </c>
    </row>
    <row r="270">
      <c r="B270" s="37" t="n"/>
      <c r="C270" s="31" t="n"/>
      <c r="D270" s="31" t="n"/>
      <c r="E270" s="31" t="n"/>
      <c r="F270" s="31" t="n"/>
      <c r="G270" s="31" t="n"/>
      <c r="H270" s="33" t="n"/>
      <c r="I270" s="32" t="n"/>
      <c r="J270" s="22">
        <f>IF(H270="","",ROUND(H270*N(I270)/100,2))</f>
        <v/>
      </c>
      <c r="K270" s="30" t="n"/>
      <c r="L270" s="32" t="n"/>
      <c r="M270" s="22">
        <f>IF(H270="","",IF(K270="No",0,H270*N(I270)/100*IF(L270="",100,L270)/100))</f>
        <v/>
      </c>
      <c r="N270" s="22">
        <f>IF(H270="","",H270*IF(L270="",100,L270)/100+IF(K270="No",H270*N(I270)/100*IF(L270="",100,L270)/100,0))</f>
        <v/>
      </c>
      <c r="O270" s="35">
        <f>IF(B270="","",ROUNDUP(MONTH(B270)/3,0))</f>
        <v/>
      </c>
      <c r="P270" s="35">
        <f>IF(B270="","",YEAR(B270))</f>
        <v/>
      </c>
    </row>
    <row r="271">
      <c r="B271" s="37" t="n"/>
      <c r="C271" s="31" t="n"/>
      <c r="D271" s="31" t="n"/>
      <c r="E271" s="31" t="n"/>
      <c r="F271" s="31" t="n"/>
      <c r="G271" s="31" t="n"/>
      <c r="H271" s="33" t="n"/>
      <c r="I271" s="32" t="n"/>
      <c r="J271" s="22">
        <f>IF(H271="","",ROUND(H271*N(I271)/100,2))</f>
        <v/>
      </c>
      <c r="K271" s="30" t="n"/>
      <c r="L271" s="32" t="n"/>
      <c r="M271" s="22">
        <f>IF(H271="","",IF(K271="No",0,H271*N(I271)/100*IF(L271="",100,L271)/100))</f>
        <v/>
      </c>
      <c r="N271" s="22">
        <f>IF(H271="","",H271*IF(L271="",100,L271)/100+IF(K271="No",H271*N(I271)/100*IF(L271="",100,L271)/100,0))</f>
        <v/>
      </c>
      <c r="O271" s="35">
        <f>IF(B271="","",ROUNDUP(MONTH(B271)/3,0))</f>
        <v/>
      </c>
      <c r="P271" s="35">
        <f>IF(B271="","",YEAR(B271))</f>
        <v/>
      </c>
    </row>
    <row r="272">
      <c r="B272" s="37" t="n"/>
      <c r="C272" s="31" t="n"/>
      <c r="D272" s="31" t="n"/>
      <c r="E272" s="31" t="n"/>
      <c r="F272" s="31" t="n"/>
      <c r="G272" s="31" t="n"/>
      <c r="H272" s="33" t="n"/>
      <c r="I272" s="32" t="n"/>
      <c r="J272" s="22">
        <f>IF(H272="","",ROUND(H272*N(I272)/100,2))</f>
        <v/>
      </c>
      <c r="K272" s="30" t="n"/>
      <c r="L272" s="32" t="n"/>
      <c r="M272" s="22">
        <f>IF(H272="","",IF(K272="No",0,H272*N(I272)/100*IF(L272="",100,L272)/100))</f>
        <v/>
      </c>
      <c r="N272" s="22">
        <f>IF(H272="","",H272*IF(L272="",100,L272)/100+IF(K272="No",H272*N(I272)/100*IF(L272="",100,L272)/100,0))</f>
        <v/>
      </c>
      <c r="O272" s="35">
        <f>IF(B272="","",ROUNDUP(MONTH(B272)/3,0))</f>
        <v/>
      </c>
      <c r="P272" s="35">
        <f>IF(B272="","",YEAR(B272))</f>
        <v/>
      </c>
    </row>
    <row r="273">
      <c r="B273" s="37" t="n"/>
      <c r="C273" s="31" t="n"/>
      <c r="D273" s="31" t="n"/>
      <c r="E273" s="31" t="n"/>
      <c r="F273" s="31" t="n"/>
      <c r="G273" s="31" t="n"/>
      <c r="H273" s="33" t="n"/>
      <c r="I273" s="32" t="n"/>
      <c r="J273" s="22">
        <f>IF(H273="","",ROUND(H273*N(I273)/100,2))</f>
        <v/>
      </c>
      <c r="K273" s="30" t="n"/>
      <c r="L273" s="32" t="n"/>
      <c r="M273" s="22">
        <f>IF(H273="","",IF(K273="No",0,H273*N(I273)/100*IF(L273="",100,L273)/100))</f>
        <v/>
      </c>
      <c r="N273" s="22">
        <f>IF(H273="","",H273*IF(L273="",100,L273)/100+IF(K273="No",H273*N(I273)/100*IF(L273="",100,L273)/100,0))</f>
        <v/>
      </c>
      <c r="O273" s="35">
        <f>IF(B273="","",ROUNDUP(MONTH(B273)/3,0))</f>
        <v/>
      </c>
      <c r="P273" s="35">
        <f>IF(B273="","",YEAR(B273))</f>
        <v/>
      </c>
    </row>
    <row r="274">
      <c r="B274" s="37" t="n"/>
      <c r="C274" s="31" t="n"/>
      <c r="D274" s="31" t="n"/>
      <c r="E274" s="31" t="n"/>
      <c r="F274" s="31" t="n"/>
      <c r="G274" s="31" t="n"/>
      <c r="H274" s="33" t="n"/>
      <c r="I274" s="32" t="n"/>
      <c r="J274" s="22">
        <f>IF(H274="","",ROUND(H274*N(I274)/100,2))</f>
        <v/>
      </c>
      <c r="K274" s="30" t="n"/>
      <c r="L274" s="32" t="n"/>
      <c r="M274" s="22">
        <f>IF(H274="","",IF(K274="No",0,H274*N(I274)/100*IF(L274="",100,L274)/100))</f>
        <v/>
      </c>
      <c r="N274" s="22">
        <f>IF(H274="","",H274*IF(L274="",100,L274)/100+IF(K274="No",H274*N(I274)/100*IF(L274="",100,L274)/100,0))</f>
        <v/>
      </c>
      <c r="O274" s="35">
        <f>IF(B274="","",ROUNDUP(MONTH(B274)/3,0))</f>
        <v/>
      </c>
      <c r="P274" s="35">
        <f>IF(B274="","",YEAR(B274))</f>
        <v/>
      </c>
    </row>
    <row r="275">
      <c r="B275" s="37" t="n"/>
      <c r="C275" s="31" t="n"/>
      <c r="D275" s="31" t="n"/>
      <c r="E275" s="31" t="n"/>
      <c r="F275" s="31" t="n"/>
      <c r="G275" s="31" t="n"/>
      <c r="H275" s="33" t="n"/>
      <c r="I275" s="32" t="n"/>
      <c r="J275" s="22">
        <f>IF(H275="","",ROUND(H275*N(I275)/100,2))</f>
        <v/>
      </c>
      <c r="K275" s="30" t="n"/>
      <c r="L275" s="32" t="n"/>
      <c r="M275" s="22">
        <f>IF(H275="","",IF(K275="No",0,H275*N(I275)/100*IF(L275="",100,L275)/100))</f>
        <v/>
      </c>
      <c r="N275" s="22">
        <f>IF(H275="","",H275*IF(L275="",100,L275)/100+IF(K275="No",H275*N(I275)/100*IF(L275="",100,L275)/100,0))</f>
        <v/>
      </c>
      <c r="O275" s="35">
        <f>IF(B275="","",ROUNDUP(MONTH(B275)/3,0))</f>
        <v/>
      </c>
      <c r="P275" s="35">
        <f>IF(B275="","",YEAR(B275))</f>
        <v/>
      </c>
    </row>
    <row r="276">
      <c r="B276" s="37" t="n"/>
      <c r="C276" s="31" t="n"/>
      <c r="D276" s="31" t="n"/>
      <c r="E276" s="31" t="n"/>
      <c r="F276" s="31" t="n"/>
      <c r="G276" s="31" t="n"/>
      <c r="H276" s="33" t="n"/>
      <c r="I276" s="32" t="n"/>
      <c r="J276" s="22">
        <f>IF(H276="","",ROUND(H276*N(I276)/100,2))</f>
        <v/>
      </c>
      <c r="K276" s="30" t="n"/>
      <c r="L276" s="32" t="n"/>
      <c r="M276" s="22">
        <f>IF(H276="","",IF(K276="No",0,H276*N(I276)/100*IF(L276="",100,L276)/100))</f>
        <v/>
      </c>
      <c r="N276" s="22">
        <f>IF(H276="","",H276*IF(L276="",100,L276)/100+IF(K276="No",H276*N(I276)/100*IF(L276="",100,L276)/100,0))</f>
        <v/>
      </c>
      <c r="O276" s="35">
        <f>IF(B276="","",ROUNDUP(MONTH(B276)/3,0))</f>
        <v/>
      </c>
      <c r="P276" s="35">
        <f>IF(B276="","",YEAR(B276))</f>
        <v/>
      </c>
    </row>
    <row r="277">
      <c r="B277" s="37" t="n"/>
      <c r="C277" s="31" t="n"/>
      <c r="D277" s="31" t="n"/>
      <c r="E277" s="31" t="n"/>
      <c r="F277" s="31" t="n"/>
      <c r="G277" s="31" t="n"/>
      <c r="H277" s="33" t="n"/>
      <c r="I277" s="32" t="n"/>
      <c r="J277" s="22">
        <f>IF(H277="","",ROUND(H277*N(I277)/100,2))</f>
        <v/>
      </c>
      <c r="K277" s="30" t="n"/>
      <c r="L277" s="32" t="n"/>
      <c r="M277" s="22">
        <f>IF(H277="","",IF(K277="No",0,H277*N(I277)/100*IF(L277="",100,L277)/100))</f>
        <v/>
      </c>
      <c r="N277" s="22">
        <f>IF(H277="","",H277*IF(L277="",100,L277)/100+IF(K277="No",H277*N(I277)/100*IF(L277="",100,L277)/100,0))</f>
        <v/>
      </c>
      <c r="O277" s="35">
        <f>IF(B277="","",ROUNDUP(MONTH(B277)/3,0))</f>
        <v/>
      </c>
      <c r="P277" s="35">
        <f>IF(B277="","",YEAR(B277))</f>
        <v/>
      </c>
    </row>
    <row r="278">
      <c r="B278" s="37" t="n"/>
      <c r="C278" s="31" t="n"/>
      <c r="D278" s="31" t="n"/>
      <c r="E278" s="31" t="n"/>
      <c r="F278" s="31" t="n"/>
      <c r="G278" s="31" t="n"/>
      <c r="H278" s="33" t="n"/>
      <c r="I278" s="32" t="n"/>
      <c r="J278" s="22">
        <f>IF(H278="","",ROUND(H278*N(I278)/100,2))</f>
        <v/>
      </c>
      <c r="K278" s="30" t="n"/>
      <c r="L278" s="32" t="n"/>
      <c r="M278" s="22">
        <f>IF(H278="","",IF(K278="No",0,H278*N(I278)/100*IF(L278="",100,L278)/100))</f>
        <v/>
      </c>
      <c r="N278" s="22">
        <f>IF(H278="","",H278*IF(L278="",100,L278)/100+IF(K278="No",H278*N(I278)/100*IF(L278="",100,L278)/100,0))</f>
        <v/>
      </c>
      <c r="O278" s="35">
        <f>IF(B278="","",ROUNDUP(MONTH(B278)/3,0))</f>
        <v/>
      </c>
      <c r="P278" s="35">
        <f>IF(B278="","",YEAR(B278))</f>
        <v/>
      </c>
    </row>
    <row r="279">
      <c r="B279" s="37" t="n"/>
      <c r="C279" s="31" t="n"/>
      <c r="D279" s="31" t="n"/>
      <c r="E279" s="31" t="n"/>
      <c r="F279" s="31" t="n"/>
      <c r="G279" s="31" t="n"/>
      <c r="H279" s="33" t="n"/>
      <c r="I279" s="32" t="n"/>
      <c r="J279" s="22">
        <f>IF(H279="","",ROUND(H279*N(I279)/100,2))</f>
        <v/>
      </c>
      <c r="K279" s="30" t="n"/>
      <c r="L279" s="32" t="n"/>
      <c r="M279" s="22">
        <f>IF(H279="","",IF(K279="No",0,H279*N(I279)/100*IF(L279="",100,L279)/100))</f>
        <v/>
      </c>
      <c r="N279" s="22">
        <f>IF(H279="","",H279*IF(L279="",100,L279)/100+IF(K279="No",H279*N(I279)/100*IF(L279="",100,L279)/100,0))</f>
        <v/>
      </c>
      <c r="O279" s="35">
        <f>IF(B279="","",ROUNDUP(MONTH(B279)/3,0))</f>
        <v/>
      </c>
      <c r="P279" s="35">
        <f>IF(B279="","",YEAR(B279))</f>
        <v/>
      </c>
    </row>
    <row r="280">
      <c r="B280" s="37" t="n"/>
      <c r="C280" s="31" t="n"/>
      <c r="D280" s="31" t="n"/>
      <c r="E280" s="31" t="n"/>
      <c r="F280" s="31" t="n"/>
      <c r="G280" s="31" t="n"/>
      <c r="H280" s="33" t="n"/>
      <c r="I280" s="32" t="n"/>
      <c r="J280" s="22">
        <f>IF(H280="","",ROUND(H280*N(I280)/100,2))</f>
        <v/>
      </c>
      <c r="K280" s="30" t="n"/>
      <c r="L280" s="32" t="n"/>
      <c r="M280" s="22">
        <f>IF(H280="","",IF(K280="No",0,H280*N(I280)/100*IF(L280="",100,L280)/100))</f>
        <v/>
      </c>
      <c r="N280" s="22">
        <f>IF(H280="","",H280*IF(L280="",100,L280)/100+IF(K280="No",H280*N(I280)/100*IF(L280="",100,L280)/100,0))</f>
        <v/>
      </c>
      <c r="O280" s="35">
        <f>IF(B280="","",ROUNDUP(MONTH(B280)/3,0))</f>
        <v/>
      </c>
      <c r="P280" s="35">
        <f>IF(B280="","",YEAR(B280))</f>
        <v/>
      </c>
    </row>
    <row r="281">
      <c r="B281" s="37" t="n"/>
      <c r="C281" s="31" t="n"/>
      <c r="D281" s="31" t="n"/>
      <c r="E281" s="31" t="n"/>
      <c r="F281" s="31" t="n"/>
      <c r="G281" s="31" t="n"/>
      <c r="H281" s="33" t="n"/>
      <c r="I281" s="32" t="n"/>
      <c r="J281" s="22">
        <f>IF(H281="","",ROUND(H281*N(I281)/100,2))</f>
        <v/>
      </c>
      <c r="K281" s="30" t="n"/>
      <c r="L281" s="32" t="n"/>
      <c r="M281" s="22">
        <f>IF(H281="","",IF(K281="No",0,H281*N(I281)/100*IF(L281="",100,L281)/100))</f>
        <v/>
      </c>
      <c r="N281" s="22">
        <f>IF(H281="","",H281*IF(L281="",100,L281)/100+IF(K281="No",H281*N(I281)/100*IF(L281="",100,L281)/100,0))</f>
        <v/>
      </c>
      <c r="O281" s="35">
        <f>IF(B281="","",ROUNDUP(MONTH(B281)/3,0))</f>
        <v/>
      </c>
      <c r="P281" s="35">
        <f>IF(B281="","",YEAR(B281))</f>
        <v/>
      </c>
    </row>
    <row r="282">
      <c r="B282" s="37" t="n"/>
      <c r="C282" s="31" t="n"/>
      <c r="D282" s="31" t="n"/>
      <c r="E282" s="31" t="n"/>
      <c r="F282" s="31" t="n"/>
      <c r="G282" s="31" t="n"/>
      <c r="H282" s="33" t="n"/>
      <c r="I282" s="32" t="n"/>
      <c r="J282" s="22">
        <f>IF(H282="","",ROUND(H282*N(I282)/100,2))</f>
        <v/>
      </c>
      <c r="K282" s="30" t="n"/>
      <c r="L282" s="32" t="n"/>
      <c r="M282" s="22">
        <f>IF(H282="","",IF(K282="No",0,H282*N(I282)/100*IF(L282="",100,L282)/100))</f>
        <v/>
      </c>
      <c r="N282" s="22">
        <f>IF(H282="","",H282*IF(L282="",100,L282)/100+IF(K282="No",H282*N(I282)/100*IF(L282="",100,L282)/100,0))</f>
        <v/>
      </c>
      <c r="O282" s="35">
        <f>IF(B282="","",ROUNDUP(MONTH(B282)/3,0))</f>
        <v/>
      </c>
      <c r="P282" s="35">
        <f>IF(B282="","",YEAR(B282))</f>
        <v/>
      </c>
    </row>
    <row r="283">
      <c r="B283" s="37" t="n"/>
      <c r="C283" s="31" t="n"/>
      <c r="D283" s="31" t="n"/>
      <c r="E283" s="31" t="n"/>
      <c r="F283" s="31" t="n"/>
      <c r="G283" s="31" t="n"/>
      <c r="H283" s="33" t="n"/>
      <c r="I283" s="32" t="n"/>
      <c r="J283" s="22">
        <f>IF(H283="","",ROUND(H283*N(I283)/100,2))</f>
        <v/>
      </c>
      <c r="K283" s="30" t="n"/>
      <c r="L283" s="32" t="n"/>
      <c r="M283" s="22">
        <f>IF(H283="","",IF(K283="No",0,H283*N(I283)/100*IF(L283="",100,L283)/100))</f>
        <v/>
      </c>
      <c r="N283" s="22">
        <f>IF(H283="","",H283*IF(L283="",100,L283)/100+IF(K283="No",H283*N(I283)/100*IF(L283="",100,L283)/100,0))</f>
        <v/>
      </c>
      <c r="O283" s="35">
        <f>IF(B283="","",ROUNDUP(MONTH(B283)/3,0))</f>
        <v/>
      </c>
      <c r="P283" s="35">
        <f>IF(B283="","",YEAR(B283))</f>
        <v/>
      </c>
    </row>
    <row r="284">
      <c r="B284" s="37" t="n"/>
      <c r="C284" s="31" t="n"/>
      <c r="D284" s="31" t="n"/>
      <c r="E284" s="31" t="n"/>
      <c r="F284" s="31" t="n"/>
      <c r="G284" s="31" t="n"/>
      <c r="H284" s="33" t="n"/>
      <c r="I284" s="32" t="n"/>
      <c r="J284" s="22">
        <f>IF(H284="","",ROUND(H284*N(I284)/100,2))</f>
        <v/>
      </c>
      <c r="K284" s="30" t="n"/>
      <c r="L284" s="32" t="n"/>
      <c r="M284" s="22">
        <f>IF(H284="","",IF(K284="No",0,H284*N(I284)/100*IF(L284="",100,L284)/100))</f>
        <v/>
      </c>
      <c r="N284" s="22">
        <f>IF(H284="","",H284*IF(L284="",100,L284)/100+IF(K284="No",H284*N(I284)/100*IF(L284="",100,L284)/100,0))</f>
        <v/>
      </c>
      <c r="O284" s="35">
        <f>IF(B284="","",ROUNDUP(MONTH(B284)/3,0))</f>
        <v/>
      </c>
      <c r="P284" s="35">
        <f>IF(B284="","",YEAR(B284))</f>
        <v/>
      </c>
    </row>
    <row r="285">
      <c r="B285" s="37" t="n"/>
      <c r="C285" s="31" t="n"/>
      <c r="D285" s="31" t="n"/>
      <c r="E285" s="31" t="n"/>
      <c r="F285" s="31" t="n"/>
      <c r="G285" s="31" t="n"/>
      <c r="H285" s="33" t="n"/>
      <c r="I285" s="32" t="n"/>
      <c r="J285" s="22">
        <f>IF(H285="","",ROUND(H285*N(I285)/100,2))</f>
        <v/>
      </c>
      <c r="K285" s="30" t="n"/>
      <c r="L285" s="32" t="n"/>
      <c r="M285" s="22">
        <f>IF(H285="","",IF(K285="No",0,H285*N(I285)/100*IF(L285="",100,L285)/100))</f>
        <v/>
      </c>
      <c r="N285" s="22">
        <f>IF(H285="","",H285*IF(L285="",100,L285)/100+IF(K285="No",H285*N(I285)/100*IF(L285="",100,L285)/100,0))</f>
        <v/>
      </c>
      <c r="O285" s="35">
        <f>IF(B285="","",ROUNDUP(MONTH(B285)/3,0))</f>
        <v/>
      </c>
      <c r="P285" s="35">
        <f>IF(B285="","",YEAR(B285))</f>
        <v/>
      </c>
    </row>
    <row r="286">
      <c r="B286" s="37" t="n"/>
      <c r="C286" s="31" t="n"/>
      <c r="D286" s="31" t="n"/>
      <c r="E286" s="31" t="n"/>
      <c r="F286" s="31" t="n"/>
      <c r="G286" s="31" t="n"/>
      <c r="H286" s="33" t="n"/>
      <c r="I286" s="32" t="n"/>
      <c r="J286" s="22">
        <f>IF(H286="","",ROUND(H286*N(I286)/100,2))</f>
        <v/>
      </c>
      <c r="K286" s="30" t="n"/>
      <c r="L286" s="32" t="n"/>
      <c r="M286" s="22">
        <f>IF(H286="","",IF(K286="No",0,H286*N(I286)/100*IF(L286="",100,L286)/100))</f>
        <v/>
      </c>
      <c r="N286" s="22">
        <f>IF(H286="","",H286*IF(L286="",100,L286)/100+IF(K286="No",H286*N(I286)/100*IF(L286="",100,L286)/100,0))</f>
        <v/>
      </c>
      <c r="O286" s="35">
        <f>IF(B286="","",ROUNDUP(MONTH(B286)/3,0))</f>
        <v/>
      </c>
      <c r="P286" s="35">
        <f>IF(B286="","",YEAR(B286))</f>
        <v/>
      </c>
    </row>
    <row r="287">
      <c r="B287" s="37" t="n"/>
      <c r="C287" s="31" t="n"/>
      <c r="D287" s="31" t="n"/>
      <c r="E287" s="31" t="n"/>
      <c r="F287" s="31" t="n"/>
      <c r="G287" s="31" t="n"/>
      <c r="H287" s="33" t="n"/>
      <c r="I287" s="32" t="n"/>
      <c r="J287" s="22">
        <f>IF(H287="","",ROUND(H287*N(I287)/100,2))</f>
        <v/>
      </c>
      <c r="K287" s="30" t="n"/>
      <c r="L287" s="32" t="n"/>
      <c r="M287" s="22">
        <f>IF(H287="","",IF(K287="No",0,H287*N(I287)/100*IF(L287="",100,L287)/100))</f>
        <v/>
      </c>
      <c r="N287" s="22">
        <f>IF(H287="","",H287*IF(L287="",100,L287)/100+IF(K287="No",H287*N(I287)/100*IF(L287="",100,L287)/100,0))</f>
        <v/>
      </c>
      <c r="O287" s="35">
        <f>IF(B287="","",ROUNDUP(MONTH(B287)/3,0))</f>
        <v/>
      </c>
      <c r="P287" s="35">
        <f>IF(B287="","",YEAR(B287))</f>
        <v/>
      </c>
    </row>
    <row r="288">
      <c r="B288" s="37" t="n"/>
      <c r="C288" s="31" t="n"/>
      <c r="D288" s="31" t="n"/>
      <c r="E288" s="31" t="n"/>
      <c r="F288" s="31" t="n"/>
      <c r="G288" s="31" t="n"/>
      <c r="H288" s="33" t="n"/>
      <c r="I288" s="32" t="n"/>
      <c r="J288" s="22">
        <f>IF(H288="","",ROUND(H288*N(I288)/100,2))</f>
        <v/>
      </c>
      <c r="K288" s="30" t="n"/>
      <c r="L288" s="32" t="n"/>
      <c r="M288" s="22">
        <f>IF(H288="","",IF(K288="No",0,H288*N(I288)/100*IF(L288="",100,L288)/100))</f>
        <v/>
      </c>
      <c r="N288" s="22">
        <f>IF(H288="","",H288*IF(L288="",100,L288)/100+IF(K288="No",H288*N(I288)/100*IF(L288="",100,L288)/100,0))</f>
        <v/>
      </c>
      <c r="O288" s="35">
        <f>IF(B288="","",ROUNDUP(MONTH(B288)/3,0))</f>
        <v/>
      </c>
      <c r="P288" s="35">
        <f>IF(B288="","",YEAR(B288))</f>
        <v/>
      </c>
    </row>
    <row r="289">
      <c r="B289" s="37" t="n"/>
      <c r="C289" s="31" t="n"/>
      <c r="D289" s="31" t="n"/>
      <c r="E289" s="31" t="n"/>
      <c r="F289" s="31" t="n"/>
      <c r="G289" s="31" t="n"/>
      <c r="H289" s="33" t="n"/>
      <c r="I289" s="32" t="n"/>
      <c r="J289" s="22">
        <f>IF(H289="","",ROUND(H289*N(I289)/100,2))</f>
        <v/>
      </c>
      <c r="K289" s="30" t="n"/>
      <c r="L289" s="32" t="n"/>
      <c r="M289" s="22">
        <f>IF(H289="","",IF(K289="No",0,H289*N(I289)/100*IF(L289="",100,L289)/100))</f>
        <v/>
      </c>
      <c r="N289" s="22">
        <f>IF(H289="","",H289*IF(L289="",100,L289)/100+IF(K289="No",H289*N(I289)/100*IF(L289="",100,L289)/100,0))</f>
        <v/>
      </c>
      <c r="O289" s="35">
        <f>IF(B289="","",ROUNDUP(MONTH(B289)/3,0))</f>
        <v/>
      </c>
      <c r="P289" s="35">
        <f>IF(B289="","",YEAR(B289))</f>
        <v/>
      </c>
    </row>
    <row r="290">
      <c r="B290" s="37" t="n"/>
      <c r="C290" s="31" t="n"/>
      <c r="D290" s="31" t="n"/>
      <c r="E290" s="31" t="n"/>
      <c r="F290" s="31" t="n"/>
      <c r="G290" s="31" t="n"/>
      <c r="H290" s="33" t="n"/>
      <c r="I290" s="32" t="n"/>
      <c r="J290" s="22">
        <f>IF(H290="","",ROUND(H290*N(I290)/100,2))</f>
        <v/>
      </c>
      <c r="K290" s="30" t="n"/>
      <c r="L290" s="32" t="n"/>
      <c r="M290" s="22">
        <f>IF(H290="","",IF(K290="No",0,H290*N(I290)/100*IF(L290="",100,L290)/100))</f>
        <v/>
      </c>
      <c r="N290" s="22">
        <f>IF(H290="","",H290*IF(L290="",100,L290)/100+IF(K290="No",H290*N(I290)/100*IF(L290="",100,L290)/100,0))</f>
        <v/>
      </c>
      <c r="O290" s="35">
        <f>IF(B290="","",ROUNDUP(MONTH(B290)/3,0))</f>
        <v/>
      </c>
      <c r="P290" s="35">
        <f>IF(B290="","",YEAR(B290))</f>
        <v/>
      </c>
    </row>
    <row r="291">
      <c r="B291" s="37" t="n"/>
      <c r="C291" s="31" t="n"/>
      <c r="D291" s="31" t="n"/>
      <c r="E291" s="31" t="n"/>
      <c r="F291" s="31" t="n"/>
      <c r="G291" s="31" t="n"/>
      <c r="H291" s="33" t="n"/>
      <c r="I291" s="32" t="n"/>
      <c r="J291" s="22">
        <f>IF(H291="","",ROUND(H291*N(I291)/100,2))</f>
        <v/>
      </c>
      <c r="K291" s="30" t="n"/>
      <c r="L291" s="32" t="n"/>
      <c r="M291" s="22">
        <f>IF(H291="","",IF(K291="No",0,H291*N(I291)/100*IF(L291="",100,L291)/100))</f>
        <v/>
      </c>
      <c r="N291" s="22">
        <f>IF(H291="","",H291*IF(L291="",100,L291)/100+IF(K291="No",H291*N(I291)/100*IF(L291="",100,L291)/100,0))</f>
        <v/>
      </c>
      <c r="O291" s="35">
        <f>IF(B291="","",ROUNDUP(MONTH(B291)/3,0))</f>
        <v/>
      </c>
      <c r="P291" s="35">
        <f>IF(B291="","",YEAR(B291))</f>
        <v/>
      </c>
    </row>
    <row r="292">
      <c r="B292" s="37" t="n"/>
      <c r="C292" s="31" t="n"/>
      <c r="D292" s="31" t="n"/>
      <c r="E292" s="31" t="n"/>
      <c r="F292" s="31" t="n"/>
      <c r="G292" s="31" t="n"/>
      <c r="H292" s="33" t="n"/>
      <c r="I292" s="32" t="n"/>
      <c r="J292" s="22">
        <f>IF(H292="","",ROUND(H292*N(I292)/100,2))</f>
        <v/>
      </c>
      <c r="K292" s="30" t="n"/>
      <c r="L292" s="32" t="n"/>
      <c r="M292" s="22">
        <f>IF(H292="","",IF(K292="No",0,H292*N(I292)/100*IF(L292="",100,L292)/100))</f>
        <v/>
      </c>
      <c r="N292" s="22">
        <f>IF(H292="","",H292*IF(L292="",100,L292)/100+IF(K292="No",H292*N(I292)/100*IF(L292="",100,L292)/100,0))</f>
        <v/>
      </c>
      <c r="O292" s="35">
        <f>IF(B292="","",ROUNDUP(MONTH(B292)/3,0))</f>
        <v/>
      </c>
      <c r="P292" s="35">
        <f>IF(B292="","",YEAR(B292))</f>
        <v/>
      </c>
    </row>
    <row r="293">
      <c r="B293" s="37" t="n"/>
      <c r="C293" s="31" t="n"/>
      <c r="D293" s="31" t="n"/>
      <c r="E293" s="31" t="n"/>
      <c r="F293" s="31" t="n"/>
      <c r="G293" s="31" t="n"/>
      <c r="H293" s="33" t="n"/>
      <c r="I293" s="32" t="n"/>
      <c r="J293" s="22">
        <f>IF(H293="","",ROUND(H293*N(I293)/100,2))</f>
        <v/>
      </c>
      <c r="K293" s="30" t="n"/>
      <c r="L293" s="32" t="n"/>
      <c r="M293" s="22">
        <f>IF(H293="","",IF(K293="No",0,H293*N(I293)/100*IF(L293="",100,L293)/100))</f>
        <v/>
      </c>
      <c r="N293" s="22">
        <f>IF(H293="","",H293*IF(L293="",100,L293)/100+IF(K293="No",H293*N(I293)/100*IF(L293="",100,L293)/100,0))</f>
        <v/>
      </c>
      <c r="O293" s="35">
        <f>IF(B293="","",ROUNDUP(MONTH(B293)/3,0))</f>
        <v/>
      </c>
      <c r="P293" s="35">
        <f>IF(B293="","",YEAR(B293))</f>
        <v/>
      </c>
    </row>
    <row r="294">
      <c r="B294" s="37" t="n"/>
      <c r="C294" s="31" t="n"/>
      <c r="D294" s="31" t="n"/>
      <c r="E294" s="31" t="n"/>
      <c r="F294" s="31" t="n"/>
      <c r="G294" s="31" t="n"/>
      <c r="H294" s="33" t="n"/>
      <c r="I294" s="32" t="n"/>
      <c r="J294" s="22">
        <f>IF(H294="","",ROUND(H294*N(I294)/100,2))</f>
        <v/>
      </c>
      <c r="K294" s="30" t="n"/>
      <c r="L294" s="32" t="n"/>
      <c r="M294" s="22">
        <f>IF(H294="","",IF(K294="No",0,H294*N(I294)/100*IF(L294="",100,L294)/100))</f>
        <v/>
      </c>
      <c r="N294" s="22">
        <f>IF(H294="","",H294*IF(L294="",100,L294)/100+IF(K294="No",H294*N(I294)/100*IF(L294="",100,L294)/100,0))</f>
        <v/>
      </c>
      <c r="O294" s="35">
        <f>IF(B294="","",ROUNDUP(MONTH(B294)/3,0))</f>
        <v/>
      </c>
      <c r="P294" s="35">
        <f>IF(B294="","",YEAR(B294))</f>
        <v/>
      </c>
    </row>
    <row r="295">
      <c r="B295" s="37" t="n"/>
      <c r="C295" s="31" t="n"/>
      <c r="D295" s="31" t="n"/>
      <c r="E295" s="31" t="n"/>
      <c r="F295" s="31" t="n"/>
      <c r="G295" s="31" t="n"/>
      <c r="H295" s="33" t="n"/>
      <c r="I295" s="32" t="n"/>
      <c r="J295" s="22">
        <f>IF(H295="","",ROUND(H295*N(I295)/100,2))</f>
        <v/>
      </c>
      <c r="K295" s="30" t="n"/>
      <c r="L295" s="32" t="n"/>
      <c r="M295" s="22">
        <f>IF(H295="","",IF(K295="No",0,H295*N(I295)/100*IF(L295="",100,L295)/100))</f>
        <v/>
      </c>
      <c r="N295" s="22">
        <f>IF(H295="","",H295*IF(L295="",100,L295)/100+IF(K295="No",H295*N(I295)/100*IF(L295="",100,L295)/100,0))</f>
        <v/>
      </c>
      <c r="O295" s="35">
        <f>IF(B295="","",ROUNDUP(MONTH(B295)/3,0))</f>
        <v/>
      </c>
      <c r="P295" s="35">
        <f>IF(B295="","",YEAR(B295))</f>
        <v/>
      </c>
    </row>
    <row r="296">
      <c r="B296" s="37" t="n"/>
      <c r="C296" s="31" t="n"/>
      <c r="D296" s="31" t="n"/>
      <c r="E296" s="31" t="n"/>
      <c r="F296" s="31" t="n"/>
      <c r="G296" s="31" t="n"/>
      <c r="H296" s="33" t="n"/>
      <c r="I296" s="32" t="n"/>
      <c r="J296" s="22">
        <f>IF(H296="","",ROUND(H296*N(I296)/100,2))</f>
        <v/>
      </c>
      <c r="K296" s="30" t="n"/>
      <c r="L296" s="32" t="n"/>
      <c r="M296" s="22">
        <f>IF(H296="","",IF(K296="No",0,H296*N(I296)/100*IF(L296="",100,L296)/100))</f>
        <v/>
      </c>
      <c r="N296" s="22">
        <f>IF(H296="","",H296*IF(L296="",100,L296)/100+IF(K296="No",H296*N(I296)/100*IF(L296="",100,L296)/100,0))</f>
        <v/>
      </c>
      <c r="O296" s="35">
        <f>IF(B296="","",ROUNDUP(MONTH(B296)/3,0))</f>
        <v/>
      </c>
      <c r="P296" s="35">
        <f>IF(B296="","",YEAR(B296))</f>
        <v/>
      </c>
    </row>
    <row r="297">
      <c r="B297" s="37" t="n"/>
      <c r="C297" s="31" t="n"/>
      <c r="D297" s="31" t="n"/>
      <c r="E297" s="31" t="n"/>
      <c r="F297" s="31" t="n"/>
      <c r="G297" s="31" t="n"/>
      <c r="H297" s="33" t="n"/>
      <c r="I297" s="32" t="n"/>
      <c r="J297" s="22">
        <f>IF(H297="","",ROUND(H297*N(I297)/100,2))</f>
        <v/>
      </c>
      <c r="K297" s="30" t="n"/>
      <c r="L297" s="32" t="n"/>
      <c r="M297" s="22">
        <f>IF(H297="","",IF(K297="No",0,H297*N(I297)/100*IF(L297="",100,L297)/100))</f>
        <v/>
      </c>
      <c r="N297" s="22">
        <f>IF(H297="","",H297*IF(L297="",100,L297)/100+IF(K297="No",H297*N(I297)/100*IF(L297="",100,L297)/100,0))</f>
        <v/>
      </c>
      <c r="O297" s="35">
        <f>IF(B297="","",ROUNDUP(MONTH(B297)/3,0))</f>
        <v/>
      </c>
      <c r="P297" s="35">
        <f>IF(B297="","",YEAR(B297))</f>
        <v/>
      </c>
    </row>
    <row r="298">
      <c r="B298" s="37" t="n"/>
      <c r="C298" s="31" t="n"/>
      <c r="D298" s="31" t="n"/>
      <c r="E298" s="31" t="n"/>
      <c r="F298" s="31" t="n"/>
      <c r="G298" s="31" t="n"/>
      <c r="H298" s="33" t="n"/>
      <c r="I298" s="32" t="n"/>
      <c r="J298" s="22">
        <f>IF(H298="","",ROUND(H298*N(I298)/100,2))</f>
        <v/>
      </c>
      <c r="K298" s="30" t="n"/>
      <c r="L298" s="32" t="n"/>
      <c r="M298" s="22">
        <f>IF(H298="","",IF(K298="No",0,H298*N(I298)/100*IF(L298="",100,L298)/100))</f>
        <v/>
      </c>
      <c r="N298" s="22">
        <f>IF(H298="","",H298*IF(L298="",100,L298)/100+IF(K298="No",H298*N(I298)/100*IF(L298="",100,L298)/100,0))</f>
        <v/>
      </c>
      <c r="O298" s="35">
        <f>IF(B298="","",ROUNDUP(MONTH(B298)/3,0))</f>
        <v/>
      </c>
      <c r="P298" s="35">
        <f>IF(B298="","",YEAR(B298))</f>
        <v/>
      </c>
    </row>
    <row r="299">
      <c r="B299" s="37" t="n"/>
      <c r="C299" s="31" t="n"/>
      <c r="D299" s="31" t="n"/>
      <c r="E299" s="31" t="n"/>
      <c r="F299" s="31" t="n"/>
      <c r="G299" s="31" t="n"/>
      <c r="H299" s="33" t="n"/>
      <c r="I299" s="32" t="n"/>
      <c r="J299" s="22">
        <f>IF(H299="","",ROUND(H299*N(I299)/100,2))</f>
        <v/>
      </c>
      <c r="K299" s="30" t="n"/>
      <c r="L299" s="32" t="n"/>
      <c r="M299" s="22">
        <f>IF(H299="","",IF(K299="No",0,H299*N(I299)/100*IF(L299="",100,L299)/100))</f>
        <v/>
      </c>
      <c r="N299" s="22">
        <f>IF(H299="","",H299*IF(L299="",100,L299)/100+IF(K299="No",H299*N(I299)/100*IF(L299="",100,L299)/100,0))</f>
        <v/>
      </c>
      <c r="O299" s="35">
        <f>IF(B299="","",ROUNDUP(MONTH(B299)/3,0))</f>
        <v/>
      </c>
      <c r="P299" s="35">
        <f>IF(B299="","",YEAR(B299))</f>
        <v/>
      </c>
    </row>
    <row r="300">
      <c r="B300" s="37" t="n"/>
      <c r="C300" s="31" t="n"/>
      <c r="D300" s="31" t="n"/>
      <c r="E300" s="31" t="n"/>
      <c r="F300" s="31" t="n"/>
      <c r="G300" s="31" t="n"/>
      <c r="H300" s="33" t="n"/>
      <c r="I300" s="32" t="n"/>
      <c r="J300" s="22">
        <f>IF(H300="","",ROUND(H300*N(I300)/100,2))</f>
        <v/>
      </c>
      <c r="K300" s="30" t="n"/>
      <c r="L300" s="32" t="n"/>
      <c r="M300" s="22">
        <f>IF(H300="","",IF(K300="No",0,H300*N(I300)/100*IF(L300="",100,L300)/100))</f>
        <v/>
      </c>
      <c r="N300" s="22">
        <f>IF(H300="","",H300*IF(L300="",100,L300)/100+IF(K300="No",H300*N(I300)/100*IF(L300="",100,L300)/100,0))</f>
        <v/>
      </c>
      <c r="O300" s="35">
        <f>IF(B300="","",ROUNDUP(MONTH(B300)/3,0))</f>
        <v/>
      </c>
      <c r="P300" s="35">
        <f>IF(B300="","",YEAR(B300))</f>
        <v/>
      </c>
    </row>
    <row r="301">
      <c r="B301" s="37" t="n"/>
      <c r="C301" s="31" t="n"/>
      <c r="D301" s="31" t="n"/>
      <c r="E301" s="31" t="n"/>
      <c r="F301" s="31" t="n"/>
      <c r="G301" s="31" t="n"/>
      <c r="H301" s="33" t="n"/>
      <c r="I301" s="32" t="n"/>
      <c r="J301" s="22">
        <f>IF(H301="","",ROUND(H301*N(I301)/100,2))</f>
        <v/>
      </c>
      <c r="K301" s="30" t="n"/>
      <c r="L301" s="32" t="n"/>
      <c r="M301" s="22">
        <f>IF(H301="","",IF(K301="No",0,H301*N(I301)/100*IF(L301="",100,L301)/100))</f>
        <v/>
      </c>
      <c r="N301" s="22">
        <f>IF(H301="","",H301*IF(L301="",100,L301)/100+IF(K301="No",H301*N(I301)/100*IF(L301="",100,L301)/100,0))</f>
        <v/>
      </c>
      <c r="O301" s="35">
        <f>IF(B301="","",ROUNDUP(MONTH(B301)/3,0))</f>
        <v/>
      </c>
      <c r="P301" s="35">
        <f>IF(B301="","",YEAR(B301))</f>
        <v/>
      </c>
    </row>
    <row r="302">
      <c r="B302" s="37" t="n"/>
      <c r="C302" s="31" t="n"/>
      <c r="D302" s="31" t="n"/>
      <c r="E302" s="31" t="n"/>
      <c r="F302" s="31" t="n"/>
      <c r="G302" s="31" t="n"/>
      <c r="H302" s="33" t="n"/>
      <c r="I302" s="32" t="n"/>
      <c r="J302" s="22">
        <f>IF(H302="","",ROUND(H302*N(I302)/100,2))</f>
        <v/>
      </c>
      <c r="K302" s="30" t="n"/>
      <c r="L302" s="32" t="n"/>
      <c r="M302" s="22">
        <f>IF(H302="","",IF(K302="No",0,H302*N(I302)/100*IF(L302="",100,L302)/100))</f>
        <v/>
      </c>
      <c r="N302" s="22">
        <f>IF(H302="","",H302*IF(L302="",100,L302)/100+IF(K302="No",H302*N(I302)/100*IF(L302="",100,L302)/100,0))</f>
        <v/>
      </c>
      <c r="O302" s="35">
        <f>IF(B302="","",ROUNDUP(MONTH(B302)/3,0))</f>
        <v/>
      </c>
      <c r="P302" s="35">
        <f>IF(B302="","",YEAR(B302))</f>
        <v/>
      </c>
    </row>
    <row r="303">
      <c r="B303" s="37" t="n"/>
      <c r="C303" s="31" t="n"/>
      <c r="D303" s="31" t="n"/>
      <c r="E303" s="31" t="n"/>
      <c r="F303" s="31" t="n"/>
      <c r="G303" s="31" t="n"/>
      <c r="H303" s="33" t="n"/>
      <c r="I303" s="32" t="n"/>
      <c r="J303" s="22">
        <f>IF(H303="","",ROUND(H303*N(I303)/100,2))</f>
        <v/>
      </c>
      <c r="K303" s="30" t="n"/>
      <c r="L303" s="32" t="n"/>
      <c r="M303" s="22">
        <f>IF(H303="","",IF(K303="No",0,H303*N(I303)/100*IF(L303="",100,L303)/100))</f>
        <v/>
      </c>
      <c r="N303" s="22">
        <f>IF(H303="","",H303*IF(L303="",100,L303)/100+IF(K303="No",H303*N(I303)/100*IF(L303="",100,L303)/100,0))</f>
        <v/>
      </c>
      <c r="O303" s="35">
        <f>IF(B303="","",ROUNDUP(MONTH(B303)/3,0))</f>
        <v/>
      </c>
      <c r="P303" s="35">
        <f>IF(B303="","",YEAR(B303))</f>
        <v/>
      </c>
    </row>
    <row r="304">
      <c r="B304" s="37" t="n"/>
      <c r="C304" s="31" t="n"/>
      <c r="D304" s="31" t="n"/>
      <c r="E304" s="31" t="n"/>
      <c r="F304" s="31" t="n"/>
      <c r="G304" s="31" t="n"/>
      <c r="H304" s="33" t="n"/>
      <c r="I304" s="32" t="n"/>
      <c r="J304" s="22">
        <f>IF(H304="","",ROUND(H304*N(I304)/100,2))</f>
        <v/>
      </c>
      <c r="K304" s="30" t="n"/>
      <c r="L304" s="32" t="n"/>
      <c r="M304" s="22">
        <f>IF(H304="","",IF(K304="No",0,H304*N(I304)/100*IF(L304="",100,L304)/100))</f>
        <v/>
      </c>
      <c r="N304" s="22">
        <f>IF(H304="","",H304*IF(L304="",100,L304)/100+IF(K304="No",H304*N(I304)/100*IF(L304="",100,L304)/100,0))</f>
        <v/>
      </c>
      <c r="O304" s="35">
        <f>IF(B304="","",ROUNDUP(MONTH(B304)/3,0))</f>
        <v/>
      </c>
      <c r="P304" s="35">
        <f>IF(B304="","",YEAR(B304))</f>
        <v/>
      </c>
    </row>
    <row r="305">
      <c r="B305" s="37" t="n"/>
      <c r="C305" s="31" t="n"/>
      <c r="D305" s="31" t="n"/>
      <c r="E305" s="31" t="n"/>
      <c r="F305" s="31" t="n"/>
      <c r="G305" s="31" t="n"/>
      <c r="H305" s="33" t="n"/>
      <c r="I305" s="32" t="n"/>
      <c r="J305" s="22">
        <f>IF(H305="","",ROUND(H305*N(I305)/100,2))</f>
        <v/>
      </c>
      <c r="K305" s="30" t="n"/>
      <c r="L305" s="32" t="n"/>
      <c r="M305" s="22">
        <f>IF(H305="","",IF(K305="No",0,H305*N(I305)/100*IF(L305="",100,L305)/100))</f>
        <v/>
      </c>
      <c r="N305" s="22">
        <f>IF(H305="","",H305*IF(L305="",100,L305)/100+IF(K305="No",H305*N(I305)/100*IF(L305="",100,L305)/100,0))</f>
        <v/>
      </c>
      <c r="O305" s="35">
        <f>IF(B305="","",ROUNDUP(MONTH(B305)/3,0))</f>
        <v/>
      </c>
      <c r="P305" s="35">
        <f>IF(B305="","",YEAR(B305))</f>
        <v/>
      </c>
    </row>
    <row r="306">
      <c r="B306" s="37" t="n"/>
      <c r="C306" s="31" t="n"/>
      <c r="D306" s="31" t="n"/>
      <c r="E306" s="31" t="n"/>
      <c r="F306" s="31" t="n"/>
      <c r="G306" s="31" t="n"/>
      <c r="H306" s="33" t="n"/>
      <c r="I306" s="32" t="n"/>
      <c r="J306" s="22">
        <f>IF(H306="","",ROUND(H306*N(I306)/100,2))</f>
        <v/>
      </c>
      <c r="K306" s="30" t="n"/>
      <c r="L306" s="32" t="n"/>
      <c r="M306" s="22">
        <f>IF(H306="","",IF(K306="No",0,H306*N(I306)/100*IF(L306="",100,L306)/100))</f>
        <v/>
      </c>
      <c r="N306" s="22">
        <f>IF(H306="","",H306*IF(L306="",100,L306)/100+IF(K306="No",H306*N(I306)/100*IF(L306="",100,L306)/100,0))</f>
        <v/>
      </c>
      <c r="O306" s="35">
        <f>IF(B306="","",ROUNDUP(MONTH(B306)/3,0))</f>
        <v/>
      </c>
      <c r="P306" s="35">
        <f>IF(B306="","",YEAR(B306))</f>
        <v/>
      </c>
    </row>
    <row r="307">
      <c r="B307" s="37" t="n"/>
      <c r="C307" s="31" t="n"/>
      <c r="D307" s="31" t="n"/>
      <c r="E307" s="31" t="n"/>
      <c r="F307" s="31" t="n"/>
      <c r="G307" s="31" t="n"/>
      <c r="H307" s="33" t="n"/>
      <c r="I307" s="32" t="n"/>
      <c r="J307" s="22">
        <f>IF(H307="","",ROUND(H307*N(I307)/100,2))</f>
        <v/>
      </c>
      <c r="K307" s="30" t="n"/>
      <c r="L307" s="32" t="n"/>
      <c r="M307" s="22">
        <f>IF(H307="","",IF(K307="No",0,H307*N(I307)/100*IF(L307="",100,L307)/100))</f>
        <v/>
      </c>
      <c r="N307" s="22">
        <f>IF(H307="","",H307*IF(L307="",100,L307)/100+IF(K307="No",H307*N(I307)/100*IF(L307="",100,L307)/100,0))</f>
        <v/>
      </c>
      <c r="O307" s="35">
        <f>IF(B307="","",ROUNDUP(MONTH(B307)/3,0))</f>
        <v/>
      </c>
      <c r="P307" s="35">
        <f>IF(B307="","",YEAR(B307))</f>
        <v/>
      </c>
    </row>
    <row r="308">
      <c r="B308" s="37" t="n"/>
      <c r="C308" s="31" t="n"/>
      <c r="D308" s="31" t="n"/>
      <c r="E308" s="31" t="n"/>
      <c r="F308" s="31" t="n"/>
      <c r="G308" s="31" t="n"/>
      <c r="H308" s="33" t="n"/>
      <c r="I308" s="32" t="n"/>
      <c r="J308" s="22">
        <f>IF(H308="","",ROUND(H308*N(I308)/100,2))</f>
        <v/>
      </c>
      <c r="K308" s="30" t="n"/>
      <c r="L308" s="32" t="n"/>
      <c r="M308" s="22">
        <f>IF(H308="","",IF(K308="No",0,H308*N(I308)/100*IF(L308="",100,L308)/100))</f>
        <v/>
      </c>
      <c r="N308" s="22">
        <f>IF(H308="","",H308*IF(L308="",100,L308)/100+IF(K308="No",H308*N(I308)/100*IF(L308="",100,L308)/100,0))</f>
        <v/>
      </c>
      <c r="O308" s="35">
        <f>IF(B308="","",ROUNDUP(MONTH(B308)/3,0))</f>
        <v/>
      </c>
      <c r="P308" s="35">
        <f>IF(B308="","",YEAR(B308))</f>
        <v/>
      </c>
    </row>
    <row r="309">
      <c r="B309" s="37" t="n"/>
      <c r="C309" s="31" t="n"/>
      <c r="D309" s="31" t="n"/>
      <c r="E309" s="31" t="n"/>
      <c r="F309" s="31" t="n"/>
      <c r="G309" s="31" t="n"/>
      <c r="H309" s="33" t="n"/>
      <c r="I309" s="32" t="n"/>
      <c r="J309" s="22">
        <f>IF(H309="","",ROUND(H309*N(I309)/100,2))</f>
        <v/>
      </c>
      <c r="K309" s="30" t="n"/>
      <c r="L309" s="32" t="n"/>
      <c r="M309" s="22">
        <f>IF(H309="","",IF(K309="No",0,H309*N(I309)/100*IF(L309="",100,L309)/100))</f>
        <v/>
      </c>
      <c r="N309" s="22">
        <f>IF(H309="","",H309*IF(L309="",100,L309)/100+IF(K309="No",H309*N(I309)/100*IF(L309="",100,L309)/100,0))</f>
        <v/>
      </c>
      <c r="O309" s="35">
        <f>IF(B309="","",ROUNDUP(MONTH(B309)/3,0))</f>
        <v/>
      </c>
      <c r="P309" s="35">
        <f>IF(B309="","",YEAR(B309))</f>
        <v/>
      </c>
    </row>
    <row r="310">
      <c r="B310" s="37" t="n"/>
      <c r="C310" s="31" t="n"/>
      <c r="D310" s="31" t="n"/>
      <c r="E310" s="31" t="n"/>
      <c r="F310" s="31" t="n"/>
      <c r="G310" s="31" t="n"/>
      <c r="H310" s="33" t="n"/>
      <c r="I310" s="32" t="n"/>
      <c r="J310" s="22">
        <f>IF(H310="","",ROUND(H310*N(I310)/100,2))</f>
        <v/>
      </c>
      <c r="K310" s="30" t="n"/>
      <c r="L310" s="32" t="n"/>
      <c r="M310" s="22">
        <f>IF(H310="","",IF(K310="No",0,H310*N(I310)/100*IF(L310="",100,L310)/100))</f>
        <v/>
      </c>
      <c r="N310" s="22">
        <f>IF(H310="","",H310*IF(L310="",100,L310)/100+IF(K310="No",H310*N(I310)/100*IF(L310="",100,L310)/100,0))</f>
        <v/>
      </c>
      <c r="O310" s="35">
        <f>IF(B310="","",ROUNDUP(MONTH(B310)/3,0))</f>
        <v/>
      </c>
      <c r="P310" s="35">
        <f>IF(B310="","",YEAR(B310))</f>
        <v/>
      </c>
    </row>
    <row r="311">
      <c r="B311" s="37" t="n"/>
      <c r="C311" s="31" t="n"/>
      <c r="D311" s="31" t="n"/>
      <c r="E311" s="31" t="n"/>
      <c r="F311" s="31" t="n"/>
      <c r="G311" s="31" t="n"/>
      <c r="H311" s="33" t="n"/>
      <c r="I311" s="32" t="n"/>
      <c r="J311" s="22">
        <f>IF(H311="","",ROUND(H311*N(I311)/100,2))</f>
        <v/>
      </c>
      <c r="K311" s="30" t="n"/>
      <c r="L311" s="32" t="n"/>
      <c r="M311" s="22">
        <f>IF(H311="","",IF(K311="No",0,H311*N(I311)/100*IF(L311="",100,L311)/100))</f>
        <v/>
      </c>
      <c r="N311" s="22">
        <f>IF(H311="","",H311*IF(L311="",100,L311)/100+IF(K311="No",H311*N(I311)/100*IF(L311="",100,L311)/100,0))</f>
        <v/>
      </c>
      <c r="O311" s="35">
        <f>IF(B311="","",ROUNDUP(MONTH(B311)/3,0))</f>
        <v/>
      </c>
      <c r="P311" s="35">
        <f>IF(B311="","",YEAR(B311))</f>
        <v/>
      </c>
    </row>
    <row r="312">
      <c r="B312" s="37" t="n"/>
      <c r="C312" s="31" t="n"/>
      <c r="D312" s="31" t="n"/>
      <c r="E312" s="31" t="n"/>
      <c r="F312" s="31" t="n"/>
      <c r="G312" s="31" t="n"/>
      <c r="H312" s="33" t="n"/>
      <c r="I312" s="32" t="n"/>
      <c r="J312" s="22">
        <f>IF(H312="","",ROUND(H312*N(I312)/100,2))</f>
        <v/>
      </c>
      <c r="K312" s="30" t="n"/>
      <c r="L312" s="32" t="n"/>
      <c r="M312" s="22">
        <f>IF(H312="","",IF(K312="No",0,H312*N(I312)/100*IF(L312="",100,L312)/100))</f>
        <v/>
      </c>
      <c r="N312" s="22">
        <f>IF(H312="","",H312*IF(L312="",100,L312)/100+IF(K312="No",H312*N(I312)/100*IF(L312="",100,L312)/100,0))</f>
        <v/>
      </c>
      <c r="O312" s="35">
        <f>IF(B312="","",ROUNDUP(MONTH(B312)/3,0))</f>
        <v/>
      </c>
      <c r="P312" s="35">
        <f>IF(B312="","",YEAR(B312))</f>
        <v/>
      </c>
    </row>
    <row r="313">
      <c r="B313" s="37" t="n"/>
      <c r="C313" s="31" t="n"/>
      <c r="D313" s="31" t="n"/>
      <c r="E313" s="31" t="n"/>
      <c r="F313" s="31" t="n"/>
      <c r="G313" s="31" t="n"/>
      <c r="H313" s="33" t="n"/>
      <c r="I313" s="32" t="n"/>
      <c r="J313" s="22">
        <f>IF(H313="","",ROUND(H313*N(I313)/100,2))</f>
        <v/>
      </c>
      <c r="K313" s="30" t="n"/>
      <c r="L313" s="32" t="n"/>
      <c r="M313" s="22">
        <f>IF(H313="","",IF(K313="No",0,H313*N(I313)/100*IF(L313="",100,L313)/100))</f>
        <v/>
      </c>
      <c r="N313" s="22">
        <f>IF(H313="","",H313*IF(L313="",100,L313)/100+IF(K313="No",H313*N(I313)/100*IF(L313="",100,L313)/100,0))</f>
        <v/>
      </c>
      <c r="O313" s="35">
        <f>IF(B313="","",ROUNDUP(MONTH(B313)/3,0))</f>
        <v/>
      </c>
      <c r="P313" s="35">
        <f>IF(B313="","",YEAR(B313))</f>
        <v/>
      </c>
    </row>
    <row r="314">
      <c r="B314" s="37" t="n"/>
      <c r="C314" s="31" t="n"/>
      <c r="D314" s="31" t="n"/>
      <c r="E314" s="31" t="n"/>
      <c r="F314" s="31" t="n"/>
      <c r="G314" s="31" t="n"/>
      <c r="H314" s="33" t="n"/>
      <c r="I314" s="32" t="n"/>
      <c r="J314" s="22">
        <f>IF(H314="","",ROUND(H314*N(I314)/100,2))</f>
        <v/>
      </c>
      <c r="K314" s="30" t="n"/>
      <c r="L314" s="32" t="n"/>
      <c r="M314" s="22">
        <f>IF(H314="","",IF(K314="No",0,H314*N(I314)/100*IF(L314="",100,L314)/100))</f>
        <v/>
      </c>
      <c r="N314" s="22">
        <f>IF(H314="","",H314*IF(L314="",100,L314)/100+IF(K314="No",H314*N(I314)/100*IF(L314="",100,L314)/100,0))</f>
        <v/>
      </c>
      <c r="O314" s="35">
        <f>IF(B314="","",ROUNDUP(MONTH(B314)/3,0))</f>
        <v/>
      </c>
      <c r="P314" s="35">
        <f>IF(B314="","",YEAR(B314))</f>
        <v/>
      </c>
    </row>
    <row r="315">
      <c r="B315" s="37" t="n"/>
      <c r="C315" s="31" t="n"/>
      <c r="D315" s="31" t="n"/>
      <c r="E315" s="31" t="n"/>
      <c r="F315" s="31" t="n"/>
      <c r="G315" s="31" t="n"/>
      <c r="H315" s="33" t="n"/>
      <c r="I315" s="32" t="n"/>
      <c r="J315" s="22">
        <f>IF(H315="","",ROUND(H315*N(I315)/100,2))</f>
        <v/>
      </c>
      <c r="K315" s="30" t="n"/>
      <c r="L315" s="32" t="n"/>
      <c r="M315" s="22">
        <f>IF(H315="","",IF(K315="No",0,H315*N(I315)/100*IF(L315="",100,L315)/100))</f>
        <v/>
      </c>
      <c r="N315" s="22">
        <f>IF(H315="","",H315*IF(L315="",100,L315)/100+IF(K315="No",H315*N(I315)/100*IF(L315="",100,L315)/100,0))</f>
        <v/>
      </c>
      <c r="O315" s="35">
        <f>IF(B315="","",ROUNDUP(MONTH(B315)/3,0))</f>
        <v/>
      </c>
      <c r="P315" s="35">
        <f>IF(B315="","",YEAR(B315))</f>
        <v/>
      </c>
    </row>
    <row r="316">
      <c r="B316" s="37" t="n"/>
      <c r="C316" s="31" t="n"/>
      <c r="D316" s="31" t="n"/>
      <c r="E316" s="31" t="n"/>
      <c r="F316" s="31" t="n"/>
      <c r="G316" s="31" t="n"/>
      <c r="H316" s="33" t="n"/>
      <c r="I316" s="32" t="n"/>
      <c r="J316" s="22">
        <f>IF(H316="","",ROUND(H316*N(I316)/100,2))</f>
        <v/>
      </c>
      <c r="K316" s="30" t="n"/>
      <c r="L316" s="32" t="n"/>
      <c r="M316" s="22">
        <f>IF(H316="","",IF(K316="No",0,H316*N(I316)/100*IF(L316="",100,L316)/100))</f>
        <v/>
      </c>
      <c r="N316" s="22">
        <f>IF(H316="","",H316*IF(L316="",100,L316)/100+IF(K316="No",H316*N(I316)/100*IF(L316="",100,L316)/100,0))</f>
        <v/>
      </c>
      <c r="O316" s="35">
        <f>IF(B316="","",ROUNDUP(MONTH(B316)/3,0))</f>
        <v/>
      </c>
      <c r="P316" s="35">
        <f>IF(B316="","",YEAR(B316))</f>
        <v/>
      </c>
    </row>
    <row r="317">
      <c r="B317" s="37" t="n"/>
      <c r="C317" s="31" t="n"/>
      <c r="D317" s="31" t="n"/>
      <c r="E317" s="31" t="n"/>
      <c r="F317" s="31" t="n"/>
      <c r="G317" s="31" t="n"/>
      <c r="H317" s="33" t="n"/>
      <c r="I317" s="32" t="n"/>
      <c r="J317" s="22">
        <f>IF(H317="","",ROUND(H317*N(I317)/100,2))</f>
        <v/>
      </c>
      <c r="K317" s="30" t="n"/>
      <c r="L317" s="32" t="n"/>
      <c r="M317" s="22">
        <f>IF(H317="","",IF(K317="No",0,H317*N(I317)/100*IF(L317="",100,L317)/100))</f>
        <v/>
      </c>
      <c r="N317" s="22">
        <f>IF(H317="","",H317*IF(L317="",100,L317)/100+IF(K317="No",H317*N(I317)/100*IF(L317="",100,L317)/100,0))</f>
        <v/>
      </c>
      <c r="O317" s="35">
        <f>IF(B317="","",ROUNDUP(MONTH(B317)/3,0))</f>
        <v/>
      </c>
      <c r="P317" s="35">
        <f>IF(B317="","",YEAR(B317))</f>
        <v/>
      </c>
    </row>
    <row r="318">
      <c r="B318" s="37" t="n"/>
      <c r="C318" s="31" t="n"/>
      <c r="D318" s="31" t="n"/>
      <c r="E318" s="31" t="n"/>
      <c r="F318" s="31" t="n"/>
      <c r="G318" s="31" t="n"/>
      <c r="H318" s="33" t="n"/>
      <c r="I318" s="32" t="n"/>
      <c r="J318" s="22">
        <f>IF(H318="","",ROUND(H318*N(I318)/100,2))</f>
        <v/>
      </c>
      <c r="K318" s="30" t="n"/>
      <c r="L318" s="32" t="n"/>
      <c r="M318" s="22">
        <f>IF(H318="","",IF(K318="No",0,H318*N(I318)/100*IF(L318="",100,L318)/100))</f>
        <v/>
      </c>
      <c r="N318" s="22">
        <f>IF(H318="","",H318*IF(L318="",100,L318)/100+IF(K318="No",H318*N(I318)/100*IF(L318="",100,L318)/100,0))</f>
        <v/>
      </c>
      <c r="O318" s="35">
        <f>IF(B318="","",ROUNDUP(MONTH(B318)/3,0))</f>
        <v/>
      </c>
      <c r="P318" s="35">
        <f>IF(B318="","",YEAR(B318))</f>
        <v/>
      </c>
    </row>
    <row r="319">
      <c r="B319" s="37" t="n"/>
      <c r="C319" s="31" t="n"/>
      <c r="D319" s="31" t="n"/>
      <c r="E319" s="31" t="n"/>
      <c r="F319" s="31" t="n"/>
      <c r="G319" s="31" t="n"/>
      <c r="H319" s="33" t="n"/>
      <c r="I319" s="32" t="n"/>
      <c r="J319" s="22">
        <f>IF(H319="","",ROUND(H319*N(I319)/100,2))</f>
        <v/>
      </c>
      <c r="K319" s="30" t="n"/>
      <c r="L319" s="32" t="n"/>
      <c r="M319" s="22">
        <f>IF(H319="","",IF(K319="No",0,H319*N(I319)/100*IF(L319="",100,L319)/100))</f>
        <v/>
      </c>
      <c r="N319" s="22">
        <f>IF(H319="","",H319*IF(L319="",100,L319)/100+IF(K319="No",H319*N(I319)/100*IF(L319="",100,L319)/100,0))</f>
        <v/>
      </c>
      <c r="O319" s="35">
        <f>IF(B319="","",ROUNDUP(MONTH(B319)/3,0))</f>
        <v/>
      </c>
      <c r="P319" s="35">
        <f>IF(B319="","",YEAR(B319))</f>
        <v/>
      </c>
    </row>
    <row r="320">
      <c r="B320" s="37" t="n"/>
      <c r="C320" s="31" t="n"/>
      <c r="D320" s="31" t="n"/>
      <c r="E320" s="31" t="n"/>
      <c r="F320" s="31" t="n"/>
      <c r="G320" s="31" t="n"/>
      <c r="H320" s="33" t="n"/>
      <c r="I320" s="32" t="n"/>
      <c r="J320" s="22">
        <f>IF(H320="","",ROUND(H320*N(I320)/100,2))</f>
        <v/>
      </c>
      <c r="K320" s="30" t="n"/>
      <c r="L320" s="32" t="n"/>
      <c r="M320" s="22">
        <f>IF(H320="","",IF(K320="No",0,H320*N(I320)/100*IF(L320="",100,L320)/100))</f>
        <v/>
      </c>
      <c r="N320" s="22">
        <f>IF(H320="","",H320*IF(L320="",100,L320)/100+IF(K320="No",H320*N(I320)/100*IF(L320="",100,L320)/100,0))</f>
        <v/>
      </c>
      <c r="O320" s="35">
        <f>IF(B320="","",ROUNDUP(MONTH(B320)/3,0))</f>
        <v/>
      </c>
      <c r="P320" s="35">
        <f>IF(B320="","",YEAR(B320))</f>
        <v/>
      </c>
    </row>
    <row r="321">
      <c r="B321" s="37" t="n"/>
      <c r="C321" s="31" t="n"/>
      <c r="D321" s="31" t="n"/>
      <c r="E321" s="31" t="n"/>
      <c r="F321" s="31" t="n"/>
      <c r="G321" s="31" t="n"/>
      <c r="H321" s="33" t="n"/>
      <c r="I321" s="32" t="n"/>
      <c r="J321" s="22">
        <f>IF(H321="","",ROUND(H321*N(I321)/100,2))</f>
        <v/>
      </c>
      <c r="K321" s="30" t="n"/>
      <c r="L321" s="32" t="n"/>
      <c r="M321" s="22">
        <f>IF(H321="","",IF(K321="No",0,H321*N(I321)/100*IF(L321="",100,L321)/100))</f>
        <v/>
      </c>
      <c r="N321" s="22">
        <f>IF(H321="","",H321*IF(L321="",100,L321)/100+IF(K321="No",H321*N(I321)/100*IF(L321="",100,L321)/100,0))</f>
        <v/>
      </c>
      <c r="O321" s="35">
        <f>IF(B321="","",ROUNDUP(MONTH(B321)/3,0))</f>
        <v/>
      </c>
      <c r="P321" s="35">
        <f>IF(B321="","",YEAR(B321))</f>
        <v/>
      </c>
    </row>
    <row r="322">
      <c r="B322" s="37" t="n"/>
      <c r="C322" s="31" t="n"/>
      <c r="D322" s="31" t="n"/>
      <c r="E322" s="31" t="n"/>
      <c r="F322" s="31" t="n"/>
      <c r="G322" s="31" t="n"/>
      <c r="H322" s="33" t="n"/>
      <c r="I322" s="32" t="n"/>
      <c r="J322" s="22">
        <f>IF(H322="","",ROUND(H322*N(I322)/100,2))</f>
        <v/>
      </c>
      <c r="K322" s="30" t="n"/>
      <c r="L322" s="32" t="n"/>
      <c r="M322" s="22">
        <f>IF(H322="","",IF(K322="No",0,H322*N(I322)/100*IF(L322="",100,L322)/100))</f>
        <v/>
      </c>
      <c r="N322" s="22">
        <f>IF(H322="","",H322*IF(L322="",100,L322)/100+IF(K322="No",H322*N(I322)/100*IF(L322="",100,L322)/100,0))</f>
        <v/>
      </c>
      <c r="O322" s="35">
        <f>IF(B322="","",ROUNDUP(MONTH(B322)/3,0))</f>
        <v/>
      </c>
      <c r="P322" s="35">
        <f>IF(B322="","",YEAR(B322))</f>
        <v/>
      </c>
    </row>
    <row r="323">
      <c r="B323" s="37" t="n"/>
      <c r="C323" s="31" t="n"/>
      <c r="D323" s="31" t="n"/>
      <c r="E323" s="31" t="n"/>
      <c r="F323" s="31" t="n"/>
      <c r="G323" s="31" t="n"/>
      <c r="H323" s="33" t="n"/>
      <c r="I323" s="32" t="n"/>
      <c r="J323" s="22">
        <f>IF(H323="","",ROUND(H323*N(I323)/100,2))</f>
        <v/>
      </c>
      <c r="K323" s="30" t="n"/>
      <c r="L323" s="32" t="n"/>
      <c r="M323" s="22">
        <f>IF(H323="","",IF(K323="No",0,H323*N(I323)/100*IF(L323="",100,L323)/100))</f>
        <v/>
      </c>
      <c r="N323" s="22">
        <f>IF(H323="","",H323*IF(L323="",100,L323)/100+IF(K323="No",H323*N(I323)/100*IF(L323="",100,L323)/100,0))</f>
        <v/>
      </c>
      <c r="O323" s="35">
        <f>IF(B323="","",ROUNDUP(MONTH(B323)/3,0))</f>
        <v/>
      </c>
      <c r="P323" s="35">
        <f>IF(B323="","",YEAR(B323))</f>
        <v/>
      </c>
    </row>
    <row r="324">
      <c r="B324" s="37" t="n"/>
      <c r="C324" s="31" t="n"/>
      <c r="D324" s="31" t="n"/>
      <c r="E324" s="31" t="n"/>
      <c r="F324" s="31" t="n"/>
      <c r="G324" s="31" t="n"/>
      <c r="H324" s="33" t="n"/>
      <c r="I324" s="32" t="n"/>
      <c r="J324" s="22">
        <f>IF(H324="","",ROUND(H324*N(I324)/100,2))</f>
        <v/>
      </c>
      <c r="K324" s="30" t="n"/>
      <c r="L324" s="32" t="n"/>
      <c r="M324" s="22">
        <f>IF(H324="","",IF(K324="No",0,H324*N(I324)/100*IF(L324="",100,L324)/100))</f>
        <v/>
      </c>
      <c r="N324" s="22">
        <f>IF(H324="","",H324*IF(L324="",100,L324)/100+IF(K324="No",H324*N(I324)/100*IF(L324="",100,L324)/100,0))</f>
        <v/>
      </c>
      <c r="O324" s="35">
        <f>IF(B324="","",ROUNDUP(MONTH(B324)/3,0))</f>
        <v/>
      </c>
      <c r="P324" s="35">
        <f>IF(B324="","",YEAR(B324))</f>
        <v/>
      </c>
    </row>
    <row r="325">
      <c r="B325" s="37" t="n"/>
      <c r="C325" s="31" t="n"/>
      <c r="D325" s="31" t="n"/>
      <c r="E325" s="31" t="n"/>
      <c r="F325" s="31" t="n"/>
      <c r="G325" s="31" t="n"/>
      <c r="H325" s="33" t="n"/>
      <c r="I325" s="32" t="n"/>
      <c r="J325" s="22">
        <f>IF(H325="","",ROUND(H325*N(I325)/100,2))</f>
        <v/>
      </c>
      <c r="K325" s="30" t="n"/>
      <c r="L325" s="32" t="n"/>
      <c r="M325" s="22">
        <f>IF(H325="","",IF(K325="No",0,H325*N(I325)/100*IF(L325="",100,L325)/100))</f>
        <v/>
      </c>
      <c r="N325" s="22">
        <f>IF(H325="","",H325*IF(L325="",100,L325)/100+IF(K325="No",H325*N(I325)/100*IF(L325="",100,L325)/100,0))</f>
        <v/>
      </c>
      <c r="O325" s="35">
        <f>IF(B325="","",ROUNDUP(MONTH(B325)/3,0))</f>
        <v/>
      </c>
      <c r="P325" s="35">
        <f>IF(B325="","",YEAR(B325))</f>
        <v/>
      </c>
    </row>
    <row r="326">
      <c r="B326" s="37" t="n"/>
      <c r="C326" s="31" t="n"/>
      <c r="D326" s="31" t="n"/>
      <c r="E326" s="31" t="n"/>
      <c r="F326" s="31" t="n"/>
      <c r="G326" s="31" t="n"/>
      <c r="H326" s="33" t="n"/>
      <c r="I326" s="32" t="n"/>
      <c r="J326" s="22">
        <f>IF(H326="","",ROUND(H326*N(I326)/100,2))</f>
        <v/>
      </c>
      <c r="K326" s="30" t="n"/>
      <c r="L326" s="32" t="n"/>
      <c r="M326" s="22">
        <f>IF(H326="","",IF(K326="No",0,H326*N(I326)/100*IF(L326="",100,L326)/100))</f>
        <v/>
      </c>
      <c r="N326" s="22">
        <f>IF(H326="","",H326*IF(L326="",100,L326)/100+IF(K326="No",H326*N(I326)/100*IF(L326="",100,L326)/100,0))</f>
        <v/>
      </c>
      <c r="O326" s="35">
        <f>IF(B326="","",ROUNDUP(MONTH(B326)/3,0))</f>
        <v/>
      </c>
      <c r="P326" s="35">
        <f>IF(B326="","",YEAR(B326))</f>
        <v/>
      </c>
    </row>
    <row r="327">
      <c r="B327" s="37" t="n"/>
      <c r="C327" s="31" t="n"/>
      <c r="D327" s="31" t="n"/>
      <c r="E327" s="31" t="n"/>
      <c r="F327" s="31" t="n"/>
      <c r="G327" s="31" t="n"/>
      <c r="H327" s="33" t="n"/>
      <c r="I327" s="32" t="n"/>
      <c r="J327" s="22">
        <f>IF(H327="","",ROUND(H327*N(I327)/100,2))</f>
        <v/>
      </c>
      <c r="K327" s="30" t="n"/>
      <c r="L327" s="32" t="n"/>
      <c r="M327" s="22">
        <f>IF(H327="","",IF(K327="No",0,H327*N(I327)/100*IF(L327="",100,L327)/100))</f>
        <v/>
      </c>
      <c r="N327" s="22">
        <f>IF(H327="","",H327*IF(L327="",100,L327)/100+IF(K327="No",H327*N(I327)/100*IF(L327="",100,L327)/100,0))</f>
        <v/>
      </c>
      <c r="O327" s="35">
        <f>IF(B327="","",ROUNDUP(MONTH(B327)/3,0))</f>
        <v/>
      </c>
      <c r="P327" s="35">
        <f>IF(B327="","",YEAR(B327))</f>
        <v/>
      </c>
    </row>
    <row r="328">
      <c r="B328" s="37" t="n"/>
      <c r="C328" s="31" t="n"/>
      <c r="D328" s="31" t="n"/>
      <c r="E328" s="31" t="n"/>
      <c r="F328" s="31" t="n"/>
      <c r="G328" s="31" t="n"/>
      <c r="H328" s="33" t="n"/>
      <c r="I328" s="32" t="n"/>
      <c r="J328" s="22">
        <f>IF(H328="","",ROUND(H328*N(I328)/100,2))</f>
        <v/>
      </c>
      <c r="K328" s="30" t="n"/>
      <c r="L328" s="32" t="n"/>
      <c r="M328" s="22">
        <f>IF(H328="","",IF(K328="No",0,H328*N(I328)/100*IF(L328="",100,L328)/100))</f>
        <v/>
      </c>
      <c r="N328" s="22">
        <f>IF(H328="","",H328*IF(L328="",100,L328)/100+IF(K328="No",H328*N(I328)/100*IF(L328="",100,L328)/100,0))</f>
        <v/>
      </c>
      <c r="O328" s="35">
        <f>IF(B328="","",ROUNDUP(MONTH(B328)/3,0))</f>
        <v/>
      </c>
      <c r="P328" s="35">
        <f>IF(B328="","",YEAR(B328))</f>
        <v/>
      </c>
    </row>
    <row r="329">
      <c r="B329" s="37" t="n"/>
      <c r="C329" s="31" t="n"/>
      <c r="D329" s="31" t="n"/>
      <c r="E329" s="31" t="n"/>
      <c r="F329" s="31" t="n"/>
      <c r="G329" s="31" t="n"/>
      <c r="H329" s="33" t="n"/>
      <c r="I329" s="32" t="n"/>
      <c r="J329" s="22">
        <f>IF(H329="","",ROUND(H329*N(I329)/100,2))</f>
        <v/>
      </c>
      <c r="K329" s="30" t="n"/>
      <c r="L329" s="32" t="n"/>
      <c r="M329" s="22">
        <f>IF(H329="","",IF(K329="No",0,H329*N(I329)/100*IF(L329="",100,L329)/100))</f>
        <v/>
      </c>
      <c r="N329" s="22">
        <f>IF(H329="","",H329*IF(L329="",100,L329)/100+IF(K329="No",H329*N(I329)/100*IF(L329="",100,L329)/100,0))</f>
        <v/>
      </c>
      <c r="O329" s="35">
        <f>IF(B329="","",ROUNDUP(MONTH(B329)/3,0))</f>
        <v/>
      </c>
      <c r="P329" s="35">
        <f>IF(B329="","",YEAR(B329))</f>
        <v/>
      </c>
    </row>
    <row r="330">
      <c r="B330" s="37" t="n"/>
      <c r="C330" s="31" t="n"/>
      <c r="D330" s="31" t="n"/>
      <c r="E330" s="31" t="n"/>
      <c r="F330" s="31" t="n"/>
      <c r="G330" s="31" t="n"/>
      <c r="H330" s="33" t="n"/>
      <c r="I330" s="32" t="n"/>
      <c r="J330" s="22">
        <f>IF(H330="","",ROUND(H330*N(I330)/100,2))</f>
        <v/>
      </c>
      <c r="K330" s="30" t="n"/>
      <c r="L330" s="32" t="n"/>
      <c r="M330" s="22">
        <f>IF(H330="","",IF(K330="No",0,H330*N(I330)/100*IF(L330="",100,L330)/100))</f>
        <v/>
      </c>
      <c r="N330" s="22">
        <f>IF(H330="","",H330*IF(L330="",100,L330)/100+IF(K330="No",H330*N(I330)/100*IF(L330="",100,L330)/100,0))</f>
        <v/>
      </c>
      <c r="O330" s="35">
        <f>IF(B330="","",ROUNDUP(MONTH(B330)/3,0))</f>
        <v/>
      </c>
      <c r="P330" s="35">
        <f>IF(B330="","",YEAR(B330))</f>
        <v/>
      </c>
    </row>
    <row r="331">
      <c r="B331" s="37" t="n"/>
      <c r="C331" s="31" t="n"/>
      <c r="D331" s="31" t="n"/>
      <c r="E331" s="31" t="n"/>
      <c r="F331" s="31" t="n"/>
      <c r="G331" s="31" t="n"/>
      <c r="H331" s="33" t="n"/>
      <c r="I331" s="32" t="n"/>
      <c r="J331" s="22">
        <f>IF(H331="","",ROUND(H331*N(I331)/100,2))</f>
        <v/>
      </c>
      <c r="K331" s="30" t="n"/>
      <c r="L331" s="32" t="n"/>
      <c r="M331" s="22">
        <f>IF(H331="","",IF(K331="No",0,H331*N(I331)/100*IF(L331="",100,L331)/100))</f>
        <v/>
      </c>
      <c r="N331" s="22">
        <f>IF(H331="","",H331*IF(L331="",100,L331)/100+IF(K331="No",H331*N(I331)/100*IF(L331="",100,L331)/100,0))</f>
        <v/>
      </c>
      <c r="O331" s="35">
        <f>IF(B331="","",ROUNDUP(MONTH(B331)/3,0))</f>
        <v/>
      </c>
      <c r="P331" s="35">
        <f>IF(B331="","",YEAR(B331))</f>
        <v/>
      </c>
    </row>
    <row r="332">
      <c r="B332" s="37" t="n"/>
      <c r="C332" s="31" t="n"/>
      <c r="D332" s="31" t="n"/>
      <c r="E332" s="31" t="n"/>
      <c r="F332" s="31" t="n"/>
      <c r="G332" s="31" t="n"/>
      <c r="H332" s="33" t="n"/>
      <c r="I332" s="32" t="n"/>
      <c r="J332" s="22">
        <f>IF(H332="","",ROUND(H332*N(I332)/100,2))</f>
        <v/>
      </c>
      <c r="K332" s="30" t="n"/>
      <c r="L332" s="32" t="n"/>
      <c r="M332" s="22">
        <f>IF(H332="","",IF(K332="No",0,H332*N(I332)/100*IF(L332="",100,L332)/100))</f>
        <v/>
      </c>
      <c r="N332" s="22">
        <f>IF(H332="","",H332*IF(L332="",100,L332)/100+IF(K332="No",H332*N(I332)/100*IF(L332="",100,L332)/100,0))</f>
        <v/>
      </c>
      <c r="O332" s="35">
        <f>IF(B332="","",ROUNDUP(MONTH(B332)/3,0))</f>
        <v/>
      </c>
      <c r="P332" s="35">
        <f>IF(B332="","",YEAR(B332))</f>
        <v/>
      </c>
    </row>
    <row r="333">
      <c r="B333" s="37" t="n"/>
      <c r="C333" s="31" t="n"/>
      <c r="D333" s="31" t="n"/>
      <c r="E333" s="31" t="n"/>
      <c r="F333" s="31" t="n"/>
      <c r="G333" s="31" t="n"/>
      <c r="H333" s="33" t="n"/>
      <c r="I333" s="32" t="n"/>
      <c r="J333" s="22">
        <f>IF(H333="","",ROUND(H333*N(I333)/100,2))</f>
        <v/>
      </c>
      <c r="K333" s="30" t="n"/>
      <c r="L333" s="32" t="n"/>
      <c r="M333" s="22">
        <f>IF(H333="","",IF(K333="No",0,H333*N(I333)/100*IF(L333="",100,L333)/100))</f>
        <v/>
      </c>
      <c r="N333" s="22">
        <f>IF(H333="","",H333*IF(L333="",100,L333)/100+IF(K333="No",H333*N(I333)/100*IF(L333="",100,L333)/100,0))</f>
        <v/>
      </c>
      <c r="O333" s="35">
        <f>IF(B333="","",ROUNDUP(MONTH(B333)/3,0))</f>
        <v/>
      </c>
      <c r="P333" s="35">
        <f>IF(B333="","",YEAR(B333))</f>
        <v/>
      </c>
    </row>
    <row r="334">
      <c r="B334" s="37" t="n"/>
      <c r="C334" s="31" t="n"/>
      <c r="D334" s="31" t="n"/>
      <c r="E334" s="31" t="n"/>
      <c r="F334" s="31" t="n"/>
      <c r="G334" s="31" t="n"/>
      <c r="H334" s="33" t="n"/>
      <c r="I334" s="32" t="n"/>
      <c r="J334" s="22">
        <f>IF(H334="","",ROUND(H334*N(I334)/100,2))</f>
        <v/>
      </c>
      <c r="K334" s="30" t="n"/>
      <c r="L334" s="32" t="n"/>
      <c r="M334" s="22">
        <f>IF(H334="","",IF(K334="No",0,H334*N(I334)/100*IF(L334="",100,L334)/100))</f>
        <v/>
      </c>
      <c r="N334" s="22">
        <f>IF(H334="","",H334*IF(L334="",100,L334)/100+IF(K334="No",H334*N(I334)/100*IF(L334="",100,L334)/100,0))</f>
        <v/>
      </c>
      <c r="O334" s="35">
        <f>IF(B334="","",ROUNDUP(MONTH(B334)/3,0))</f>
        <v/>
      </c>
      <c r="P334" s="35">
        <f>IF(B334="","",YEAR(B334))</f>
        <v/>
      </c>
    </row>
    <row r="335">
      <c r="B335" s="37" t="n"/>
      <c r="C335" s="31" t="n"/>
      <c r="D335" s="31" t="n"/>
      <c r="E335" s="31" t="n"/>
      <c r="F335" s="31" t="n"/>
      <c r="G335" s="31" t="n"/>
      <c r="H335" s="33" t="n"/>
      <c r="I335" s="32" t="n"/>
      <c r="J335" s="22">
        <f>IF(H335="","",ROUND(H335*N(I335)/100,2))</f>
        <v/>
      </c>
      <c r="K335" s="30" t="n"/>
      <c r="L335" s="32" t="n"/>
      <c r="M335" s="22">
        <f>IF(H335="","",IF(K335="No",0,H335*N(I335)/100*IF(L335="",100,L335)/100))</f>
        <v/>
      </c>
      <c r="N335" s="22">
        <f>IF(H335="","",H335*IF(L335="",100,L335)/100+IF(K335="No",H335*N(I335)/100*IF(L335="",100,L335)/100,0))</f>
        <v/>
      </c>
      <c r="O335" s="35">
        <f>IF(B335="","",ROUNDUP(MONTH(B335)/3,0))</f>
        <v/>
      </c>
      <c r="P335" s="35">
        <f>IF(B335="","",YEAR(B335))</f>
        <v/>
      </c>
    </row>
    <row r="336">
      <c r="B336" s="37" t="n"/>
      <c r="C336" s="31" t="n"/>
      <c r="D336" s="31" t="n"/>
      <c r="E336" s="31" t="n"/>
      <c r="F336" s="31" t="n"/>
      <c r="G336" s="31" t="n"/>
      <c r="H336" s="33" t="n"/>
      <c r="I336" s="32" t="n"/>
      <c r="J336" s="22">
        <f>IF(H336="","",ROUND(H336*N(I336)/100,2))</f>
        <v/>
      </c>
      <c r="K336" s="30" t="n"/>
      <c r="L336" s="32" t="n"/>
      <c r="M336" s="22">
        <f>IF(H336="","",IF(K336="No",0,H336*N(I336)/100*IF(L336="",100,L336)/100))</f>
        <v/>
      </c>
      <c r="N336" s="22">
        <f>IF(H336="","",H336*IF(L336="",100,L336)/100+IF(K336="No",H336*N(I336)/100*IF(L336="",100,L336)/100,0))</f>
        <v/>
      </c>
      <c r="O336" s="35">
        <f>IF(B336="","",ROUNDUP(MONTH(B336)/3,0))</f>
        <v/>
      </c>
      <c r="P336" s="35">
        <f>IF(B336="","",YEAR(B336))</f>
        <v/>
      </c>
    </row>
    <row r="337">
      <c r="B337" s="37" t="n"/>
      <c r="C337" s="31" t="n"/>
      <c r="D337" s="31" t="n"/>
      <c r="E337" s="31" t="n"/>
      <c r="F337" s="31" t="n"/>
      <c r="G337" s="31" t="n"/>
      <c r="H337" s="33" t="n"/>
      <c r="I337" s="32" t="n"/>
      <c r="J337" s="22">
        <f>IF(H337="","",ROUND(H337*N(I337)/100,2))</f>
        <v/>
      </c>
      <c r="K337" s="30" t="n"/>
      <c r="L337" s="32" t="n"/>
      <c r="M337" s="22">
        <f>IF(H337="","",IF(K337="No",0,H337*N(I337)/100*IF(L337="",100,L337)/100))</f>
        <v/>
      </c>
      <c r="N337" s="22">
        <f>IF(H337="","",H337*IF(L337="",100,L337)/100+IF(K337="No",H337*N(I337)/100*IF(L337="",100,L337)/100,0))</f>
        <v/>
      </c>
      <c r="O337" s="35">
        <f>IF(B337="","",ROUNDUP(MONTH(B337)/3,0))</f>
        <v/>
      </c>
      <c r="P337" s="35">
        <f>IF(B337="","",YEAR(B337))</f>
        <v/>
      </c>
    </row>
    <row r="338">
      <c r="B338" s="37" t="n"/>
      <c r="C338" s="31" t="n"/>
      <c r="D338" s="31" t="n"/>
      <c r="E338" s="31" t="n"/>
      <c r="F338" s="31" t="n"/>
      <c r="G338" s="31" t="n"/>
      <c r="H338" s="33" t="n"/>
      <c r="I338" s="32" t="n"/>
      <c r="J338" s="22">
        <f>IF(H338="","",ROUND(H338*N(I338)/100,2))</f>
        <v/>
      </c>
      <c r="K338" s="30" t="n"/>
      <c r="L338" s="32" t="n"/>
      <c r="M338" s="22">
        <f>IF(H338="","",IF(K338="No",0,H338*N(I338)/100*IF(L338="",100,L338)/100))</f>
        <v/>
      </c>
      <c r="N338" s="22">
        <f>IF(H338="","",H338*IF(L338="",100,L338)/100+IF(K338="No",H338*N(I338)/100*IF(L338="",100,L338)/100,0))</f>
        <v/>
      </c>
      <c r="O338" s="35">
        <f>IF(B338="","",ROUNDUP(MONTH(B338)/3,0))</f>
        <v/>
      </c>
      <c r="P338" s="35">
        <f>IF(B338="","",YEAR(B338))</f>
        <v/>
      </c>
    </row>
    <row r="339">
      <c r="B339" s="37" t="n"/>
      <c r="C339" s="31" t="n"/>
      <c r="D339" s="31" t="n"/>
      <c r="E339" s="31" t="n"/>
      <c r="F339" s="31" t="n"/>
      <c r="G339" s="31" t="n"/>
      <c r="H339" s="33" t="n"/>
      <c r="I339" s="32" t="n"/>
      <c r="J339" s="22">
        <f>IF(H339="","",ROUND(H339*N(I339)/100,2))</f>
        <v/>
      </c>
      <c r="K339" s="30" t="n"/>
      <c r="L339" s="32" t="n"/>
      <c r="M339" s="22">
        <f>IF(H339="","",IF(K339="No",0,H339*N(I339)/100*IF(L339="",100,L339)/100))</f>
        <v/>
      </c>
      <c r="N339" s="22">
        <f>IF(H339="","",H339*IF(L339="",100,L339)/100+IF(K339="No",H339*N(I339)/100*IF(L339="",100,L339)/100,0))</f>
        <v/>
      </c>
      <c r="O339" s="35">
        <f>IF(B339="","",ROUNDUP(MONTH(B339)/3,0))</f>
        <v/>
      </c>
      <c r="P339" s="35">
        <f>IF(B339="","",YEAR(B339))</f>
        <v/>
      </c>
    </row>
    <row r="340">
      <c r="B340" s="37" t="n"/>
      <c r="C340" s="31" t="n"/>
      <c r="D340" s="31" t="n"/>
      <c r="E340" s="31" t="n"/>
      <c r="F340" s="31" t="n"/>
      <c r="G340" s="31" t="n"/>
      <c r="H340" s="33" t="n"/>
      <c r="I340" s="32" t="n"/>
      <c r="J340" s="22">
        <f>IF(H340="","",ROUND(H340*N(I340)/100,2))</f>
        <v/>
      </c>
      <c r="K340" s="30" t="n"/>
      <c r="L340" s="32" t="n"/>
      <c r="M340" s="22">
        <f>IF(H340="","",IF(K340="No",0,H340*N(I340)/100*IF(L340="",100,L340)/100))</f>
        <v/>
      </c>
      <c r="N340" s="22">
        <f>IF(H340="","",H340*IF(L340="",100,L340)/100+IF(K340="No",H340*N(I340)/100*IF(L340="",100,L340)/100,0))</f>
        <v/>
      </c>
      <c r="O340" s="35">
        <f>IF(B340="","",ROUNDUP(MONTH(B340)/3,0))</f>
        <v/>
      </c>
      <c r="P340" s="35">
        <f>IF(B340="","",YEAR(B340))</f>
        <v/>
      </c>
    </row>
    <row r="341">
      <c r="B341" s="37" t="n"/>
      <c r="C341" s="31" t="n"/>
      <c r="D341" s="31" t="n"/>
      <c r="E341" s="31" t="n"/>
      <c r="F341" s="31" t="n"/>
      <c r="G341" s="31" t="n"/>
      <c r="H341" s="33" t="n"/>
      <c r="I341" s="32" t="n"/>
      <c r="J341" s="22">
        <f>IF(H341="","",ROUND(H341*N(I341)/100,2))</f>
        <v/>
      </c>
      <c r="K341" s="30" t="n"/>
      <c r="L341" s="32" t="n"/>
      <c r="M341" s="22">
        <f>IF(H341="","",IF(K341="No",0,H341*N(I341)/100*IF(L341="",100,L341)/100))</f>
        <v/>
      </c>
      <c r="N341" s="22">
        <f>IF(H341="","",H341*IF(L341="",100,L341)/100+IF(K341="No",H341*N(I341)/100*IF(L341="",100,L341)/100,0))</f>
        <v/>
      </c>
      <c r="O341" s="35">
        <f>IF(B341="","",ROUNDUP(MONTH(B341)/3,0))</f>
        <v/>
      </c>
      <c r="P341" s="35">
        <f>IF(B341="","",YEAR(B341))</f>
        <v/>
      </c>
    </row>
    <row r="342">
      <c r="B342" s="37" t="n"/>
      <c r="C342" s="31" t="n"/>
      <c r="D342" s="31" t="n"/>
      <c r="E342" s="31" t="n"/>
      <c r="F342" s="31" t="n"/>
      <c r="G342" s="31" t="n"/>
      <c r="H342" s="33" t="n"/>
      <c r="I342" s="32" t="n"/>
      <c r="J342" s="22">
        <f>IF(H342="","",ROUND(H342*N(I342)/100,2))</f>
        <v/>
      </c>
      <c r="K342" s="30" t="n"/>
      <c r="L342" s="32" t="n"/>
      <c r="M342" s="22">
        <f>IF(H342="","",IF(K342="No",0,H342*N(I342)/100*IF(L342="",100,L342)/100))</f>
        <v/>
      </c>
      <c r="N342" s="22">
        <f>IF(H342="","",H342*IF(L342="",100,L342)/100+IF(K342="No",H342*N(I342)/100*IF(L342="",100,L342)/100,0))</f>
        <v/>
      </c>
      <c r="O342" s="35">
        <f>IF(B342="","",ROUNDUP(MONTH(B342)/3,0))</f>
        <v/>
      </c>
      <c r="P342" s="35">
        <f>IF(B342="","",YEAR(B342))</f>
        <v/>
      </c>
    </row>
    <row r="343">
      <c r="B343" s="37" t="n"/>
      <c r="C343" s="31" t="n"/>
      <c r="D343" s="31" t="n"/>
      <c r="E343" s="31" t="n"/>
      <c r="F343" s="31" t="n"/>
      <c r="G343" s="31" t="n"/>
      <c r="H343" s="33" t="n"/>
      <c r="I343" s="32" t="n"/>
      <c r="J343" s="22">
        <f>IF(H343="","",ROUND(H343*N(I343)/100,2))</f>
        <v/>
      </c>
      <c r="K343" s="30" t="n"/>
      <c r="L343" s="32" t="n"/>
      <c r="M343" s="22">
        <f>IF(H343="","",IF(K343="No",0,H343*N(I343)/100*IF(L343="",100,L343)/100))</f>
        <v/>
      </c>
      <c r="N343" s="22">
        <f>IF(H343="","",H343*IF(L343="",100,L343)/100+IF(K343="No",H343*N(I343)/100*IF(L343="",100,L343)/100,0))</f>
        <v/>
      </c>
      <c r="O343" s="35">
        <f>IF(B343="","",ROUNDUP(MONTH(B343)/3,0))</f>
        <v/>
      </c>
      <c r="P343" s="35">
        <f>IF(B343="","",YEAR(B343))</f>
        <v/>
      </c>
    </row>
    <row r="344">
      <c r="B344" s="37" t="n"/>
      <c r="C344" s="31" t="n"/>
      <c r="D344" s="31" t="n"/>
      <c r="E344" s="31" t="n"/>
      <c r="F344" s="31" t="n"/>
      <c r="G344" s="31" t="n"/>
      <c r="H344" s="33" t="n"/>
      <c r="I344" s="32" t="n"/>
      <c r="J344" s="22">
        <f>IF(H344="","",ROUND(H344*N(I344)/100,2))</f>
        <v/>
      </c>
      <c r="K344" s="30" t="n"/>
      <c r="L344" s="32" t="n"/>
      <c r="M344" s="22">
        <f>IF(H344="","",IF(K344="No",0,H344*N(I344)/100*IF(L344="",100,L344)/100))</f>
        <v/>
      </c>
      <c r="N344" s="22">
        <f>IF(H344="","",H344*IF(L344="",100,L344)/100+IF(K344="No",H344*N(I344)/100*IF(L344="",100,L344)/100,0))</f>
        <v/>
      </c>
      <c r="O344" s="35">
        <f>IF(B344="","",ROUNDUP(MONTH(B344)/3,0))</f>
        <v/>
      </c>
      <c r="P344" s="35">
        <f>IF(B344="","",YEAR(B344))</f>
        <v/>
      </c>
    </row>
    <row r="345">
      <c r="B345" s="37" t="n"/>
      <c r="C345" s="31" t="n"/>
      <c r="D345" s="31" t="n"/>
      <c r="E345" s="31" t="n"/>
      <c r="F345" s="31" t="n"/>
      <c r="G345" s="31" t="n"/>
      <c r="H345" s="33" t="n"/>
      <c r="I345" s="32" t="n"/>
      <c r="J345" s="22">
        <f>IF(H345="","",ROUND(H345*N(I345)/100,2))</f>
        <v/>
      </c>
      <c r="K345" s="30" t="n"/>
      <c r="L345" s="32" t="n"/>
      <c r="M345" s="22">
        <f>IF(H345="","",IF(K345="No",0,H345*N(I345)/100*IF(L345="",100,L345)/100))</f>
        <v/>
      </c>
      <c r="N345" s="22">
        <f>IF(H345="","",H345*IF(L345="",100,L345)/100+IF(K345="No",H345*N(I345)/100*IF(L345="",100,L345)/100,0))</f>
        <v/>
      </c>
      <c r="O345" s="35">
        <f>IF(B345="","",ROUNDUP(MONTH(B345)/3,0))</f>
        <v/>
      </c>
      <c r="P345" s="35">
        <f>IF(B345="","",YEAR(B345))</f>
        <v/>
      </c>
    </row>
    <row r="346">
      <c r="B346" s="37" t="n"/>
      <c r="C346" s="31" t="n"/>
      <c r="D346" s="31" t="n"/>
      <c r="E346" s="31" t="n"/>
      <c r="F346" s="31" t="n"/>
      <c r="G346" s="31" t="n"/>
      <c r="H346" s="33" t="n"/>
      <c r="I346" s="32" t="n"/>
      <c r="J346" s="22">
        <f>IF(H346="","",ROUND(H346*N(I346)/100,2))</f>
        <v/>
      </c>
      <c r="K346" s="30" t="n"/>
      <c r="L346" s="32" t="n"/>
      <c r="M346" s="22">
        <f>IF(H346="","",IF(K346="No",0,H346*N(I346)/100*IF(L346="",100,L346)/100))</f>
        <v/>
      </c>
      <c r="N346" s="22">
        <f>IF(H346="","",H346*IF(L346="",100,L346)/100+IF(K346="No",H346*N(I346)/100*IF(L346="",100,L346)/100,0))</f>
        <v/>
      </c>
      <c r="O346" s="35">
        <f>IF(B346="","",ROUNDUP(MONTH(B346)/3,0))</f>
        <v/>
      </c>
      <c r="P346" s="35">
        <f>IF(B346="","",YEAR(B346))</f>
        <v/>
      </c>
    </row>
    <row r="347">
      <c r="B347" s="37" t="n"/>
      <c r="C347" s="31" t="n"/>
      <c r="D347" s="31" t="n"/>
      <c r="E347" s="31" t="n"/>
      <c r="F347" s="31" t="n"/>
      <c r="G347" s="31" t="n"/>
      <c r="H347" s="33" t="n"/>
      <c r="I347" s="32" t="n"/>
      <c r="J347" s="22">
        <f>IF(H347="","",ROUND(H347*N(I347)/100,2))</f>
        <v/>
      </c>
      <c r="K347" s="30" t="n"/>
      <c r="L347" s="32" t="n"/>
      <c r="M347" s="22">
        <f>IF(H347="","",IF(K347="No",0,H347*N(I347)/100*IF(L347="",100,L347)/100))</f>
        <v/>
      </c>
      <c r="N347" s="22">
        <f>IF(H347="","",H347*IF(L347="",100,L347)/100+IF(K347="No",H347*N(I347)/100*IF(L347="",100,L347)/100,0))</f>
        <v/>
      </c>
      <c r="O347" s="35">
        <f>IF(B347="","",ROUNDUP(MONTH(B347)/3,0))</f>
        <v/>
      </c>
      <c r="P347" s="35">
        <f>IF(B347="","",YEAR(B347))</f>
        <v/>
      </c>
    </row>
    <row r="348">
      <c r="B348" s="37" t="n"/>
      <c r="C348" s="31" t="n"/>
      <c r="D348" s="31" t="n"/>
      <c r="E348" s="31" t="n"/>
      <c r="F348" s="31" t="n"/>
      <c r="G348" s="31" t="n"/>
      <c r="H348" s="33" t="n"/>
      <c r="I348" s="32" t="n"/>
      <c r="J348" s="22">
        <f>IF(H348="","",ROUND(H348*N(I348)/100,2))</f>
        <v/>
      </c>
      <c r="K348" s="30" t="n"/>
      <c r="L348" s="32" t="n"/>
      <c r="M348" s="22">
        <f>IF(H348="","",IF(K348="No",0,H348*N(I348)/100*IF(L348="",100,L348)/100))</f>
        <v/>
      </c>
      <c r="N348" s="22">
        <f>IF(H348="","",H348*IF(L348="",100,L348)/100+IF(K348="No",H348*N(I348)/100*IF(L348="",100,L348)/100,0))</f>
        <v/>
      </c>
      <c r="O348" s="35">
        <f>IF(B348="","",ROUNDUP(MONTH(B348)/3,0))</f>
        <v/>
      </c>
      <c r="P348" s="35">
        <f>IF(B348="","",YEAR(B348))</f>
        <v/>
      </c>
    </row>
    <row r="349">
      <c r="B349" s="37" t="n"/>
      <c r="C349" s="31" t="n"/>
      <c r="D349" s="31" t="n"/>
      <c r="E349" s="31" t="n"/>
      <c r="F349" s="31" t="n"/>
      <c r="G349" s="31" t="n"/>
      <c r="H349" s="33" t="n"/>
      <c r="I349" s="32" t="n"/>
      <c r="J349" s="22">
        <f>IF(H349="","",ROUND(H349*N(I349)/100,2))</f>
        <v/>
      </c>
      <c r="K349" s="30" t="n"/>
      <c r="L349" s="32" t="n"/>
      <c r="M349" s="22">
        <f>IF(H349="","",IF(K349="No",0,H349*N(I349)/100*IF(L349="",100,L349)/100))</f>
        <v/>
      </c>
      <c r="N349" s="22">
        <f>IF(H349="","",H349*IF(L349="",100,L349)/100+IF(K349="No",H349*N(I349)/100*IF(L349="",100,L349)/100,0))</f>
        <v/>
      </c>
      <c r="O349" s="35">
        <f>IF(B349="","",ROUNDUP(MONTH(B349)/3,0))</f>
        <v/>
      </c>
      <c r="P349" s="35">
        <f>IF(B349="","",YEAR(B349))</f>
        <v/>
      </c>
    </row>
    <row r="350">
      <c r="B350" s="37" t="n"/>
      <c r="C350" s="31" t="n"/>
      <c r="D350" s="31" t="n"/>
      <c r="E350" s="31" t="n"/>
      <c r="F350" s="31" t="n"/>
      <c r="G350" s="31" t="n"/>
      <c r="H350" s="33" t="n"/>
      <c r="I350" s="32" t="n"/>
      <c r="J350" s="22">
        <f>IF(H350="","",ROUND(H350*N(I350)/100,2))</f>
        <v/>
      </c>
      <c r="K350" s="30" t="n"/>
      <c r="L350" s="32" t="n"/>
      <c r="M350" s="22">
        <f>IF(H350="","",IF(K350="No",0,H350*N(I350)/100*IF(L350="",100,L350)/100))</f>
        <v/>
      </c>
      <c r="N350" s="22">
        <f>IF(H350="","",H350*IF(L350="",100,L350)/100+IF(K350="No",H350*N(I350)/100*IF(L350="",100,L350)/100,0))</f>
        <v/>
      </c>
      <c r="O350" s="35">
        <f>IF(B350="","",ROUNDUP(MONTH(B350)/3,0))</f>
        <v/>
      </c>
      <c r="P350" s="35">
        <f>IF(B350="","",YEAR(B350))</f>
        <v/>
      </c>
    </row>
    <row r="351">
      <c r="B351" s="37" t="n"/>
      <c r="C351" s="31" t="n"/>
      <c r="D351" s="31" t="n"/>
      <c r="E351" s="31" t="n"/>
      <c r="F351" s="31" t="n"/>
      <c r="G351" s="31" t="n"/>
      <c r="H351" s="33" t="n"/>
      <c r="I351" s="32" t="n"/>
      <c r="J351" s="22">
        <f>IF(H351="","",ROUND(H351*N(I351)/100,2))</f>
        <v/>
      </c>
      <c r="K351" s="30" t="n"/>
      <c r="L351" s="32" t="n"/>
      <c r="M351" s="22">
        <f>IF(H351="","",IF(K351="No",0,H351*N(I351)/100*IF(L351="",100,L351)/100))</f>
        <v/>
      </c>
      <c r="N351" s="22">
        <f>IF(H351="","",H351*IF(L351="",100,L351)/100+IF(K351="No",H351*N(I351)/100*IF(L351="",100,L351)/100,0))</f>
        <v/>
      </c>
      <c r="O351" s="35">
        <f>IF(B351="","",ROUNDUP(MONTH(B351)/3,0))</f>
        <v/>
      </c>
      <c r="P351" s="35">
        <f>IF(B351="","",YEAR(B351))</f>
        <v/>
      </c>
    </row>
    <row r="352">
      <c r="B352" s="37" t="n"/>
      <c r="C352" s="31" t="n"/>
      <c r="D352" s="31" t="n"/>
      <c r="E352" s="31" t="n"/>
      <c r="F352" s="31" t="n"/>
      <c r="G352" s="31" t="n"/>
      <c r="H352" s="33" t="n"/>
      <c r="I352" s="32" t="n"/>
      <c r="J352" s="22">
        <f>IF(H352="","",ROUND(H352*N(I352)/100,2))</f>
        <v/>
      </c>
      <c r="K352" s="30" t="n"/>
      <c r="L352" s="32" t="n"/>
      <c r="M352" s="22">
        <f>IF(H352="","",IF(K352="No",0,H352*N(I352)/100*IF(L352="",100,L352)/100))</f>
        <v/>
      </c>
      <c r="N352" s="22">
        <f>IF(H352="","",H352*IF(L352="",100,L352)/100+IF(K352="No",H352*N(I352)/100*IF(L352="",100,L352)/100,0))</f>
        <v/>
      </c>
      <c r="O352" s="35">
        <f>IF(B352="","",ROUNDUP(MONTH(B352)/3,0))</f>
        <v/>
      </c>
      <c r="P352" s="35">
        <f>IF(B352="","",YEAR(B352))</f>
        <v/>
      </c>
    </row>
    <row r="353">
      <c r="B353" s="37" t="n"/>
      <c r="C353" s="31" t="n"/>
      <c r="D353" s="31" t="n"/>
      <c r="E353" s="31" t="n"/>
      <c r="F353" s="31" t="n"/>
      <c r="G353" s="31" t="n"/>
      <c r="H353" s="33" t="n"/>
      <c r="I353" s="32" t="n"/>
      <c r="J353" s="22">
        <f>IF(H353="","",ROUND(H353*N(I353)/100,2))</f>
        <v/>
      </c>
      <c r="K353" s="30" t="n"/>
      <c r="L353" s="32" t="n"/>
      <c r="M353" s="22">
        <f>IF(H353="","",IF(K353="No",0,H353*N(I353)/100*IF(L353="",100,L353)/100))</f>
        <v/>
      </c>
      <c r="N353" s="22">
        <f>IF(H353="","",H353*IF(L353="",100,L353)/100+IF(K353="No",H353*N(I353)/100*IF(L353="",100,L353)/100,0))</f>
        <v/>
      </c>
      <c r="O353" s="35">
        <f>IF(B353="","",ROUNDUP(MONTH(B353)/3,0))</f>
        <v/>
      </c>
      <c r="P353" s="35">
        <f>IF(B353="","",YEAR(B353))</f>
        <v/>
      </c>
    </row>
    <row r="354">
      <c r="B354" s="37" t="n"/>
      <c r="C354" s="31" t="n"/>
      <c r="D354" s="31" t="n"/>
      <c r="E354" s="31" t="n"/>
      <c r="F354" s="31" t="n"/>
      <c r="G354" s="31" t="n"/>
      <c r="H354" s="33" t="n"/>
      <c r="I354" s="32" t="n"/>
      <c r="J354" s="22">
        <f>IF(H354="","",ROUND(H354*N(I354)/100,2))</f>
        <v/>
      </c>
      <c r="K354" s="30" t="n"/>
      <c r="L354" s="32" t="n"/>
      <c r="M354" s="22">
        <f>IF(H354="","",IF(K354="No",0,H354*N(I354)/100*IF(L354="",100,L354)/100))</f>
        <v/>
      </c>
      <c r="N354" s="22">
        <f>IF(H354="","",H354*IF(L354="",100,L354)/100+IF(K354="No",H354*N(I354)/100*IF(L354="",100,L354)/100,0))</f>
        <v/>
      </c>
      <c r="O354" s="35">
        <f>IF(B354="","",ROUNDUP(MONTH(B354)/3,0))</f>
        <v/>
      </c>
      <c r="P354" s="35">
        <f>IF(B354="","",YEAR(B354))</f>
        <v/>
      </c>
    </row>
    <row r="355">
      <c r="B355" s="37" t="n"/>
      <c r="C355" s="31" t="n"/>
      <c r="D355" s="31" t="n"/>
      <c r="E355" s="31" t="n"/>
      <c r="F355" s="31" t="n"/>
      <c r="G355" s="31" t="n"/>
      <c r="H355" s="33" t="n"/>
      <c r="I355" s="32" t="n"/>
      <c r="J355" s="22">
        <f>IF(H355="","",ROUND(H355*N(I355)/100,2))</f>
        <v/>
      </c>
      <c r="K355" s="30" t="n"/>
      <c r="L355" s="32" t="n"/>
      <c r="M355" s="22">
        <f>IF(H355="","",IF(K355="No",0,H355*N(I355)/100*IF(L355="",100,L355)/100))</f>
        <v/>
      </c>
      <c r="N355" s="22">
        <f>IF(H355="","",H355*IF(L355="",100,L355)/100+IF(K355="No",H355*N(I355)/100*IF(L355="",100,L355)/100,0))</f>
        <v/>
      </c>
      <c r="O355" s="35">
        <f>IF(B355="","",ROUNDUP(MONTH(B355)/3,0))</f>
        <v/>
      </c>
      <c r="P355" s="35">
        <f>IF(B355="","",YEAR(B355))</f>
        <v/>
      </c>
    </row>
    <row r="356">
      <c r="B356" s="37" t="n"/>
      <c r="C356" s="31" t="n"/>
      <c r="D356" s="31" t="n"/>
      <c r="E356" s="31" t="n"/>
      <c r="F356" s="31" t="n"/>
      <c r="G356" s="31" t="n"/>
      <c r="H356" s="33" t="n"/>
      <c r="I356" s="32" t="n"/>
      <c r="J356" s="22">
        <f>IF(H356="","",ROUND(H356*N(I356)/100,2))</f>
        <v/>
      </c>
      <c r="K356" s="30" t="n"/>
      <c r="L356" s="32" t="n"/>
      <c r="M356" s="22">
        <f>IF(H356="","",IF(K356="No",0,H356*N(I356)/100*IF(L356="",100,L356)/100))</f>
        <v/>
      </c>
      <c r="N356" s="22">
        <f>IF(H356="","",H356*IF(L356="",100,L356)/100+IF(K356="No",H356*N(I356)/100*IF(L356="",100,L356)/100,0))</f>
        <v/>
      </c>
      <c r="O356" s="35">
        <f>IF(B356="","",ROUNDUP(MONTH(B356)/3,0))</f>
        <v/>
      </c>
      <c r="P356" s="35">
        <f>IF(B356="","",YEAR(B356))</f>
        <v/>
      </c>
    </row>
    <row r="357">
      <c r="B357" s="37" t="n"/>
      <c r="C357" s="31" t="n"/>
      <c r="D357" s="31" t="n"/>
      <c r="E357" s="31" t="n"/>
      <c r="F357" s="31" t="n"/>
      <c r="G357" s="31" t="n"/>
      <c r="H357" s="33" t="n"/>
      <c r="I357" s="32" t="n"/>
      <c r="J357" s="22">
        <f>IF(H357="","",ROUND(H357*N(I357)/100,2))</f>
        <v/>
      </c>
      <c r="K357" s="30" t="n"/>
      <c r="L357" s="32" t="n"/>
      <c r="M357" s="22">
        <f>IF(H357="","",IF(K357="No",0,H357*N(I357)/100*IF(L357="",100,L357)/100))</f>
        <v/>
      </c>
      <c r="N357" s="22">
        <f>IF(H357="","",H357*IF(L357="",100,L357)/100+IF(K357="No",H357*N(I357)/100*IF(L357="",100,L357)/100,0))</f>
        <v/>
      </c>
      <c r="O357" s="35">
        <f>IF(B357="","",ROUNDUP(MONTH(B357)/3,0))</f>
        <v/>
      </c>
      <c r="P357" s="35">
        <f>IF(B357="","",YEAR(B357))</f>
        <v/>
      </c>
    </row>
    <row r="358">
      <c r="B358" s="37" t="n"/>
      <c r="C358" s="31" t="n"/>
      <c r="D358" s="31" t="n"/>
      <c r="E358" s="31" t="n"/>
      <c r="F358" s="31" t="n"/>
      <c r="G358" s="31" t="n"/>
      <c r="H358" s="33" t="n"/>
      <c r="I358" s="32" t="n"/>
      <c r="J358" s="22">
        <f>IF(H358="","",ROUND(H358*N(I358)/100,2))</f>
        <v/>
      </c>
      <c r="K358" s="30" t="n"/>
      <c r="L358" s="32" t="n"/>
      <c r="M358" s="22">
        <f>IF(H358="","",IF(K358="No",0,H358*N(I358)/100*IF(L358="",100,L358)/100))</f>
        <v/>
      </c>
      <c r="N358" s="22">
        <f>IF(H358="","",H358*IF(L358="",100,L358)/100+IF(K358="No",H358*N(I358)/100*IF(L358="",100,L358)/100,0))</f>
        <v/>
      </c>
      <c r="O358" s="35">
        <f>IF(B358="","",ROUNDUP(MONTH(B358)/3,0))</f>
        <v/>
      </c>
      <c r="P358" s="35">
        <f>IF(B358="","",YEAR(B358))</f>
        <v/>
      </c>
    </row>
    <row r="359">
      <c r="B359" s="37" t="n"/>
      <c r="C359" s="31" t="n"/>
      <c r="D359" s="31" t="n"/>
      <c r="E359" s="31" t="n"/>
      <c r="F359" s="31" t="n"/>
      <c r="G359" s="31" t="n"/>
      <c r="H359" s="33" t="n"/>
      <c r="I359" s="32" t="n"/>
      <c r="J359" s="22">
        <f>IF(H359="","",ROUND(H359*N(I359)/100,2))</f>
        <v/>
      </c>
      <c r="K359" s="30" t="n"/>
      <c r="L359" s="32" t="n"/>
      <c r="M359" s="22">
        <f>IF(H359="","",IF(K359="No",0,H359*N(I359)/100*IF(L359="",100,L359)/100))</f>
        <v/>
      </c>
      <c r="N359" s="22">
        <f>IF(H359="","",H359*IF(L359="",100,L359)/100+IF(K359="No",H359*N(I359)/100*IF(L359="",100,L359)/100,0))</f>
        <v/>
      </c>
      <c r="O359" s="35">
        <f>IF(B359="","",ROUNDUP(MONTH(B359)/3,0))</f>
        <v/>
      </c>
      <c r="P359" s="35">
        <f>IF(B359="","",YEAR(B359))</f>
        <v/>
      </c>
    </row>
    <row r="360">
      <c r="B360" s="37" t="n"/>
      <c r="C360" s="31" t="n"/>
      <c r="D360" s="31" t="n"/>
      <c r="E360" s="31" t="n"/>
      <c r="F360" s="31" t="n"/>
      <c r="G360" s="31" t="n"/>
      <c r="H360" s="33" t="n"/>
      <c r="I360" s="32" t="n"/>
      <c r="J360" s="22">
        <f>IF(H360="","",ROUND(H360*N(I360)/100,2))</f>
        <v/>
      </c>
      <c r="K360" s="30" t="n"/>
      <c r="L360" s="32" t="n"/>
      <c r="M360" s="22">
        <f>IF(H360="","",IF(K360="No",0,H360*N(I360)/100*IF(L360="",100,L360)/100))</f>
        <v/>
      </c>
      <c r="N360" s="22">
        <f>IF(H360="","",H360*IF(L360="",100,L360)/100+IF(K360="No",H360*N(I360)/100*IF(L360="",100,L360)/100,0))</f>
        <v/>
      </c>
      <c r="O360" s="35">
        <f>IF(B360="","",ROUNDUP(MONTH(B360)/3,0))</f>
        <v/>
      </c>
      <c r="P360" s="35">
        <f>IF(B360="","",YEAR(B360))</f>
        <v/>
      </c>
    </row>
    <row r="361">
      <c r="B361" s="37" t="n"/>
      <c r="C361" s="31" t="n"/>
      <c r="D361" s="31" t="n"/>
      <c r="E361" s="31" t="n"/>
      <c r="F361" s="31" t="n"/>
      <c r="G361" s="31" t="n"/>
      <c r="H361" s="33" t="n"/>
      <c r="I361" s="32" t="n"/>
      <c r="J361" s="22">
        <f>IF(H361="","",ROUND(H361*N(I361)/100,2))</f>
        <v/>
      </c>
      <c r="K361" s="30" t="n"/>
      <c r="L361" s="32" t="n"/>
      <c r="M361" s="22">
        <f>IF(H361="","",IF(K361="No",0,H361*N(I361)/100*IF(L361="",100,L361)/100))</f>
        <v/>
      </c>
      <c r="N361" s="22">
        <f>IF(H361="","",H361*IF(L361="",100,L361)/100+IF(K361="No",H361*N(I361)/100*IF(L361="",100,L361)/100,0))</f>
        <v/>
      </c>
      <c r="O361" s="35">
        <f>IF(B361="","",ROUNDUP(MONTH(B361)/3,0))</f>
        <v/>
      </c>
      <c r="P361" s="35">
        <f>IF(B361="","",YEAR(B361))</f>
        <v/>
      </c>
    </row>
    <row r="362">
      <c r="B362" s="37" t="n"/>
      <c r="C362" s="31" t="n"/>
      <c r="D362" s="31" t="n"/>
      <c r="E362" s="31" t="n"/>
      <c r="F362" s="31" t="n"/>
      <c r="G362" s="31" t="n"/>
      <c r="H362" s="33" t="n"/>
      <c r="I362" s="32" t="n"/>
      <c r="J362" s="22">
        <f>IF(H362="","",ROUND(H362*N(I362)/100,2))</f>
        <v/>
      </c>
      <c r="K362" s="30" t="n"/>
      <c r="L362" s="32" t="n"/>
      <c r="M362" s="22">
        <f>IF(H362="","",IF(K362="No",0,H362*N(I362)/100*IF(L362="",100,L362)/100))</f>
        <v/>
      </c>
      <c r="N362" s="22">
        <f>IF(H362="","",H362*IF(L362="",100,L362)/100+IF(K362="No",H362*N(I362)/100*IF(L362="",100,L362)/100,0))</f>
        <v/>
      </c>
      <c r="O362" s="35">
        <f>IF(B362="","",ROUNDUP(MONTH(B362)/3,0))</f>
        <v/>
      </c>
      <c r="P362" s="35">
        <f>IF(B362="","",YEAR(B362))</f>
        <v/>
      </c>
    </row>
    <row r="363">
      <c r="B363" s="37" t="n"/>
      <c r="C363" s="31" t="n"/>
      <c r="D363" s="31" t="n"/>
      <c r="E363" s="31" t="n"/>
      <c r="F363" s="31" t="n"/>
      <c r="G363" s="31" t="n"/>
      <c r="H363" s="33" t="n"/>
      <c r="I363" s="32" t="n"/>
      <c r="J363" s="22">
        <f>IF(H363="","",ROUND(H363*N(I363)/100,2))</f>
        <v/>
      </c>
      <c r="K363" s="30" t="n"/>
      <c r="L363" s="32" t="n"/>
      <c r="M363" s="22">
        <f>IF(H363="","",IF(K363="No",0,H363*N(I363)/100*IF(L363="",100,L363)/100))</f>
        <v/>
      </c>
      <c r="N363" s="22">
        <f>IF(H363="","",H363*IF(L363="",100,L363)/100+IF(K363="No",H363*N(I363)/100*IF(L363="",100,L363)/100,0))</f>
        <v/>
      </c>
      <c r="O363" s="35">
        <f>IF(B363="","",ROUNDUP(MONTH(B363)/3,0))</f>
        <v/>
      </c>
      <c r="P363" s="35">
        <f>IF(B363="","",YEAR(B363))</f>
        <v/>
      </c>
    </row>
    <row r="364">
      <c r="B364" s="37" t="n"/>
      <c r="C364" s="31" t="n"/>
      <c r="D364" s="31" t="n"/>
      <c r="E364" s="31" t="n"/>
      <c r="F364" s="31" t="n"/>
      <c r="G364" s="31" t="n"/>
      <c r="H364" s="33" t="n"/>
      <c r="I364" s="32" t="n"/>
      <c r="J364" s="22">
        <f>IF(H364="","",ROUND(H364*N(I364)/100,2))</f>
        <v/>
      </c>
      <c r="K364" s="30" t="n"/>
      <c r="L364" s="32" t="n"/>
      <c r="M364" s="22">
        <f>IF(H364="","",IF(K364="No",0,H364*N(I364)/100*IF(L364="",100,L364)/100))</f>
        <v/>
      </c>
      <c r="N364" s="22">
        <f>IF(H364="","",H364*IF(L364="",100,L364)/100+IF(K364="No",H364*N(I364)/100*IF(L364="",100,L364)/100,0))</f>
        <v/>
      </c>
      <c r="O364" s="35">
        <f>IF(B364="","",ROUNDUP(MONTH(B364)/3,0))</f>
        <v/>
      </c>
      <c r="P364" s="35">
        <f>IF(B364="","",YEAR(B364))</f>
        <v/>
      </c>
    </row>
    <row r="365">
      <c r="B365" s="37" t="n"/>
      <c r="C365" s="31" t="n"/>
      <c r="D365" s="31" t="n"/>
      <c r="E365" s="31" t="n"/>
      <c r="F365" s="31" t="n"/>
      <c r="G365" s="31" t="n"/>
      <c r="H365" s="33" t="n"/>
      <c r="I365" s="32" t="n"/>
      <c r="J365" s="22">
        <f>IF(H365="","",ROUND(H365*N(I365)/100,2))</f>
        <v/>
      </c>
      <c r="K365" s="30" t="n"/>
      <c r="L365" s="32" t="n"/>
      <c r="M365" s="22">
        <f>IF(H365="","",IF(K365="No",0,H365*N(I365)/100*IF(L365="",100,L365)/100))</f>
        <v/>
      </c>
      <c r="N365" s="22">
        <f>IF(H365="","",H365*IF(L365="",100,L365)/100+IF(K365="No",H365*N(I365)/100*IF(L365="",100,L365)/100,0))</f>
        <v/>
      </c>
      <c r="O365" s="35">
        <f>IF(B365="","",ROUNDUP(MONTH(B365)/3,0))</f>
        <v/>
      </c>
      <c r="P365" s="35">
        <f>IF(B365="","",YEAR(B365))</f>
        <v/>
      </c>
    </row>
    <row r="366">
      <c r="B366" s="37" t="n"/>
      <c r="C366" s="31" t="n"/>
      <c r="D366" s="31" t="n"/>
      <c r="E366" s="31" t="n"/>
      <c r="F366" s="31" t="n"/>
      <c r="G366" s="31" t="n"/>
      <c r="H366" s="33" t="n"/>
      <c r="I366" s="32" t="n"/>
      <c r="J366" s="22">
        <f>IF(H366="","",ROUND(H366*N(I366)/100,2))</f>
        <v/>
      </c>
      <c r="K366" s="30" t="n"/>
      <c r="L366" s="32" t="n"/>
      <c r="M366" s="22">
        <f>IF(H366="","",IF(K366="No",0,H366*N(I366)/100*IF(L366="",100,L366)/100))</f>
        <v/>
      </c>
      <c r="N366" s="22">
        <f>IF(H366="","",H366*IF(L366="",100,L366)/100+IF(K366="No",H366*N(I366)/100*IF(L366="",100,L366)/100,0))</f>
        <v/>
      </c>
      <c r="O366" s="35">
        <f>IF(B366="","",ROUNDUP(MONTH(B366)/3,0))</f>
        <v/>
      </c>
      <c r="P366" s="35">
        <f>IF(B366="","",YEAR(B366))</f>
        <v/>
      </c>
    </row>
    <row r="367">
      <c r="B367" s="37" t="n"/>
      <c r="C367" s="31" t="n"/>
      <c r="D367" s="31" t="n"/>
      <c r="E367" s="31" t="n"/>
      <c r="F367" s="31" t="n"/>
      <c r="G367" s="31" t="n"/>
      <c r="H367" s="33" t="n"/>
      <c r="I367" s="32" t="n"/>
      <c r="J367" s="22">
        <f>IF(H367="","",ROUND(H367*N(I367)/100,2))</f>
        <v/>
      </c>
      <c r="K367" s="30" t="n"/>
      <c r="L367" s="32" t="n"/>
      <c r="M367" s="22">
        <f>IF(H367="","",IF(K367="No",0,H367*N(I367)/100*IF(L367="",100,L367)/100))</f>
        <v/>
      </c>
      <c r="N367" s="22">
        <f>IF(H367="","",H367*IF(L367="",100,L367)/100+IF(K367="No",H367*N(I367)/100*IF(L367="",100,L367)/100,0))</f>
        <v/>
      </c>
      <c r="O367" s="35">
        <f>IF(B367="","",ROUNDUP(MONTH(B367)/3,0))</f>
        <v/>
      </c>
      <c r="P367" s="35">
        <f>IF(B367="","",YEAR(B367))</f>
        <v/>
      </c>
    </row>
    <row r="368">
      <c r="B368" s="37" t="n"/>
      <c r="C368" s="31" t="n"/>
      <c r="D368" s="31" t="n"/>
      <c r="E368" s="31" t="n"/>
      <c r="F368" s="31" t="n"/>
      <c r="G368" s="31" t="n"/>
      <c r="H368" s="33" t="n"/>
      <c r="I368" s="32" t="n"/>
      <c r="J368" s="22">
        <f>IF(H368="","",ROUND(H368*N(I368)/100,2))</f>
        <v/>
      </c>
      <c r="K368" s="30" t="n"/>
      <c r="L368" s="32" t="n"/>
      <c r="M368" s="22">
        <f>IF(H368="","",IF(K368="No",0,H368*N(I368)/100*IF(L368="",100,L368)/100))</f>
        <v/>
      </c>
      <c r="N368" s="22">
        <f>IF(H368="","",H368*IF(L368="",100,L368)/100+IF(K368="No",H368*N(I368)/100*IF(L368="",100,L368)/100,0))</f>
        <v/>
      </c>
      <c r="O368" s="35">
        <f>IF(B368="","",ROUNDUP(MONTH(B368)/3,0))</f>
        <v/>
      </c>
      <c r="P368" s="35">
        <f>IF(B368="","",YEAR(B368))</f>
        <v/>
      </c>
    </row>
    <row r="369">
      <c r="B369" s="37" t="n"/>
      <c r="C369" s="31" t="n"/>
      <c r="D369" s="31" t="n"/>
      <c r="E369" s="31" t="n"/>
      <c r="F369" s="31" t="n"/>
      <c r="G369" s="31" t="n"/>
      <c r="H369" s="33" t="n"/>
      <c r="I369" s="32" t="n"/>
      <c r="J369" s="22">
        <f>IF(H369="","",ROUND(H369*N(I369)/100,2))</f>
        <v/>
      </c>
      <c r="K369" s="30" t="n"/>
      <c r="L369" s="32" t="n"/>
      <c r="M369" s="22">
        <f>IF(H369="","",IF(K369="No",0,H369*N(I369)/100*IF(L369="",100,L369)/100))</f>
        <v/>
      </c>
      <c r="N369" s="22">
        <f>IF(H369="","",H369*IF(L369="",100,L369)/100+IF(K369="No",H369*N(I369)/100*IF(L369="",100,L369)/100,0))</f>
        <v/>
      </c>
      <c r="O369" s="35">
        <f>IF(B369="","",ROUNDUP(MONTH(B369)/3,0))</f>
        <v/>
      </c>
      <c r="P369" s="35">
        <f>IF(B369="","",YEAR(B369))</f>
        <v/>
      </c>
    </row>
    <row r="370">
      <c r="B370" s="37" t="n"/>
      <c r="C370" s="31" t="n"/>
      <c r="D370" s="31" t="n"/>
      <c r="E370" s="31" t="n"/>
      <c r="F370" s="31" t="n"/>
      <c r="G370" s="31" t="n"/>
      <c r="H370" s="33" t="n"/>
      <c r="I370" s="32" t="n"/>
      <c r="J370" s="22">
        <f>IF(H370="","",ROUND(H370*N(I370)/100,2))</f>
        <v/>
      </c>
      <c r="K370" s="30" t="n"/>
      <c r="L370" s="32" t="n"/>
      <c r="M370" s="22">
        <f>IF(H370="","",IF(K370="No",0,H370*N(I370)/100*IF(L370="",100,L370)/100))</f>
        <v/>
      </c>
      <c r="N370" s="22">
        <f>IF(H370="","",H370*IF(L370="",100,L370)/100+IF(K370="No",H370*N(I370)/100*IF(L370="",100,L370)/100,0))</f>
        <v/>
      </c>
      <c r="O370" s="35">
        <f>IF(B370="","",ROUNDUP(MONTH(B370)/3,0))</f>
        <v/>
      </c>
      <c r="P370" s="35">
        <f>IF(B370="","",YEAR(B370))</f>
        <v/>
      </c>
    </row>
    <row r="371">
      <c r="B371" s="37" t="n"/>
      <c r="C371" s="31" t="n"/>
      <c r="D371" s="31" t="n"/>
      <c r="E371" s="31" t="n"/>
      <c r="F371" s="31" t="n"/>
      <c r="G371" s="31" t="n"/>
      <c r="H371" s="33" t="n"/>
      <c r="I371" s="32" t="n"/>
      <c r="J371" s="22">
        <f>IF(H371="","",ROUND(H371*N(I371)/100,2))</f>
        <v/>
      </c>
      <c r="K371" s="30" t="n"/>
      <c r="L371" s="32" t="n"/>
      <c r="M371" s="22">
        <f>IF(H371="","",IF(K371="No",0,H371*N(I371)/100*IF(L371="",100,L371)/100))</f>
        <v/>
      </c>
      <c r="N371" s="22">
        <f>IF(H371="","",H371*IF(L371="",100,L371)/100+IF(K371="No",H371*N(I371)/100*IF(L371="",100,L371)/100,0))</f>
        <v/>
      </c>
      <c r="O371" s="35">
        <f>IF(B371="","",ROUNDUP(MONTH(B371)/3,0))</f>
        <v/>
      </c>
      <c r="P371" s="35">
        <f>IF(B371="","",YEAR(B371))</f>
        <v/>
      </c>
    </row>
    <row r="372">
      <c r="B372" s="37" t="n"/>
      <c r="C372" s="31" t="n"/>
      <c r="D372" s="31" t="n"/>
      <c r="E372" s="31" t="n"/>
      <c r="F372" s="31" t="n"/>
      <c r="G372" s="31" t="n"/>
      <c r="H372" s="33" t="n"/>
      <c r="I372" s="32" t="n"/>
      <c r="J372" s="22">
        <f>IF(H372="","",ROUND(H372*N(I372)/100,2))</f>
        <v/>
      </c>
      <c r="K372" s="30" t="n"/>
      <c r="L372" s="32" t="n"/>
      <c r="M372" s="22">
        <f>IF(H372="","",IF(K372="No",0,H372*N(I372)/100*IF(L372="",100,L372)/100))</f>
        <v/>
      </c>
      <c r="N372" s="22">
        <f>IF(H372="","",H372*IF(L372="",100,L372)/100+IF(K372="No",H372*N(I372)/100*IF(L372="",100,L372)/100,0))</f>
        <v/>
      </c>
      <c r="O372" s="35">
        <f>IF(B372="","",ROUNDUP(MONTH(B372)/3,0))</f>
        <v/>
      </c>
      <c r="P372" s="35">
        <f>IF(B372="","",YEAR(B372))</f>
        <v/>
      </c>
    </row>
    <row r="373">
      <c r="B373" s="37" t="n"/>
      <c r="C373" s="31" t="n"/>
      <c r="D373" s="31" t="n"/>
      <c r="E373" s="31" t="n"/>
      <c r="F373" s="31" t="n"/>
      <c r="G373" s="31" t="n"/>
      <c r="H373" s="33" t="n"/>
      <c r="I373" s="32" t="n"/>
      <c r="J373" s="22">
        <f>IF(H373="","",ROUND(H373*N(I373)/100,2))</f>
        <v/>
      </c>
      <c r="K373" s="30" t="n"/>
      <c r="L373" s="32" t="n"/>
      <c r="M373" s="22">
        <f>IF(H373="","",IF(K373="No",0,H373*N(I373)/100*IF(L373="",100,L373)/100))</f>
        <v/>
      </c>
      <c r="N373" s="22">
        <f>IF(H373="","",H373*IF(L373="",100,L373)/100+IF(K373="No",H373*N(I373)/100*IF(L373="",100,L373)/100,0))</f>
        <v/>
      </c>
      <c r="O373" s="35">
        <f>IF(B373="","",ROUNDUP(MONTH(B373)/3,0))</f>
        <v/>
      </c>
      <c r="P373" s="35">
        <f>IF(B373="","",YEAR(B373))</f>
        <v/>
      </c>
    </row>
    <row r="374">
      <c r="B374" s="37" t="n"/>
      <c r="C374" s="31" t="n"/>
      <c r="D374" s="31" t="n"/>
      <c r="E374" s="31" t="n"/>
      <c r="F374" s="31" t="n"/>
      <c r="G374" s="31" t="n"/>
      <c r="H374" s="33" t="n"/>
      <c r="I374" s="32" t="n"/>
      <c r="J374" s="22">
        <f>IF(H374="","",ROUND(H374*N(I374)/100,2))</f>
        <v/>
      </c>
      <c r="K374" s="30" t="n"/>
      <c r="L374" s="32" t="n"/>
      <c r="M374" s="22">
        <f>IF(H374="","",IF(K374="No",0,H374*N(I374)/100*IF(L374="",100,L374)/100))</f>
        <v/>
      </c>
      <c r="N374" s="22">
        <f>IF(H374="","",H374*IF(L374="",100,L374)/100+IF(K374="No",H374*N(I374)/100*IF(L374="",100,L374)/100,0))</f>
        <v/>
      </c>
      <c r="O374" s="35">
        <f>IF(B374="","",ROUNDUP(MONTH(B374)/3,0))</f>
        <v/>
      </c>
      <c r="P374" s="35">
        <f>IF(B374="","",YEAR(B374))</f>
        <v/>
      </c>
    </row>
    <row r="375">
      <c r="B375" s="37" t="n"/>
      <c r="C375" s="31" t="n"/>
      <c r="D375" s="31" t="n"/>
      <c r="E375" s="31" t="n"/>
      <c r="F375" s="31" t="n"/>
      <c r="G375" s="31" t="n"/>
      <c r="H375" s="33" t="n"/>
      <c r="I375" s="32" t="n"/>
      <c r="J375" s="22">
        <f>IF(H375="","",ROUND(H375*N(I375)/100,2))</f>
        <v/>
      </c>
      <c r="K375" s="30" t="n"/>
      <c r="L375" s="32" t="n"/>
      <c r="M375" s="22">
        <f>IF(H375="","",IF(K375="No",0,H375*N(I375)/100*IF(L375="",100,L375)/100))</f>
        <v/>
      </c>
      <c r="N375" s="22">
        <f>IF(H375="","",H375*IF(L375="",100,L375)/100+IF(K375="No",H375*N(I375)/100*IF(L375="",100,L375)/100,0))</f>
        <v/>
      </c>
      <c r="O375" s="35">
        <f>IF(B375="","",ROUNDUP(MONTH(B375)/3,0))</f>
        <v/>
      </c>
      <c r="P375" s="35">
        <f>IF(B375="","",YEAR(B375))</f>
        <v/>
      </c>
    </row>
    <row r="376">
      <c r="B376" s="37" t="n"/>
      <c r="C376" s="31" t="n"/>
      <c r="D376" s="31" t="n"/>
      <c r="E376" s="31" t="n"/>
      <c r="F376" s="31" t="n"/>
      <c r="G376" s="31" t="n"/>
      <c r="H376" s="33" t="n"/>
      <c r="I376" s="32" t="n"/>
      <c r="J376" s="22">
        <f>IF(H376="","",ROUND(H376*N(I376)/100,2))</f>
        <v/>
      </c>
      <c r="K376" s="30" t="n"/>
      <c r="L376" s="32" t="n"/>
      <c r="M376" s="22">
        <f>IF(H376="","",IF(K376="No",0,H376*N(I376)/100*IF(L376="",100,L376)/100))</f>
        <v/>
      </c>
      <c r="N376" s="22">
        <f>IF(H376="","",H376*IF(L376="",100,L376)/100+IF(K376="No",H376*N(I376)/100*IF(L376="",100,L376)/100,0))</f>
        <v/>
      </c>
      <c r="O376" s="35">
        <f>IF(B376="","",ROUNDUP(MONTH(B376)/3,0))</f>
        <v/>
      </c>
      <c r="P376" s="35">
        <f>IF(B376="","",YEAR(B376))</f>
        <v/>
      </c>
    </row>
    <row r="377">
      <c r="B377" s="37" t="n"/>
      <c r="C377" s="31" t="n"/>
      <c r="D377" s="31" t="n"/>
      <c r="E377" s="31" t="n"/>
      <c r="F377" s="31" t="n"/>
      <c r="G377" s="31" t="n"/>
      <c r="H377" s="33" t="n"/>
      <c r="I377" s="32" t="n"/>
      <c r="J377" s="22">
        <f>IF(H377="","",ROUND(H377*N(I377)/100,2))</f>
        <v/>
      </c>
      <c r="K377" s="30" t="n"/>
      <c r="L377" s="32" t="n"/>
      <c r="M377" s="22">
        <f>IF(H377="","",IF(K377="No",0,H377*N(I377)/100*IF(L377="",100,L377)/100))</f>
        <v/>
      </c>
      <c r="N377" s="22">
        <f>IF(H377="","",H377*IF(L377="",100,L377)/100+IF(K377="No",H377*N(I377)/100*IF(L377="",100,L377)/100,0))</f>
        <v/>
      </c>
      <c r="O377" s="35">
        <f>IF(B377="","",ROUNDUP(MONTH(B377)/3,0))</f>
        <v/>
      </c>
      <c r="P377" s="35">
        <f>IF(B377="","",YEAR(B377))</f>
        <v/>
      </c>
    </row>
    <row r="378">
      <c r="B378" s="37" t="n"/>
      <c r="C378" s="31" t="n"/>
      <c r="D378" s="31" t="n"/>
      <c r="E378" s="31" t="n"/>
      <c r="F378" s="31" t="n"/>
      <c r="G378" s="31" t="n"/>
      <c r="H378" s="33" t="n"/>
      <c r="I378" s="32" t="n"/>
      <c r="J378" s="22">
        <f>IF(H378="","",ROUND(H378*N(I378)/100,2))</f>
        <v/>
      </c>
      <c r="K378" s="30" t="n"/>
      <c r="L378" s="32" t="n"/>
      <c r="M378" s="22">
        <f>IF(H378="","",IF(K378="No",0,H378*N(I378)/100*IF(L378="",100,L378)/100))</f>
        <v/>
      </c>
      <c r="N378" s="22">
        <f>IF(H378="","",H378*IF(L378="",100,L378)/100+IF(K378="No",H378*N(I378)/100*IF(L378="",100,L378)/100,0))</f>
        <v/>
      </c>
      <c r="O378" s="35">
        <f>IF(B378="","",ROUNDUP(MONTH(B378)/3,0))</f>
        <v/>
      </c>
      <c r="P378" s="35">
        <f>IF(B378="","",YEAR(B378))</f>
        <v/>
      </c>
    </row>
    <row r="379">
      <c r="B379" s="37" t="n"/>
      <c r="C379" s="31" t="n"/>
      <c r="D379" s="31" t="n"/>
      <c r="E379" s="31" t="n"/>
      <c r="F379" s="31" t="n"/>
      <c r="G379" s="31" t="n"/>
      <c r="H379" s="33" t="n"/>
      <c r="I379" s="32" t="n"/>
      <c r="J379" s="22">
        <f>IF(H379="","",ROUND(H379*N(I379)/100,2))</f>
        <v/>
      </c>
      <c r="K379" s="30" t="n"/>
      <c r="L379" s="32" t="n"/>
      <c r="M379" s="22">
        <f>IF(H379="","",IF(K379="No",0,H379*N(I379)/100*IF(L379="",100,L379)/100))</f>
        <v/>
      </c>
      <c r="N379" s="22">
        <f>IF(H379="","",H379*IF(L379="",100,L379)/100+IF(K379="No",H379*N(I379)/100*IF(L379="",100,L379)/100,0))</f>
        <v/>
      </c>
      <c r="O379" s="35">
        <f>IF(B379="","",ROUNDUP(MONTH(B379)/3,0))</f>
        <v/>
      </c>
      <c r="P379" s="35">
        <f>IF(B379="","",YEAR(B379))</f>
        <v/>
      </c>
    </row>
    <row r="380">
      <c r="B380" s="37" t="n"/>
      <c r="C380" s="31" t="n"/>
      <c r="D380" s="31" t="n"/>
      <c r="E380" s="31" t="n"/>
      <c r="F380" s="31" t="n"/>
      <c r="G380" s="31" t="n"/>
      <c r="H380" s="33" t="n"/>
      <c r="I380" s="32" t="n"/>
      <c r="J380" s="22">
        <f>IF(H380="","",ROUND(H380*N(I380)/100,2))</f>
        <v/>
      </c>
      <c r="K380" s="30" t="n"/>
      <c r="L380" s="32" t="n"/>
      <c r="M380" s="22">
        <f>IF(H380="","",IF(K380="No",0,H380*N(I380)/100*IF(L380="",100,L380)/100))</f>
        <v/>
      </c>
      <c r="N380" s="22">
        <f>IF(H380="","",H380*IF(L380="",100,L380)/100+IF(K380="No",H380*N(I380)/100*IF(L380="",100,L380)/100,0))</f>
        <v/>
      </c>
      <c r="O380" s="35">
        <f>IF(B380="","",ROUNDUP(MONTH(B380)/3,0))</f>
        <v/>
      </c>
      <c r="P380" s="35">
        <f>IF(B380="","",YEAR(B380))</f>
        <v/>
      </c>
    </row>
    <row r="381">
      <c r="B381" s="37" t="n"/>
      <c r="C381" s="31" t="n"/>
      <c r="D381" s="31" t="n"/>
      <c r="E381" s="31" t="n"/>
      <c r="F381" s="31" t="n"/>
      <c r="G381" s="31" t="n"/>
      <c r="H381" s="33" t="n"/>
      <c r="I381" s="32" t="n"/>
      <c r="J381" s="22">
        <f>IF(H381="","",ROUND(H381*N(I381)/100,2))</f>
        <v/>
      </c>
      <c r="K381" s="30" t="n"/>
      <c r="L381" s="32" t="n"/>
      <c r="M381" s="22">
        <f>IF(H381="","",IF(K381="No",0,H381*N(I381)/100*IF(L381="",100,L381)/100))</f>
        <v/>
      </c>
      <c r="N381" s="22">
        <f>IF(H381="","",H381*IF(L381="",100,L381)/100+IF(K381="No",H381*N(I381)/100*IF(L381="",100,L381)/100,0))</f>
        <v/>
      </c>
      <c r="O381" s="35">
        <f>IF(B381="","",ROUNDUP(MONTH(B381)/3,0))</f>
        <v/>
      </c>
      <c r="P381" s="35">
        <f>IF(B381="","",YEAR(B381))</f>
        <v/>
      </c>
    </row>
    <row r="382">
      <c r="B382" s="37" t="n"/>
      <c r="C382" s="31" t="n"/>
      <c r="D382" s="31" t="n"/>
      <c r="E382" s="31" t="n"/>
      <c r="F382" s="31" t="n"/>
      <c r="G382" s="31" t="n"/>
      <c r="H382" s="33" t="n"/>
      <c r="I382" s="32" t="n"/>
      <c r="J382" s="22">
        <f>IF(H382="","",ROUND(H382*N(I382)/100,2))</f>
        <v/>
      </c>
      <c r="K382" s="30" t="n"/>
      <c r="L382" s="32" t="n"/>
      <c r="M382" s="22">
        <f>IF(H382="","",IF(K382="No",0,H382*N(I382)/100*IF(L382="",100,L382)/100))</f>
        <v/>
      </c>
      <c r="N382" s="22">
        <f>IF(H382="","",H382*IF(L382="",100,L382)/100+IF(K382="No",H382*N(I382)/100*IF(L382="",100,L382)/100,0))</f>
        <v/>
      </c>
      <c r="O382" s="35">
        <f>IF(B382="","",ROUNDUP(MONTH(B382)/3,0))</f>
        <v/>
      </c>
      <c r="P382" s="35">
        <f>IF(B382="","",YEAR(B382))</f>
        <v/>
      </c>
    </row>
    <row r="383">
      <c r="B383" s="37" t="n"/>
      <c r="C383" s="31" t="n"/>
      <c r="D383" s="31" t="n"/>
      <c r="E383" s="31" t="n"/>
      <c r="F383" s="31" t="n"/>
      <c r="G383" s="31" t="n"/>
      <c r="H383" s="33" t="n"/>
      <c r="I383" s="32" t="n"/>
      <c r="J383" s="22">
        <f>IF(H383="","",ROUND(H383*N(I383)/100,2))</f>
        <v/>
      </c>
      <c r="K383" s="30" t="n"/>
      <c r="L383" s="32" t="n"/>
      <c r="M383" s="22">
        <f>IF(H383="","",IF(K383="No",0,H383*N(I383)/100*IF(L383="",100,L383)/100))</f>
        <v/>
      </c>
      <c r="N383" s="22">
        <f>IF(H383="","",H383*IF(L383="",100,L383)/100+IF(K383="No",H383*N(I383)/100*IF(L383="",100,L383)/100,0))</f>
        <v/>
      </c>
      <c r="O383" s="35">
        <f>IF(B383="","",ROUNDUP(MONTH(B383)/3,0))</f>
        <v/>
      </c>
      <c r="P383" s="35">
        <f>IF(B383="","",YEAR(B383))</f>
        <v/>
      </c>
    </row>
    <row r="384">
      <c r="B384" s="37" t="n"/>
      <c r="C384" s="31" t="n"/>
      <c r="D384" s="31" t="n"/>
      <c r="E384" s="31" t="n"/>
      <c r="F384" s="31" t="n"/>
      <c r="G384" s="31" t="n"/>
      <c r="H384" s="33" t="n"/>
      <c r="I384" s="32" t="n"/>
      <c r="J384" s="22">
        <f>IF(H384="","",ROUND(H384*N(I384)/100,2))</f>
        <v/>
      </c>
      <c r="K384" s="30" t="n"/>
      <c r="L384" s="32" t="n"/>
      <c r="M384" s="22">
        <f>IF(H384="","",IF(K384="No",0,H384*N(I384)/100*IF(L384="",100,L384)/100))</f>
        <v/>
      </c>
      <c r="N384" s="22">
        <f>IF(H384="","",H384*IF(L384="",100,L384)/100+IF(K384="No",H384*N(I384)/100*IF(L384="",100,L384)/100,0))</f>
        <v/>
      </c>
      <c r="O384" s="35">
        <f>IF(B384="","",ROUNDUP(MONTH(B384)/3,0))</f>
        <v/>
      </c>
      <c r="P384" s="35">
        <f>IF(B384="","",YEAR(B384))</f>
        <v/>
      </c>
    </row>
    <row r="385">
      <c r="B385" s="37" t="n"/>
      <c r="C385" s="31" t="n"/>
      <c r="D385" s="31" t="n"/>
      <c r="E385" s="31" t="n"/>
      <c r="F385" s="31" t="n"/>
      <c r="G385" s="31" t="n"/>
      <c r="H385" s="33" t="n"/>
      <c r="I385" s="32" t="n"/>
      <c r="J385" s="22">
        <f>IF(H385="","",ROUND(H385*N(I385)/100,2))</f>
        <v/>
      </c>
      <c r="K385" s="30" t="n"/>
      <c r="L385" s="32" t="n"/>
      <c r="M385" s="22">
        <f>IF(H385="","",IF(K385="No",0,H385*N(I385)/100*IF(L385="",100,L385)/100))</f>
        <v/>
      </c>
      <c r="N385" s="22">
        <f>IF(H385="","",H385*IF(L385="",100,L385)/100+IF(K385="No",H385*N(I385)/100*IF(L385="",100,L385)/100,0))</f>
        <v/>
      </c>
      <c r="O385" s="35">
        <f>IF(B385="","",ROUNDUP(MONTH(B385)/3,0))</f>
        <v/>
      </c>
      <c r="P385" s="35">
        <f>IF(B385="","",YEAR(B385))</f>
        <v/>
      </c>
    </row>
    <row r="386">
      <c r="B386" s="37" t="n"/>
      <c r="C386" s="31" t="n"/>
      <c r="D386" s="31" t="n"/>
      <c r="E386" s="31" t="n"/>
      <c r="F386" s="31" t="n"/>
      <c r="G386" s="31" t="n"/>
      <c r="H386" s="33" t="n"/>
      <c r="I386" s="32" t="n"/>
      <c r="J386" s="22">
        <f>IF(H386="","",ROUND(H386*N(I386)/100,2))</f>
        <v/>
      </c>
      <c r="K386" s="30" t="n"/>
      <c r="L386" s="32" t="n"/>
      <c r="M386" s="22">
        <f>IF(H386="","",IF(K386="No",0,H386*N(I386)/100*IF(L386="",100,L386)/100))</f>
        <v/>
      </c>
      <c r="N386" s="22">
        <f>IF(H386="","",H386*IF(L386="",100,L386)/100+IF(K386="No",H386*N(I386)/100*IF(L386="",100,L386)/100,0))</f>
        <v/>
      </c>
      <c r="O386" s="35">
        <f>IF(B386="","",ROUNDUP(MONTH(B386)/3,0))</f>
        <v/>
      </c>
      <c r="P386" s="35">
        <f>IF(B386="","",YEAR(B386))</f>
        <v/>
      </c>
    </row>
    <row r="387">
      <c r="B387" s="37" t="n"/>
      <c r="C387" s="31" t="n"/>
      <c r="D387" s="31" t="n"/>
      <c r="E387" s="31" t="n"/>
      <c r="F387" s="31" t="n"/>
      <c r="G387" s="31" t="n"/>
      <c r="H387" s="33" t="n"/>
      <c r="I387" s="32" t="n"/>
      <c r="J387" s="22">
        <f>IF(H387="","",ROUND(H387*N(I387)/100,2))</f>
        <v/>
      </c>
      <c r="K387" s="30" t="n"/>
      <c r="L387" s="32" t="n"/>
      <c r="M387" s="22">
        <f>IF(H387="","",IF(K387="No",0,H387*N(I387)/100*IF(L387="",100,L387)/100))</f>
        <v/>
      </c>
      <c r="N387" s="22">
        <f>IF(H387="","",H387*IF(L387="",100,L387)/100+IF(K387="No",H387*N(I387)/100*IF(L387="",100,L387)/100,0))</f>
        <v/>
      </c>
      <c r="O387" s="35">
        <f>IF(B387="","",ROUNDUP(MONTH(B387)/3,0))</f>
        <v/>
      </c>
      <c r="P387" s="35">
        <f>IF(B387="","",YEAR(B387))</f>
        <v/>
      </c>
    </row>
    <row r="388">
      <c r="B388" s="37" t="n"/>
      <c r="C388" s="31" t="n"/>
      <c r="D388" s="31" t="n"/>
      <c r="E388" s="31" t="n"/>
      <c r="F388" s="31" t="n"/>
      <c r="G388" s="31" t="n"/>
      <c r="H388" s="33" t="n"/>
      <c r="I388" s="32" t="n"/>
      <c r="J388" s="22">
        <f>IF(H388="","",ROUND(H388*N(I388)/100,2))</f>
        <v/>
      </c>
      <c r="K388" s="30" t="n"/>
      <c r="L388" s="32" t="n"/>
      <c r="M388" s="22">
        <f>IF(H388="","",IF(K388="No",0,H388*N(I388)/100*IF(L388="",100,L388)/100))</f>
        <v/>
      </c>
      <c r="N388" s="22">
        <f>IF(H388="","",H388*IF(L388="",100,L388)/100+IF(K388="No",H388*N(I388)/100*IF(L388="",100,L388)/100,0))</f>
        <v/>
      </c>
      <c r="O388" s="35">
        <f>IF(B388="","",ROUNDUP(MONTH(B388)/3,0))</f>
        <v/>
      </c>
      <c r="P388" s="35">
        <f>IF(B388="","",YEAR(B388))</f>
        <v/>
      </c>
    </row>
    <row r="389">
      <c r="B389" s="37" t="n"/>
      <c r="C389" s="31" t="n"/>
      <c r="D389" s="31" t="n"/>
      <c r="E389" s="31" t="n"/>
      <c r="F389" s="31" t="n"/>
      <c r="G389" s="31" t="n"/>
      <c r="H389" s="33" t="n"/>
      <c r="I389" s="32" t="n"/>
      <c r="J389" s="22">
        <f>IF(H389="","",ROUND(H389*N(I389)/100,2))</f>
        <v/>
      </c>
      <c r="K389" s="30" t="n"/>
      <c r="L389" s="32" t="n"/>
      <c r="M389" s="22">
        <f>IF(H389="","",IF(K389="No",0,H389*N(I389)/100*IF(L389="",100,L389)/100))</f>
        <v/>
      </c>
      <c r="N389" s="22">
        <f>IF(H389="","",H389*IF(L389="",100,L389)/100+IF(K389="No",H389*N(I389)/100*IF(L389="",100,L389)/100,0))</f>
        <v/>
      </c>
      <c r="O389" s="35">
        <f>IF(B389="","",ROUNDUP(MONTH(B389)/3,0))</f>
        <v/>
      </c>
      <c r="P389" s="35">
        <f>IF(B389="","",YEAR(B389))</f>
        <v/>
      </c>
    </row>
    <row r="390">
      <c r="B390" s="37" t="n"/>
      <c r="C390" s="31" t="n"/>
      <c r="D390" s="31" t="n"/>
      <c r="E390" s="31" t="n"/>
      <c r="F390" s="31" t="n"/>
      <c r="G390" s="31" t="n"/>
      <c r="H390" s="33" t="n"/>
      <c r="I390" s="32" t="n"/>
      <c r="J390" s="22">
        <f>IF(H390="","",ROUND(H390*N(I390)/100,2))</f>
        <v/>
      </c>
      <c r="K390" s="30" t="n"/>
      <c r="L390" s="32" t="n"/>
      <c r="M390" s="22">
        <f>IF(H390="","",IF(K390="No",0,H390*N(I390)/100*IF(L390="",100,L390)/100))</f>
        <v/>
      </c>
      <c r="N390" s="22">
        <f>IF(H390="","",H390*IF(L390="",100,L390)/100+IF(K390="No",H390*N(I390)/100*IF(L390="",100,L390)/100,0))</f>
        <v/>
      </c>
      <c r="O390" s="35">
        <f>IF(B390="","",ROUNDUP(MONTH(B390)/3,0))</f>
        <v/>
      </c>
      <c r="P390" s="35">
        <f>IF(B390="","",YEAR(B390))</f>
        <v/>
      </c>
    </row>
    <row r="391">
      <c r="B391" s="37" t="n"/>
      <c r="C391" s="31" t="n"/>
      <c r="D391" s="31" t="n"/>
      <c r="E391" s="31" t="n"/>
      <c r="F391" s="31" t="n"/>
      <c r="G391" s="31" t="n"/>
      <c r="H391" s="33" t="n"/>
      <c r="I391" s="32" t="n"/>
      <c r="J391" s="22">
        <f>IF(H391="","",ROUND(H391*N(I391)/100,2))</f>
        <v/>
      </c>
      <c r="K391" s="30" t="n"/>
      <c r="L391" s="32" t="n"/>
      <c r="M391" s="22">
        <f>IF(H391="","",IF(K391="No",0,H391*N(I391)/100*IF(L391="",100,L391)/100))</f>
        <v/>
      </c>
      <c r="N391" s="22">
        <f>IF(H391="","",H391*IF(L391="",100,L391)/100+IF(K391="No",H391*N(I391)/100*IF(L391="",100,L391)/100,0))</f>
        <v/>
      </c>
      <c r="O391" s="35">
        <f>IF(B391="","",ROUNDUP(MONTH(B391)/3,0))</f>
        <v/>
      </c>
      <c r="P391" s="35">
        <f>IF(B391="","",YEAR(B391))</f>
        <v/>
      </c>
    </row>
    <row r="392">
      <c r="B392" s="37" t="n"/>
      <c r="C392" s="31" t="n"/>
      <c r="D392" s="31" t="n"/>
      <c r="E392" s="31" t="n"/>
      <c r="F392" s="31" t="n"/>
      <c r="G392" s="31" t="n"/>
      <c r="H392" s="33" t="n"/>
      <c r="I392" s="32" t="n"/>
      <c r="J392" s="22">
        <f>IF(H392="","",ROUND(H392*N(I392)/100,2))</f>
        <v/>
      </c>
      <c r="K392" s="30" t="n"/>
      <c r="L392" s="32" t="n"/>
      <c r="M392" s="22">
        <f>IF(H392="","",IF(K392="No",0,H392*N(I392)/100*IF(L392="",100,L392)/100))</f>
        <v/>
      </c>
      <c r="N392" s="22">
        <f>IF(H392="","",H392*IF(L392="",100,L392)/100+IF(K392="No",H392*N(I392)/100*IF(L392="",100,L392)/100,0))</f>
        <v/>
      </c>
      <c r="O392" s="35">
        <f>IF(B392="","",ROUNDUP(MONTH(B392)/3,0))</f>
        <v/>
      </c>
      <c r="P392" s="35">
        <f>IF(B392="","",YEAR(B392))</f>
        <v/>
      </c>
    </row>
    <row r="393">
      <c r="B393" s="37" t="n"/>
      <c r="C393" s="31" t="n"/>
      <c r="D393" s="31" t="n"/>
      <c r="E393" s="31" t="n"/>
      <c r="F393" s="31" t="n"/>
      <c r="G393" s="31" t="n"/>
      <c r="H393" s="33" t="n"/>
      <c r="I393" s="32" t="n"/>
      <c r="J393" s="22">
        <f>IF(H393="","",ROUND(H393*N(I393)/100,2))</f>
        <v/>
      </c>
      <c r="K393" s="30" t="n"/>
      <c r="L393" s="32" t="n"/>
      <c r="M393" s="22">
        <f>IF(H393="","",IF(K393="No",0,H393*N(I393)/100*IF(L393="",100,L393)/100))</f>
        <v/>
      </c>
      <c r="N393" s="22">
        <f>IF(H393="","",H393*IF(L393="",100,L393)/100+IF(K393="No",H393*N(I393)/100*IF(L393="",100,L393)/100,0))</f>
        <v/>
      </c>
      <c r="O393" s="35">
        <f>IF(B393="","",ROUNDUP(MONTH(B393)/3,0))</f>
        <v/>
      </c>
      <c r="P393" s="35">
        <f>IF(B393="","",YEAR(B393))</f>
        <v/>
      </c>
    </row>
    <row r="394">
      <c r="B394" s="37" t="n"/>
      <c r="C394" s="31" t="n"/>
      <c r="D394" s="31" t="n"/>
      <c r="E394" s="31" t="n"/>
      <c r="F394" s="31" t="n"/>
      <c r="G394" s="31" t="n"/>
      <c r="H394" s="33" t="n"/>
      <c r="I394" s="32" t="n"/>
      <c r="J394" s="22">
        <f>IF(H394="","",ROUND(H394*N(I394)/100,2))</f>
        <v/>
      </c>
      <c r="K394" s="30" t="n"/>
      <c r="L394" s="32" t="n"/>
      <c r="M394" s="22">
        <f>IF(H394="","",IF(K394="No",0,H394*N(I394)/100*IF(L394="",100,L394)/100))</f>
        <v/>
      </c>
      <c r="N394" s="22">
        <f>IF(H394="","",H394*IF(L394="",100,L394)/100+IF(K394="No",H394*N(I394)/100*IF(L394="",100,L394)/100,0))</f>
        <v/>
      </c>
      <c r="O394" s="35">
        <f>IF(B394="","",ROUNDUP(MONTH(B394)/3,0))</f>
        <v/>
      </c>
      <c r="P394" s="35">
        <f>IF(B394="","",YEAR(B394))</f>
        <v/>
      </c>
    </row>
    <row r="395">
      <c r="B395" s="37" t="n"/>
      <c r="C395" s="31" t="n"/>
      <c r="D395" s="31" t="n"/>
      <c r="E395" s="31" t="n"/>
      <c r="F395" s="31" t="n"/>
      <c r="G395" s="31" t="n"/>
      <c r="H395" s="33" t="n"/>
      <c r="I395" s="32" t="n"/>
      <c r="J395" s="22">
        <f>IF(H395="","",ROUND(H395*N(I395)/100,2))</f>
        <v/>
      </c>
      <c r="K395" s="30" t="n"/>
      <c r="L395" s="32" t="n"/>
      <c r="M395" s="22">
        <f>IF(H395="","",IF(K395="No",0,H395*N(I395)/100*IF(L395="",100,L395)/100))</f>
        <v/>
      </c>
      <c r="N395" s="22">
        <f>IF(H395="","",H395*IF(L395="",100,L395)/100+IF(K395="No",H395*N(I395)/100*IF(L395="",100,L395)/100,0))</f>
        <v/>
      </c>
      <c r="O395" s="35">
        <f>IF(B395="","",ROUNDUP(MONTH(B395)/3,0))</f>
        <v/>
      </c>
      <c r="P395" s="35">
        <f>IF(B395="","",YEAR(B395))</f>
        <v/>
      </c>
    </row>
    <row r="396">
      <c r="B396" s="37" t="n"/>
      <c r="C396" s="31" t="n"/>
      <c r="D396" s="31" t="n"/>
      <c r="E396" s="31" t="n"/>
      <c r="F396" s="31" t="n"/>
      <c r="G396" s="31" t="n"/>
      <c r="H396" s="33" t="n"/>
      <c r="I396" s="32" t="n"/>
      <c r="J396" s="22">
        <f>IF(H396="","",ROUND(H396*N(I396)/100,2))</f>
        <v/>
      </c>
      <c r="K396" s="30" t="n"/>
      <c r="L396" s="32" t="n"/>
      <c r="M396" s="22">
        <f>IF(H396="","",IF(K396="No",0,H396*N(I396)/100*IF(L396="",100,L396)/100))</f>
        <v/>
      </c>
      <c r="N396" s="22">
        <f>IF(H396="","",H396*IF(L396="",100,L396)/100+IF(K396="No",H396*N(I396)/100*IF(L396="",100,L396)/100,0))</f>
        <v/>
      </c>
      <c r="O396" s="35">
        <f>IF(B396="","",ROUNDUP(MONTH(B396)/3,0))</f>
        <v/>
      </c>
      <c r="P396" s="35">
        <f>IF(B396="","",YEAR(B396))</f>
        <v/>
      </c>
    </row>
    <row r="397">
      <c r="B397" s="37" t="n"/>
      <c r="C397" s="31" t="n"/>
      <c r="D397" s="31" t="n"/>
      <c r="E397" s="31" t="n"/>
      <c r="F397" s="31" t="n"/>
      <c r="G397" s="31" t="n"/>
      <c r="H397" s="33" t="n"/>
      <c r="I397" s="32" t="n"/>
      <c r="J397" s="22">
        <f>IF(H397="","",ROUND(H397*N(I397)/100,2))</f>
        <v/>
      </c>
      <c r="K397" s="30" t="n"/>
      <c r="L397" s="32" t="n"/>
      <c r="M397" s="22">
        <f>IF(H397="","",IF(K397="No",0,H397*N(I397)/100*IF(L397="",100,L397)/100))</f>
        <v/>
      </c>
      <c r="N397" s="22">
        <f>IF(H397="","",H397*IF(L397="",100,L397)/100+IF(K397="No",H397*N(I397)/100*IF(L397="",100,L397)/100,0))</f>
        <v/>
      </c>
      <c r="O397" s="35">
        <f>IF(B397="","",ROUNDUP(MONTH(B397)/3,0))</f>
        <v/>
      </c>
      <c r="P397" s="35">
        <f>IF(B397="","",YEAR(B397))</f>
        <v/>
      </c>
    </row>
    <row r="398">
      <c r="B398" s="37" t="n"/>
      <c r="C398" s="31" t="n"/>
      <c r="D398" s="31" t="n"/>
      <c r="E398" s="31" t="n"/>
      <c r="F398" s="31" t="n"/>
      <c r="G398" s="31" t="n"/>
      <c r="H398" s="33" t="n"/>
      <c r="I398" s="32" t="n"/>
      <c r="J398" s="22">
        <f>IF(H398="","",ROUND(H398*N(I398)/100,2))</f>
        <v/>
      </c>
      <c r="K398" s="30" t="n"/>
      <c r="L398" s="32" t="n"/>
      <c r="M398" s="22">
        <f>IF(H398="","",IF(K398="No",0,H398*N(I398)/100*IF(L398="",100,L398)/100))</f>
        <v/>
      </c>
      <c r="N398" s="22">
        <f>IF(H398="","",H398*IF(L398="",100,L398)/100+IF(K398="No",H398*N(I398)/100*IF(L398="",100,L398)/100,0))</f>
        <v/>
      </c>
      <c r="O398" s="35">
        <f>IF(B398="","",ROUNDUP(MONTH(B398)/3,0))</f>
        <v/>
      </c>
      <c r="P398" s="35">
        <f>IF(B398="","",YEAR(B398))</f>
        <v/>
      </c>
    </row>
    <row r="399">
      <c r="B399" s="37" t="n"/>
      <c r="C399" s="31" t="n"/>
      <c r="D399" s="31" t="n"/>
      <c r="E399" s="31" t="n"/>
      <c r="F399" s="31" t="n"/>
      <c r="G399" s="31" t="n"/>
      <c r="H399" s="33" t="n"/>
      <c r="I399" s="32" t="n"/>
      <c r="J399" s="22">
        <f>IF(H399="","",ROUND(H399*N(I399)/100,2))</f>
        <v/>
      </c>
      <c r="K399" s="30" t="n"/>
      <c r="L399" s="32" t="n"/>
      <c r="M399" s="22">
        <f>IF(H399="","",IF(K399="No",0,H399*N(I399)/100*IF(L399="",100,L399)/100))</f>
        <v/>
      </c>
      <c r="N399" s="22">
        <f>IF(H399="","",H399*IF(L399="",100,L399)/100+IF(K399="No",H399*N(I399)/100*IF(L399="",100,L399)/100,0))</f>
        <v/>
      </c>
      <c r="O399" s="35">
        <f>IF(B399="","",ROUNDUP(MONTH(B399)/3,0))</f>
        <v/>
      </c>
      <c r="P399" s="35">
        <f>IF(B399="","",YEAR(B399))</f>
        <v/>
      </c>
    </row>
    <row r="400">
      <c r="B400" s="37" t="n"/>
      <c r="C400" s="31" t="n"/>
      <c r="D400" s="31" t="n"/>
      <c r="E400" s="31" t="n"/>
      <c r="F400" s="31" t="n"/>
      <c r="G400" s="31" t="n"/>
      <c r="H400" s="33" t="n"/>
      <c r="I400" s="32" t="n"/>
      <c r="J400" s="22">
        <f>IF(H400="","",ROUND(H400*N(I400)/100,2))</f>
        <v/>
      </c>
      <c r="K400" s="30" t="n"/>
      <c r="L400" s="32" t="n"/>
      <c r="M400" s="22">
        <f>IF(H400="","",IF(K400="No",0,H400*N(I400)/100*IF(L400="",100,L400)/100))</f>
        <v/>
      </c>
      <c r="N400" s="22">
        <f>IF(H400="","",H400*IF(L400="",100,L400)/100+IF(K400="No",H400*N(I400)/100*IF(L400="",100,L400)/100,0))</f>
        <v/>
      </c>
      <c r="O400" s="35">
        <f>IF(B400="","",ROUNDUP(MONTH(B400)/3,0))</f>
        <v/>
      </c>
      <c r="P400" s="35">
        <f>IF(B400="","",YEAR(B400))</f>
        <v/>
      </c>
    </row>
    <row r="401">
      <c r="B401" s="37" t="n"/>
      <c r="C401" s="31" t="n"/>
      <c r="D401" s="31" t="n"/>
      <c r="E401" s="31" t="n"/>
      <c r="F401" s="31" t="n"/>
      <c r="G401" s="31" t="n"/>
      <c r="H401" s="33" t="n"/>
      <c r="I401" s="32" t="n"/>
      <c r="J401" s="22">
        <f>IF(H401="","",ROUND(H401*N(I401)/100,2))</f>
        <v/>
      </c>
      <c r="K401" s="30" t="n"/>
      <c r="L401" s="32" t="n"/>
      <c r="M401" s="22">
        <f>IF(H401="","",IF(K401="No",0,H401*N(I401)/100*IF(L401="",100,L401)/100))</f>
        <v/>
      </c>
      <c r="N401" s="22">
        <f>IF(H401="","",H401*IF(L401="",100,L401)/100+IF(K401="No",H401*N(I401)/100*IF(L401="",100,L401)/100,0))</f>
        <v/>
      </c>
      <c r="O401" s="35">
        <f>IF(B401="","",ROUNDUP(MONTH(B401)/3,0))</f>
        <v/>
      </c>
      <c r="P401" s="35">
        <f>IF(B401="","",YEAR(B401))</f>
        <v/>
      </c>
    </row>
    <row r="402">
      <c r="B402" s="37" t="n"/>
      <c r="C402" s="31" t="n"/>
      <c r="D402" s="31" t="n"/>
      <c r="E402" s="31" t="n"/>
      <c r="F402" s="31" t="n"/>
      <c r="G402" s="31" t="n"/>
      <c r="H402" s="33" t="n"/>
      <c r="I402" s="32" t="n"/>
      <c r="J402" s="22">
        <f>IF(H402="","",ROUND(H402*N(I402)/100,2))</f>
        <v/>
      </c>
      <c r="K402" s="30" t="n"/>
      <c r="L402" s="32" t="n"/>
      <c r="M402" s="22">
        <f>IF(H402="","",IF(K402="No",0,H402*N(I402)/100*IF(L402="",100,L402)/100))</f>
        <v/>
      </c>
      <c r="N402" s="22">
        <f>IF(H402="","",H402*IF(L402="",100,L402)/100+IF(K402="No",H402*N(I402)/100*IF(L402="",100,L402)/100,0))</f>
        <v/>
      </c>
      <c r="O402" s="35">
        <f>IF(B402="","",ROUNDUP(MONTH(B402)/3,0))</f>
        <v/>
      </c>
      <c r="P402" s="35">
        <f>IF(B402="","",YEAR(B402))</f>
        <v/>
      </c>
    </row>
    <row r="403">
      <c r="B403" s="37" t="n"/>
      <c r="C403" s="31" t="n"/>
      <c r="D403" s="31" t="n"/>
      <c r="E403" s="31" t="n"/>
      <c r="F403" s="31" t="n"/>
      <c r="G403" s="31" t="n"/>
      <c r="H403" s="33" t="n"/>
      <c r="I403" s="32" t="n"/>
      <c r="J403" s="22">
        <f>IF(H403="","",ROUND(H403*N(I403)/100,2))</f>
        <v/>
      </c>
      <c r="K403" s="30" t="n"/>
      <c r="L403" s="32" t="n"/>
      <c r="M403" s="22">
        <f>IF(H403="","",IF(K403="No",0,H403*N(I403)/100*IF(L403="",100,L403)/100))</f>
        <v/>
      </c>
      <c r="N403" s="22">
        <f>IF(H403="","",H403*IF(L403="",100,L403)/100+IF(K403="No",H403*N(I403)/100*IF(L403="",100,L403)/100,0))</f>
        <v/>
      </c>
      <c r="O403" s="35">
        <f>IF(B403="","",ROUNDUP(MONTH(B403)/3,0))</f>
        <v/>
      </c>
      <c r="P403" s="35">
        <f>IF(B403="","",YEAR(B403))</f>
        <v/>
      </c>
    </row>
    <row r="404">
      <c r="B404" s="37" t="n"/>
      <c r="C404" s="31" t="n"/>
      <c r="D404" s="31" t="n"/>
      <c r="E404" s="31" t="n"/>
      <c r="F404" s="31" t="n"/>
      <c r="G404" s="31" t="n"/>
      <c r="H404" s="33" t="n"/>
      <c r="I404" s="32" t="n"/>
      <c r="J404" s="22">
        <f>IF(H404="","",ROUND(H404*N(I404)/100,2))</f>
        <v/>
      </c>
      <c r="K404" s="30" t="n"/>
      <c r="L404" s="32" t="n"/>
      <c r="M404" s="22">
        <f>IF(H404="","",IF(K404="No",0,H404*N(I404)/100*IF(L404="",100,L404)/100))</f>
        <v/>
      </c>
      <c r="N404" s="22">
        <f>IF(H404="","",H404*IF(L404="",100,L404)/100+IF(K404="No",H404*N(I404)/100*IF(L404="",100,L404)/100,0))</f>
        <v/>
      </c>
      <c r="O404" s="35">
        <f>IF(B404="","",ROUNDUP(MONTH(B404)/3,0))</f>
        <v/>
      </c>
      <c r="P404" s="35">
        <f>IF(B404="","",YEAR(B404))</f>
        <v/>
      </c>
    </row>
    <row r="405">
      <c r="B405" s="37" t="n"/>
      <c r="C405" s="31" t="n"/>
      <c r="D405" s="31" t="n"/>
      <c r="E405" s="31" t="n"/>
      <c r="F405" s="31" t="n"/>
      <c r="G405" s="31" t="n"/>
      <c r="H405" s="33" t="n"/>
      <c r="I405" s="32" t="n"/>
      <c r="J405" s="22">
        <f>IF(H405="","",ROUND(H405*N(I405)/100,2))</f>
        <v/>
      </c>
      <c r="K405" s="30" t="n"/>
      <c r="L405" s="32" t="n"/>
      <c r="M405" s="22">
        <f>IF(H405="","",IF(K405="No",0,H405*N(I405)/100*IF(L405="",100,L405)/100))</f>
        <v/>
      </c>
      <c r="N405" s="22">
        <f>IF(H405="","",H405*IF(L405="",100,L405)/100+IF(K405="No",H405*N(I405)/100*IF(L405="",100,L405)/100,0))</f>
        <v/>
      </c>
      <c r="O405" s="35">
        <f>IF(B405="","",ROUNDUP(MONTH(B405)/3,0))</f>
        <v/>
      </c>
      <c r="P405" s="35">
        <f>IF(B405="","",YEAR(B405))</f>
        <v/>
      </c>
    </row>
    <row r="406">
      <c r="B406" s="37" t="n"/>
      <c r="C406" s="31" t="n"/>
      <c r="D406" s="31" t="n"/>
      <c r="E406" s="31" t="n"/>
      <c r="F406" s="31" t="n"/>
      <c r="G406" s="31" t="n"/>
      <c r="H406" s="33" t="n"/>
      <c r="I406" s="32" t="n"/>
      <c r="J406" s="22">
        <f>IF(H406="","",ROUND(H406*N(I406)/100,2))</f>
        <v/>
      </c>
      <c r="K406" s="30" t="n"/>
      <c r="L406" s="32" t="n"/>
      <c r="M406" s="22">
        <f>IF(H406="","",IF(K406="No",0,H406*N(I406)/100*IF(L406="",100,L406)/100))</f>
        <v/>
      </c>
      <c r="N406" s="22">
        <f>IF(H406="","",H406*IF(L406="",100,L406)/100+IF(K406="No",H406*N(I406)/100*IF(L406="",100,L406)/100,0))</f>
        <v/>
      </c>
      <c r="O406" s="35">
        <f>IF(B406="","",ROUNDUP(MONTH(B406)/3,0))</f>
        <v/>
      </c>
      <c r="P406" s="35">
        <f>IF(B406="","",YEAR(B406))</f>
        <v/>
      </c>
    </row>
    <row r="407">
      <c r="B407" s="37" t="n"/>
      <c r="C407" s="31" t="n"/>
      <c r="D407" s="31" t="n"/>
      <c r="E407" s="31" t="n"/>
      <c r="F407" s="31" t="n"/>
      <c r="G407" s="31" t="n"/>
      <c r="H407" s="33" t="n"/>
      <c r="I407" s="32" t="n"/>
      <c r="J407" s="22">
        <f>IF(H407="","",ROUND(H407*N(I407)/100,2))</f>
        <v/>
      </c>
      <c r="K407" s="30" t="n"/>
      <c r="L407" s="32" t="n"/>
      <c r="M407" s="22">
        <f>IF(H407="","",IF(K407="No",0,H407*N(I407)/100*IF(L407="",100,L407)/100))</f>
        <v/>
      </c>
      <c r="N407" s="22">
        <f>IF(H407="","",H407*IF(L407="",100,L407)/100+IF(K407="No",H407*N(I407)/100*IF(L407="",100,L407)/100,0))</f>
        <v/>
      </c>
      <c r="O407" s="35">
        <f>IF(B407="","",ROUNDUP(MONTH(B407)/3,0))</f>
        <v/>
      </c>
      <c r="P407" s="35">
        <f>IF(B407="","",YEAR(B407))</f>
        <v/>
      </c>
    </row>
  </sheetData>
  <autoFilter ref="B7:P407"/>
  <conditionalFormatting sqref="B8:P407">
    <cfRule type="expression" priority="1" dxfId="1">
      <formula>AND($P8&lt;&gt;"",$P8&lt;&gt;ANIO)</formula>
    </cfRule>
  </conditionalFormatting>
  <dataValidations count="5">
    <dataValidation sqref="G8:G407" showDropDown="0" showInputMessage="0" showErrorMessage="1" allowBlank="1" errorTitle="Valor no válido" error="Elige una opción de la lista." type="list">
      <formula1>"Suministros,Material,Software y suscripciones,Asesoría,Seguros,Formación,Viajes y dietas,Vehículo,Alquiler de local,Publicidad,Comisiones bancarias,Telefonía e internet,Otros"</formula1>
    </dataValidation>
    <dataValidation sqref="I8:I407" showDropDown="0" showInputMessage="0" showErrorMessage="1" allowBlank="1" errorTitle="Valor no válido" error="Elige una opción de la lista." type="list">
      <formula1>"21,10,4,0"</formula1>
    </dataValidation>
    <dataValidation sqref="K8:K407" showDropDown="0" showInputMessage="0" showErrorMessage="1" allowBlank="1" errorTitle="Valor no válido" error="Elige una opción de la lista." type="list">
      <formula1>"Sí,No"</formula1>
    </dataValidation>
    <dataValidation sqref="L8:L407" showDropDown="0" showInputMessage="0" showErrorMessage="1" allowBlank="1" errorTitle="Número no válido" error="Escribe un número (sin el símbolo de moneda)." type="decimal" operator="between">
      <formula1>0</formula1>
      <formula2>100</formula2>
    </dataValidation>
    <dataValidation sqref="B8:B407" showDropDown="0" showInputMessage="0" showErrorMessage="1" allowBlank="1" errorTitle="Fecha no válida" error="Escribe una fecha, por ejemplo 15/03/2027." type="date" operator="greaterThan">
      <formula1>1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C6E60"/>
    <outlinePr summaryBelow="1" summaryRight="1"/>
    <pageSetUpPr fitToPage="1"/>
  </sheetPr>
  <dimension ref="A1:H29"/>
  <sheetViews>
    <sheetView showGridLines="0" tabSelected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4" t="inlineStr">
        <is>
          <t>Modelo 303 · IVA 2027</t>
        </is>
      </c>
      <c r="C2" s="1" t="n"/>
      <c r="D2" s="1" t="n"/>
      <c r="E2" s="1" t="n"/>
      <c r="F2" s="1" t="n"/>
      <c r="G2" s="1" t="n"/>
      <c r="H2" s="15" t="inlineStr">
        <is>
          <t>ImpuestoClaro</t>
        </is>
      </c>
    </row>
    <row r="3" ht="20" customHeight="1">
      <c r="A3" s="1" t="n"/>
      <c r="B3" s="16" t="inlineStr">
        <is>
          <t>Se calcula solo con tus libros. Copia la columna del trimestre en el formulario de la AEAT.</t>
        </is>
      </c>
      <c r="C3" s="1" t="n"/>
      <c r="D3" s="1" t="n"/>
      <c r="E3" s="1" t="n"/>
      <c r="F3" s="1" t="n"/>
      <c r="G3" s="1" t="n"/>
      <c r="H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7" ht="30" customHeight="1">
      <c r="B7" s="21" t="inlineStr">
        <is>
          <t>Concepto</t>
        </is>
      </c>
      <c r="C7" s="21" t="inlineStr"/>
      <c r="D7" s="21" t="inlineStr">
        <is>
          <t>1T (ene-mar)</t>
        </is>
      </c>
      <c r="E7" s="21" t="inlineStr">
        <is>
          <t>2T (abr-jun)</t>
        </is>
      </c>
      <c r="F7" s="21" t="inlineStr">
        <is>
          <t>3T (jul-sep)</t>
        </is>
      </c>
      <c r="G7" s="21" t="inlineStr">
        <is>
          <t>4T (oct-dic)</t>
        </is>
      </c>
      <c r="H7" s="21" t="inlineStr">
        <is>
          <t>Año</t>
        </is>
      </c>
    </row>
    <row r="8">
      <c r="B8" s="9" t="inlineStr">
        <is>
          <t>Base imponible al tipo general</t>
        </is>
      </c>
      <c r="D8" s="22">
        <f>SUMIFS(Ingresos!$G$8:$G$407,Ingresos!$H$8:$H$407,IVA_GENERAL,Ingresos!$M$8:$M$407,1,Ingresos!$N$8:$N$407,ANIO)</f>
        <v/>
      </c>
      <c r="E8" s="22">
        <f>SUMIFS(Ingresos!$G$8:$G$407,Ingresos!$H$8:$H$407,IVA_GENERAL,Ingresos!$M$8:$M$407,2,Ingresos!$N$8:$N$407,ANIO)</f>
        <v/>
      </c>
      <c r="F8" s="22">
        <f>SUMIFS(Ingresos!$G$8:$G$407,Ingresos!$H$8:$H$407,IVA_GENERAL,Ingresos!$M$8:$M$407,3,Ingresos!$N$8:$N$407,ANIO)</f>
        <v/>
      </c>
      <c r="G8" s="22">
        <f>SUMIFS(Ingresos!$G$8:$G$407,Ingresos!$H$8:$H$407,IVA_GENERAL,Ingresos!$M$8:$M$407,4,Ingresos!$N$8:$N$407,ANIO)</f>
        <v/>
      </c>
      <c r="H8" s="22">
        <f>SUM(D8:G8)</f>
        <v/>
      </c>
    </row>
    <row r="9">
      <c r="B9" s="9" t="inlineStr">
        <is>
          <t xml:space="preserve">   Cuota devengada al tipo general</t>
        </is>
      </c>
      <c r="D9" s="22">
        <f>D8*IVA_GENERAL/100</f>
        <v/>
      </c>
      <c r="E9" s="22">
        <f>E8*IVA_GENERAL/100</f>
        <v/>
      </c>
      <c r="F9" s="22">
        <f>F8*IVA_GENERAL/100</f>
        <v/>
      </c>
      <c r="G9" s="22">
        <f>G8*IVA_GENERAL/100</f>
        <v/>
      </c>
      <c r="H9" s="22">
        <f>SUM(D9:G9)</f>
        <v/>
      </c>
    </row>
    <row r="10">
      <c r="B10" s="9" t="inlineStr">
        <is>
          <t>Base imponible al tipo reducido</t>
        </is>
      </c>
      <c r="D10" s="22">
        <f>SUMIFS(Ingresos!$G$8:$G$407,Ingresos!$H$8:$H$407,IVA_REDUCIDO,Ingresos!$M$8:$M$407,1,Ingresos!$N$8:$N$407,ANIO)</f>
        <v/>
      </c>
      <c r="E10" s="22">
        <f>SUMIFS(Ingresos!$G$8:$G$407,Ingresos!$H$8:$H$407,IVA_REDUCIDO,Ingresos!$M$8:$M$407,2,Ingresos!$N$8:$N$407,ANIO)</f>
        <v/>
      </c>
      <c r="F10" s="22">
        <f>SUMIFS(Ingresos!$G$8:$G$407,Ingresos!$H$8:$H$407,IVA_REDUCIDO,Ingresos!$M$8:$M$407,3,Ingresos!$N$8:$N$407,ANIO)</f>
        <v/>
      </c>
      <c r="G10" s="22">
        <f>SUMIFS(Ingresos!$G$8:$G$407,Ingresos!$H$8:$H$407,IVA_REDUCIDO,Ingresos!$M$8:$M$407,4,Ingresos!$N$8:$N$407,ANIO)</f>
        <v/>
      </c>
      <c r="H10" s="22">
        <f>SUM(D10:G10)</f>
        <v/>
      </c>
    </row>
    <row r="11">
      <c r="B11" s="9" t="inlineStr">
        <is>
          <t xml:space="preserve">   Cuota devengada al tipo reducido</t>
        </is>
      </c>
      <c r="D11" s="22">
        <f>D10*IVA_REDUCIDO/100</f>
        <v/>
      </c>
      <c r="E11" s="22">
        <f>E10*IVA_REDUCIDO/100</f>
        <v/>
      </c>
      <c r="F11" s="22">
        <f>F10*IVA_REDUCIDO/100</f>
        <v/>
      </c>
      <c r="G11" s="22">
        <f>G10*IVA_REDUCIDO/100</f>
        <v/>
      </c>
      <c r="H11" s="22">
        <f>SUM(D11:G11)</f>
        <v/>
      </c>
    </row>
    <row r="12">
      <c r="B12" s="9" t="inlineStr">
        <is>
          <t>Base imponible al tipo superreducido</t>
        </is>
      </c>
      <c r="D12" s="22">
        <f>SUMIFS(Ingresos!$G$8:$G$407,Ingresos!$H$8:$H$407,IVA_SUPERREDUCIDO,Ingresos!$M$8:$M$407,1,Ingresos!$N$8:$N$407,ANIO)</f>
        <v/>
      </c>
      <c r="E12" s="22">
        <f>SUMIFS(Ingresos!$G$8:$G$407,Ingresos!$H$8:$H$407,IVA_SUPERREDUCIDO,Ingresos!$M$8:$M$407,2,Ingresos!$N$8:$N$407,ANIO)</f>
        <v/>
      </c>
      <c r="F12" s="22">
        <f>SUMIFS(Ingresos!$G$8:$G$407,Ingresos!$H$8:$H$407,IVA_SUPERREDUCIDO,Ingresos!$M$8:$M$407,3,Ingresos!$N$8:$N$407,ANIO)</f>
        <v/>
      </c>
      <c r="G12" s="22">
        <f>SUMIFS(Ingresos!$G$8:$G$407,Ingresos!$H$8:$H$407,IVA_SUPERREDUCIDO,Ingresos!$M$8:$M$407,4,Ingresos!$N$8:$N$407,ANIO)</f>
        <v/>
      </c>
      <c r="H12" s="22">
        <f>SUM(D12:G12)</f>
        <v/>
      </c>
    </row>
    <row r="13">
      <c r="B13" s="9" t="inlineStr">
        <is>
          <t xml:space="preserve">   Cuota devengada al tipo superreducido</t>
        </is>
      </c>
      <c r="D13" s="22">
        <f>D12*IVA_SUPERREDUCIDO/100</f>
        <v/>
      </c>
      <c r="E13" s="22">
        <f>E12*IVA_SUPERREDUCIDO/100</f>
        <v/>
      </c>
      <c r="F13" s="22">
        <f>F12*IVA_SUPERREDUCIDO/100</f>
        <v/>
      </c>
      <c r="G13" s="22">
        <f>G12*IVA_SUPERREDUCIDO/100</f>
        <v/>
      </c>
      <c r="H13" s="22">
        <f>SUM(D13:G13)</f>
        <v/>
      </c>
    </row>
    <row r="14">
      <c r="B14" s="9" t="inlineStr">
        <is>
          <t>Operaciones exentas o sin IVA (informativo)</t>
        </is>
      </c>
      <c r="D14" s="22">
        <f>SUMIFS(Ingresos!$G$8:$G$407,Ingresos!$H$8:$H$407,0,Ingresos!$M$8:$M$407,1,Ingresos!$N$8:$N$407,ANIO)</f>
        <v/>
      </c>
      <c r="E14" s="22">
        <f>SUMIFS(Ingresos!$G$8:$G$407,Ingresos!$H$8:$H$407,0,Ingresos!$M$8:$M$407,2,Ingresos!$N$8:$N$407,ANIO)</f>
        <v/>
      </c>
      <c r="F14" s="22">
        <f>SUMIFS(Ingresos!$G$8:$G$407,Ingresos!$H$8:$H$407,0,Ingresos!$M$8:$M$407,3,Ingresos!$N$8:$N$407,ANIO)</f>
        <v/>
      </c>
      <c r="G14" s="22">
        <f>SUMIFS(Ingresos!$G$8:$G$407,Ingresos!$H$8:$H$407,0,Ingresos!$M$8:$M$407,4,Ingresos!$N$8:$N$407,ANIO)</f>
        <v/>
      </c>
      <c r="H14" s="22">
        <f>SUM(D14:G14)</f>
        <v/>
      </c>
    </row>
    <row r="15">
      <c r="B15" s="24" t="inlineStr">
        <is>
          <t>Total cuota devengada</t>
        </is>
      </c>
      <c r="D15" s="23">
        <f>D9+D11+D13</f>
        <v/>
      </c>
      <c r="E15" s="23">
        <f>E9+E11+E13</f>
        <v/>
      </c>
      <c r="F15" s="23">
        <f>F9+F11+F13</f>
        <v/>
      </c>
      <c r="G15" s="23">
        <f>G9+G11+G13</f>
        <v/>
      </c>
      <c r="H15" s="23">
        <f>SUM(D15:G15)</f>
        <v/>
      </c>
    </row>
    <row r="16">
      <c r="B16" s="9" t="inlineStr">
        <is>
          <t>IVA soportado deducible (gastos)</t>
        </is>
      </c>
      <c r="D16" s="22">
        <f>SUMIFS(Gastos!$M$8:$M$407,Gastos!$O$8:$O$407,1,Gastos!$P$8:$P$407,ANIO)</f>
        <v/>
      </c>
      <c r="E16" s="22">
        <f>SUMIFS(Gastos!$M$8:$M$407,Gastos!$O$8:$O$407,2,Gastos!$P$8:$P$407,ANIO)</f>
        <v/>
      </c>
      <c r="F16" s="22">
        <f>SUMIFS(Gastos!$M$8:$M$407,Gastos!$O$8:$O$407,3,Gastos!$P$8:$P$407,ANIO)</f>
        <v/>
      </c>
      <c r="G16" s="22">
        <f>SUMIFS(Gastos!$M$8:$M$407,Gastos!$O$8:$O$407,4,Gastos!$P$8:$P$407,ANIO)</f>
        <v/>
      </c>
      <c r="H16" s="22">
        <f>SUM(D16:G16)</f>
        <v/>
      </c>
    </row>
    <row r="17">
      <c r="B17" s="24" t="inlineStr">
        <is>
          <t>Diferencia (devengado − soportado)</t>
        </is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SUM(D17:G17)</f>
        <v/>
      </c>
    </row>
    <row r="18">
      <c r="B18" s="9" t="inlineStr">
        <is>
          <t>Cuotas a compensar de periodos anteriores</t>
        </is>
      </c>
      <c r="D18" s="22">
        <f>COMPENSAR_INICIAL</f>
        <v/>
      </c>
      <c r="E18" s="22">
        <f>MAX(0,-D19)</f>
        <v/>
      </c>
      <c r="F18" s="22">
        <f>MAX(0,-E19)</f>
        <v/>
      </c>
      <c r="G18" s="22">
        <f>MAX(0,-F19)</f>
        <v/>
      </c>
      <c r="H18" s="22" t="inlineStr"/>
    </row>
    <row r="19">
      <c r="B19" s="24" t="inlineStr">
        <is>
          <t>Resultado de la liquidación</t>
        </is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SUM(D19:G19)</f>
        <v/>
      </c>
    </row>
    <row r="21">
      <c r="B21" s="9" t="inlineStr">
        <is>
          <t>A INGRESAR</t>
        </is>
      </c>
      <c r="D21" s="25">
        <f>MAX(0,D19)</f>
        <v/>
      </c>
      <c r="E21" s="25">
        <f>MAX(0,E19)</f>
        <v/>
      </c>
      <c r="F21" s="25">
        <f>MAX(0,F19)</f>
        <v/>
      </c>
      <c r="G21" s="25">
        <f>MAX(0,G19)</f>
        <v/>
      </c>
      <c r="H21" s="25">
        <f>SUM(D21:G21)</f>
        <v/>
      </c>
    </row>
    <row r="22">
      <c r="B22" s="9" t="inlineStr">
        <is>
          <t>A compensar en el trimestre siguiente</t>
        </is>
      </c>
      <c r="D22" s="22">
        <f>IF(D19&lt;0,-D19,0)</f>
        <v/>
      </c>
      <c r="E22" s="22">
        <f>IF(E19&lt;0,-E19,0)</f>
        <v/>
      </c>
      <c r="F22" s="22">
        <f>IF(F19&lt;0,-F19,0)</f>
        <v/>
      </c>
      <c r="G22" s="22">
        <f>0</f>
        <v/>
      </c>
    </row>
    <row r="23">
      <c r="B23" s="9" t="inlineStr">
        <is>
          <t>A devolver (solo en el 4T, si lo pides)</t>
        </is>
      </c>
      <c r="D23" s="22">
        <f>0</f>
        <v/>
      </c>
      <c r="E23" s="22">
        <f>0</f>
        <v/>
      </c>
      <c r="F23" s="22">
        <f>0</f>
        <v/>
      </c>
      <c r="G23" s="22">
        <f>IF(G19&lt;0,-G19,0)</f>
        <v/>
      </c>
    </row>
    <row r="25">
      <c r="B25" s="9" t="inlineStr">
        <is>
          <t>Plazo de presentación</t>
        </is>
      </c>
      <c r="D25" s="35" t="inlineStr">
        <is>
          <t>1-20 abril</t>
        </is>
      </c>
      <c r="E25" s="35" t="inlineStr">
        <is>
          <t>1-20 julio</t>
        </is>
      </c>
      <c r="F25" s="35" t="inlineStr">
        <is>
          <t>1-20 octubre</t>
        </is>
      </c>
      <c r="G25" s="35" t="inlineStr">
        <is>
          <t>1-30 enero 2028</t>
        </is>
      </c>
    </row>
    <row r="26">
      <c r="B26" s="24" t="inlineStr">
        <is>
          <t>Último día (si cae en fin de semana, el lunes)</t>
        </is>
      </c>
      <c r="D26" s="38" t="n">
        <v>46497</v>
      </c>
      <c r="E26" s="38" t="n">
        <v>46588</v>
      </c>
      <c r="F26" s="38" t="n">
        <v>46680</v>
      </c>
      <c r="G26" s="38" t="n">
        <v>46783</v>
      </c>
    </row>
    <row r="28" ht="30" customHeight="1">
      <c r="B28" s="12" t="inlineStr">
        <is>
          <t>Trimestral; mensual (1-30 del mes siguiente, enero hasta 30) para grandes empresas, REDEME y grupos. Domiciliación hasta el día 15 (25 de enero en el 4T). En enero también se presenta el resumen anual (modelo 390) con los totales de la columna «Año».</t>
        </is>
      </c>
    </row>
    <row r="29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8:H29"/>
  </mergeCells>
  <conditionalFormatting sqref="D19:G19">
    <cfRule type="expression" priority="1" dxfId="2">
      <formula>D19&lt;0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C6E60"/>
    <outlinePr summaryBelow="1" summaryRight="1"/>
    <pageSetUpPr fitToPage="1"/>
  </sheetPr>
  <dimension ref="A1:G23"/>
  <sheetViews>
    <sheetView showGridLines="0" tabSelected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4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4" customHeight="1">
      <c r="A2" s="1" t="n"/>
      <c r="B2" s="14" t="inlineStr">
        <is>
          <t>Modelo 130 · pago fraccionado del IRPF 2027</t>
        </is>
      </c>
      <c r="C2" s="1" t="n"/>
      <c r="D2" s="1" t="n"/>
      <c r="E2" s="1" t="n"/>
      <c r="F2" s="1" t="n"/>
      <c r="G2" s="15" t="inlineStr">
        <is>
          <t>ImpuestoClaro</t>
        </is>
      </c>
    </row>
    <row r="3" ht="20" customHeight="1">
      <c r="A3" s="1" t="n"/>
      <c r="B3" s="16" t="inlineStr">
        <is>
          <t>Acumulado desde el 1 de enero hasta el final de cada trimestre</t>
        </is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7" ht="30" customHeight="1">
      <c r="B7" s="21" t="inlineStr">
        <is>
          <t>Concepto</t>
        </is>
      </c>
      <c r="C7" s="21" t="inlineStr"/>
      <c r="D7" s="21" t="inlineStr">
        <is>
          <t>1T</t>
        </is>
      </c>
      <c r="E7" s="21" t="inlineStr">
        <is>
          <t>2T</t>
        </is>
      </c>
      <c r="F7" s="21" t="inlineStr">
        <is>
          <t>3T</t>
        </is>
      </c>
      <c r="G7" s="21" t="inlineStr">
        <is>
          <t>4T</t>
        </is>
      </c>
    </row>
    <row r="8">
      <c r="B8" s="9" t="inlineStr">
        <is>
          <t>Ingresos computables acumulados</t>
        </is>
      </c>
      <c r="D8" s="22">
        <f>SUMIFS(Ingresos!$G$8:$G$407,Ingresos!$M$8:$M$407,"&lt;="&amp;1,Ingresos!$N$8:$N$407,ANIO)</f>
        <v/>
      </c>
      <c r="E8" s="22">
        <f>SUMIFS(Ingresos!$G$8:$G$407,Ingresos!$M$8:$M$407,"&lt;="&amp;2,Ingresos!$N$8:$N$407,ANIO)</f>
        <v/>
      </c>
      <c r="F8" s="22">
        <f>SUMIFS(Ingresos!$G$8:$G$407,Ingresos!$M$8:$M$407,"&lt;="&amp;3,Ingresos!$N$8:$N$407,ANIO)</f>
        <v/>
      </c>
      <c r="G8" s="22">
        <f>SUMIFS(Ingresos!$G$8:$G$407,Ingresos!$M$8:$M$407,"&lt;="&amp;4,Ingresos!$N$8:$N$407,ANIO)</f>
        <v/>
      </c>
    </row>
    <row r="9">
      <c r="B9" s="9" t="inlineStr">
        <is>
          <t>Gastos deducibles acumulados (libro de gastos)</t>
        </is>
      </c>
      <c r="D9" s="22">
        <f>SUMIFS(Gastos!$N$8:$N$407,Gastos!$O$8:$O$407,"&lt;="&amp;1,Gastos!$P$8:$P$407,ANIO)</f>
        <v/>
      </c>
      <c r="E9" s="22">
        <f>SUMIFS(Gastos!$N$8:$N$407,Gastos!$O$8:$O$407,"&lt;="&amp;2,Gastos!$P$8:$P$407,ANIO)</f>
        <v/>
      </c>
      <c r="F9" s="22">
        <f>SUMIFS(Gastos!$N$8:$N$407,Gastos!$O$8:$O$407,"&lt;="&amp;3,Gastos!$P$8:$P$407,ANIO)</f>
        <v/>
      </c>
      <c r="G9" s="22">
        <f>SUMIFS(Gastos!$N$8:$N$407,Gastos!$O$8:$O$407,"&lt;="&amp;4,Gastos!$P$8:$P$407,ANIO)</f>
        <v/>
      </c>
    </row>
    <row r="10">
      <c r="B10" s="9" t="inlineStr">
        <is>
          <t>Cuota de autónomos acumulada</t>
        </is>
      </c>
      <c r="D10" s="22">
        <f>SUMIFS(CUOTA_MES,CUOTA_TRIM,"&lt;="&amp;1)</f>
        <v/>
      </c>
      <c r="E10" s="22">
        <f>SUMIFS(CUOTA_MES,CUOTA_TRIM,"&lt;="&amp;2)</f>
        <v/>
      </c>
      <c r="F10" s="22">
        <f>SUMIFS(CUOTA_MES,CUOTA_TRIM,"&lt;="&amp;3)</f>
        <v/>
      </c>
      <c r="G10" s="22">
        <f>SUMIFS(CUOTA_MES,CUOTA_TRIM,"&lt;="&amp;4)</f>
        <v/>
      </c>
    </row>
    <row r="11">
      <c r="B11" s="24" t="inlineStr">
        <is>
          <t>Rendimiento neto acumulado</t>
        </is>
      </c>
      <c r="D11" s="23">
        <f>D8-D9-D10</f>
        <v/>
      </c>
      <c r="E11" s="23">
        <f>E8-E9-E10</f>
        <v/>
      </c>
      <c r="F11" s="23">
        <f>F8-F9-F10</f>
        <v/>
      </c>
      <c r="G11" s="23">
        <f>G8-G9-G10</f>
        <v/>
      </c>
    </row>
    <row r="12">
      <c r="B12" s="9" t="inlineStr">
        <is>
          <t>Pago fraccionado (20 % del rendimiento positivo)</t>
        </is>
      </c>
      <c r="D12" s="22">
        <f>MAX(0,D11)*PCT_130/100</f>
        <v/>
      </c>
      <c r="E12" s="22">
        <f>MAX(0,E11)*PCT_130/100</f>
        <v/>
      </c>
      <c r="F12" s="22">
        <f>MAX(0,F11)*PCT_130/100</f>
        <v/>
      </c>
      <c r="G12" s="22">
        <f>MAX(0,G11)*PCT_130/100</f>
        <v/>
      </c>
    </row>
    <row r="13">
      <c r="B13" s="9" t="inlineStr">
        <is>
          <t>Retenciones de tus facturas, acumuladas</t>
        </is>
      </c>
      <c r="D13" s="22">
        <f>SUMIFS(Ingresos!$K$8:$K$407,Ingresos!$M$8:$M$407,"&lt;="&amp;1,Ingresos!$N$8:$N$407,ANIO)</f>
        <v/>
      </c>
      <c r="E13" s="22">
        <f>SUMIFS(Ingresos!$K$8:$K$407,Ingresos!$M$8:$M$407,"&lt;="&amp;2,Ingresos!$N$8:$N$407,ANIO)</f>
        <v/>
      </c>
      <c r="F13" s="22">
        <f>SUMIFS(Ingresos!$K$8:$K$407,Ingresos!$M$8:$M$407,"&lt;="&amp;3,Ingresos!$N$8:$N$407,ANIO)</f>
        <v/>
      </c>
      <c r="G13" s="22">
        <f>SUMIFS(Ingresos!$K$8:$K$407,Ingresos!$M$8:$M$407,"&lt;="&amp;4,Ingresos!$N$8:$N$407,ANIO)</f>
        <v/>
      </c>
    </row>
    <row r="14">
      <c r="B14" s="9" t="inlineStr">
        <is>
          <t>Pagos de los 130 anteriores del año</t>
        </is>
      </c>
      <c r="D14" s="22">
        <f>0</f>
        <v/>
      </c>
      <c r="E14" s="22">
        <f>SUM($D17:D17)</f>
        <v/>
      </c>
      <c r="F14" s="22">
        <f>SUM($D17:E17)</f>
        <v/>
      </c>
      <c r="G14" s="22">
        <f>SUM($D17:F17)</f>
        <v/>
      </c>
    </row>
    <row r="15">
      <c r="B15" s="9" t="inlineStr">
        <is>
          <t>Minoración por rendimientos bajos en 2026</t>
        </is>
      </c>
      <c r="D15" s="22">
        <f>IF(REND_ANTERIOR&lt;=MIN130_H1,MIN130_E1,IF(REND_ANTERIOR&lt;=MIN130_H2,MIN130_E2,IF(REND_ANTERIOR&lt;=MIN130_H3,MIN130_E3,IF(REND_ANTERIOR&lt;=MIN130_H4,MIN130_E4,0))))*1</f>
        <v/>
      </c>
      <c r="E15" s="22">
        <f>IF(REND_ANTERIOR&lt;=MIN130_H1,MIN130_E1,IF(REND_ANTERIOR&lt;=MIN130_H2,MIN130_E2,IF(REND_ANTERIOR&lt;=MIN130_H3,MIN130_E3,IF(REND_ANTERIOR&lt;=MIN130_H4,MIN130_E4,0))))*2</f>
        <v/>
      </c>
      <c r="F15" s="22">
        <f>IF(REND_ANTERIOR&lt;=MIN130_H1,MIN130_E1,IF(REND_ANTERIOR&lt;=MIN130_H2,MIN130_E2,IF(REND_ANTERIOR&lt;=MIN130_H3,MIN130_E3,IF(REND_ANTERIOR&lt;=MIN130_H4,MIN130_E4,0))))*3</f>
        <v/>
      </c>
      <c r="G15" s="22">
        <f>IF(REND_ANTERIOR&lt;=MIN130_H1,MIN130_E1,IF(REND_ANTERIOR&lt;=MIN130_H2,MIN130_E2,IF(REND_ANTERIOR&lt;=MIN130_H3,MIN130_E3,IF(REND_ANTERIOR&lt;=MIN130_H4,MIN130_E4,0))))*4</f>
        <v/>
      </c>
    </row>
    <row r="16">
      <c r="B16" s="24" t="inlineStr">
        <is>
          <t>Resultado</t>
        </is>
      </c>
      <c r="D16" s="23">
        <f>D12-D13-D14-D15</f>
        <v/>
      </c>
      <c r="E16" s="23">
        <f>E12-E13-E14-E15</f>
        <v/>
      </c>
      <c r="F16" s="23">
        <f>F12-F13-F14-F15</f>
        <v/>
      </c>
      <c r="G16" s="23">
        <f>G12-G13-G14-G15</f>
        <v/>
      </c>
    </row>
    <row r="17">
      <c r="B17" s="9" t="inlineStr">
        <is>
          <t>A INGRESAR</t>
        </is>
      </c>
      <c r="D17" s="25">
        <f>IF(PRESENTA_130="No",0,MAX(0,D16))</f>
        <v/>
      </c>
      <c r="E17" s="25">
        <f>IF(PRESENTA_130="No",0,MAX(0,E16))</f>
        <v/>
      </c>
      <c r="F17" s="25">
        <f>IF(PRESENTA_130="No",0,MAX(0,F16))</f>
        <v/>
      </c>
      <c r="G17" s="25">
        <f>IF(PRESENTA_130="No",0,MAX(0,G16))</f>
        <v/>
      </c>
    </row>
    <row r="19">
      <c r="B19" s="24" t="inlineStr">
        <is>
          <t>Último día de presentación</t>
        </is>
      </c>
      <c r="D19" s="38" t="n">
        <v>46497</v>
      </c>
      <c r="E19" s="38" t="n">
        <v>46588</v>
      </c>
      <c r="F19" s="38" t="n">
        <v>46680</v>
      </c>
      <c r="G19" s="38" t="n">
        <v>46783</v>
      </c>
    </row>
    <row r="21">
      <c r="B21" s="36">
        <f>IF(PRESENTA_130="No","Has indicado que no presentas el 130 (más del 70 % de tus ingresos de 2026 llevaron retención): los importes son solo informativos.","Un resultado negativo no se devuelve: se resta solo en los trimestres siguientes, porque el cálculo es acumulado.")</f>
        <v/>
      </c>
      <c r="C21" s="39" t="n"/>
      <c r="D21" s="39" t="n"/>
      <c r="E21" s="39" t="n"/>
      <c r="F21" s="39" t="n"/>
      <c r="G21" s="40" t="n"/>
    </row>
    <row r="22" ht="30" customHeight="1">
      <c r="B22" s="12" t="inlineStr">
        <is>
          <t>20 % del rendimiento neto acumulado desde el 1 de enero menos pagos y retenciones anteriores. No obligado si &gt;= 70 % de ingresos profesionales tuvieron retención el año anterior. Minoración: Minoración trimestral del pago fraccionado según los rendimientos netos del año anterior (art. 110.3.c RIRPF): 100 € si no superan 9.000 €, 75 € hasta 10.000 €, 50 € hasta 11.000 € y 25 € hasta 12.000 €. Se acumula por trimestres.</t>
        </is>
      </c>
    </row>
    <row r="23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B21:G21"/>
    <mergeCell ref="B22:G23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A38B"/>
    <outlinePr summaryBelow="1" summaryRight="1"/>
    <pageSetUpPr fitToPage="1"/>
  </sheetPr>
  <dimension ref="A1:H59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4" t="inlineStr">
        <is>
          <t>Cuota de autónomos 2027</t>
        </is>
      </c>
      <c r="C2" s="1" t="n"/>
      <c r="D2" s="1" t="n"/>
      <c r="E2" s="1" t="n"/>
      <c r="F2" s="1" t="n"/>
      <c r="G2" s="1" t="n"/>
      <c r="H2" s="15" t="inlineStr">
        <is>
          <t>ImpuestoClaro</t>
        </is>
      </c>
    </row>
    <row r="3" ht="20" customHeight="1">
      <c r="A3" s="1" t="n"/>
      <c r="B3" s="16" t="inlineStr">
        <is>
          <t>Sistema de cotización por ingresos reales: tramo según el rendimiento neto previsto</t>
        </is>
      </c>
      <c r="C3" s="1" t="n"/>
      <c r="D3" s="1" t="n"/>
      <c r="E3" s="1" t="n"/>
      <c r="F3" s="1" t="n"/>
      <c r="G3" s="1" t="n"/>
      <c r="H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6">
      <c r="B6" s="30" t="inlineStr">
        <is>
          <t>Amarillo</t>
        </is>
      </c>
      <c r="C6" s="12" t="inlineStr">
        <is>
          <t>Escribe tú en las celdas amarillas. Las demás se calculan solas: no hace falta tocarlas.</t>
        </is>
      </c>
    </row>
    <row r="8" ht="22" customHeight="1">
      <c r="B8" s="17" t="inlineStr">
        <is>
          <t>1. Tu tramo con la previsión de rendimientos</t>
        </is>
      </c>
      <c r="C8" s="18" t="n"/>
      <c r="D8" s="18" t="n"/>
      <c r="E8" s="18" t="n"/>
      <c r="F8" s="18" t="n"/>
      <c r="G8" s="18" t="n"/>
      <c r="H8" s="18" t="n"/>
    </row>
    <row r="9">
      <c r="B9" s="24" t="inlineStr">
        <is>
          <t>Rendimiento neto previsto del año (€)</t>
        </is>
      </c>
      <c r="C9" s="33">
        <f>MAX(0,'Renta 2027'!C8-'Renta 2027'!C9)</f>
        <v/>
      </c>
      <c r="D9" s="12" t="inlineStr">
        <is>
          <t>Ingresos menos gastos, sin la cuota. Por defecto, los de tus libros; cámbialo por tu previsión al principio del año.</t>
        </is>
      </c>
    </row>
    <row r="10">
      <c r="B10" s="9" t="inlineStr">
        <is>
          <t>Rendimiento computable mensual (con la deducción por gastos genéricos)</t>
        </is>
      </c>
      <c r="C10" s="22">
        <f>REND_PREVISTO*(1-GASTOS_GENERICOS/100)/12</f>
        <v/>
      </c>
    </row>
    <row r="11">
      <c r="B11" s="9" t="inlineStr">
        <is>
          <t>Tramo</t>
        </is>
      </c>
      <c r="C11" s="41">
        <f>MIN(COUNT(T_RMIN),COUNTIF(T_RMAX,"&lt;"&amp;COMPUTABLE_MES)+1)</f>
        <v/>
      </c>
    </row>
    <row r="12">
      <c r="B12" s="9" t="inlineStr">
        <is>
          <t>Base mínima de tu tramo (€/mes)</t>
        </is>
      </c>
      <c r="C12" s="22">
        <f>INDEX(T_BMIN,TRAMO)</f>
        <v/>
      </c>
    </row>
    <row r="13">
      <c r="B13" s="9" t="inlineStr">
        <is>
          <t>Base máxima de tu tramo (€/mes)</t>
        </is>
      </c>
      <c r="C13" s="22">
        <f>INDEX(T_BMAX,TRAMO)</f>
        <v/>
      </c>
    </row>
    <row r="14">
      <c r="B14" s="24" t="inlineStr">
        <is>
          <t>Cuota mensual con la base mínima</t>
        </is>
      </c>
      <c r="C14" s="25">
        <f>IF(TARIFA_PLANA="Sí",TARIFA_PLANA_EUR,BASE_MIN*TIPO_RETA/100)</f>
        <v/>
      </c>
      <c r="D14" s="12">
        <f>"Tipo de cotización: "&amp;TIPO_RETA&amp;" %"&amp;IF(TARIFA_PLANA="Sí"," · tarifa plana","")</f>
        <v/>
      </c>
    </row>
    <row r="16" ht="22" customHeight="1">
      <c r="B16" s="17" t="inlineStr">
        <is>
          <t>2. Mes a mes (cambia la base si cotizas por más)</t>
        </is>
      </c>
      <c r="C16" s="18" t="n"/>
      <c r="D16" s="18" t="n"/>
      <c r="E16" s="18" t="n"/>
      <c r="F16" s="18" t="n"/>
      <c r="G16" s="18" t="n"/>
      <c r="H16" s="18" t="n"/>
    </row>
    <row r="17" ht="30" customHeight="1">
      <c r="B17" s="21" t="inlineStr">
        <is>
          <t>Mes</t>
        </is>
      </c>
      <c r="C17" s="21" t="inlineStr">
        <is>
          <t>Tarifa plana</t>
        </is>
      </c>
      <c r="D17" s="21" t="inlineStr">
        <is>
          <t>Base de cotización</t>
        </is>
      </c>
      <c r="E17" s="21" t="inlineStr">
        <is>
          <t>Cuota del mes</t>
        </is>
      </c>
      <c r="F17" s="21" t="inlineStr">
        <is>
          <t>Trimestre</t>
        </is>
      </c>
      <c r="G17" s="21" t="inlineStr">
        <is>
          <t>Rendimiento real del mes</t>
        </is>
      </c>
      <c r="H17" s="21" t="inlineStr">
        <is>
          <t>Cargo previsto</t>
        </is>
      </c>
    </row>
    <row r="18">
      <c r="B18" s="36" t="inlineStr">
        <is>
          <t>Enero</t>
        </is>
      </c>
      <c r="C18" s="30">
        <f>TARIFA_PLANA</f>
        <v/>
      </c>
      <c r="D18" s="33">
        <f>BASE_MIN</f>
        <v/>
      </c>
      <c r="E18" s="23">
        <f>IF(C18="Sí",TARIFA_PLANA_EUR,D18*TIPO_RETA/100)</f>
        <v/>
      </c>
      <c r="F18" s="35" t="n">
        <v>1</v>
      </c>
      <c r="G18" s="22">
        <f>SUMIFS(Ingresos!$G$8:$G$407,Ingresos!$B$8:$B$407,"&gt;="&amp;DATE(2027,1,1),Ingresos!$B$8:$B$407,"&lt;="&amp;DATE(2027,1,31))-SUMIFS(Gastos!$N$8:$N$407,Gastos!$B$8:$B$407,"&gt;="&amp;DATE(2027,1,1),Gastos!$B$8:$B$407,"&lt;="&amp;DATE(2027,1,31))</f>
        <v/>
      </c>
      <c r="H18" s="26" t="n">
        <v>46416</v>
      </c>
    </row>
    <row r="19">
      <c r="B19" s="36" t="inlineStr">
        <is>
          <t>Febrero</t>
        </is>
      </c>
      <c r="C19" s="30">
        <f>TARIFA_PLANA</f>
        <v/>
      </c>
      <c r="D19" s="33">
        <f>BASE_MIN</f>
        <v/>
      </c>
      <c r="E19" s="23">
        <f>IF(C19="Sí",TARIFA_PLANA_EUR,D19*TIPO_RETA/100)</f>
        <v/>
      </c>
      <c r="F19" s="35" t="n">
        <v>1</v>
      </c>
      <c r="G19" s="22">
        <f>SUMIFS(Ingresos!$G$8:$G$407,Ingresos!$B$8:$B$407,"&gt;="&amp;DATE(2027,2,1),Ingresos!$B$8:$B$407,"&lt;="&amp;DATE(2027,2,28))-SUMIFS(Gastos!$N$8:$N$407,Gastos!$B$8:$B$407,"&gt;="&amp;DATE(2027,2,1),Gastos!$B$8:$B$407,"&lt;="&amp;DATE(2027,2,28))</f>
        <v/>
      </c>
      <c r="H19" s="26" t="n">
        <v>46444</v>
      </c>
    </row>
    <row r="20">
      <c r="B20" s="36" t="inlineStr">
        <is>
          <t>Marzo</t>
        </is>
      </c>
      <c r="C20" s="30">
        <f>TARIFA_PLANA</f>
        <v/>
      </c>
      <c r="D20" s="33">
        <f>BASE_MIN</f>
        <v/>
      </c>
      <c r="E20" s="23">
        <f>IF(C20="Sí",TARIFA_PLANA_EUR,D20*TIPO_RETA/100)</f>
        <v/>
      </c>
      <c r="F20" s="35" t="n">
        <v>1</v>
      </c>
      <c r="G20" s="22">
        <f>SUMIFS(Ingresos!$G$8:$G$407,Ingresos!$B$8:$B$407,"&gt;="&amp;DATE(2027,3,1),Ingresos!$B$8:$B$407,"&lt;="&amp;DATE(2027,3,31))-SUMIFS(Gastos!$N$8:$N$407,Gastos!$B$8:$B$407,"&gt;="&amp;DATE(2027,3,1),Gastos!$B$8:$B$407,"&lt;="&amp;DATE(2027,3,31))</f>
        <v/>
      </c>
      <c r="H20" s="26" t="n">
        <v>46477</v>
      </c>
    </row>
    <row r="21">
      <c r="B21" s="36" t="inlineStr">
        <is>
          <t>Abril</t>
        </is>
      </c>
      <c r="C21" s="30">
        <f>TARIFA_PLANA</f>
        <v/>
      </c>
      <c r="D21" s="33">
        <f>BASE_MIN</f>
        <v/>
      </c>
      <c r="E21" s="23">
        <f>IF(C21="Sí",TARIFA_PLANA_EUR,D21*TIPO_RETA/100)</f>
        <v/>
      </c>
      <c r="F21" s="35" t="n">
        <v>2</v>
      </c>
      <c r="G21" s="22">
        <f>SUMIFS(Ingresos!$G$8:$G$407,Ingresos!$B$8:$B$407,"&gt;="&amp;DATE(2027,4,1),Ingresos!$B$8:$B$407,"&lt;="&amp;DATE(2027,4,30))-SUMIFS(Gastos!$N$8:$N$407,Gastos!$B$8:$B$407,"&gt;="&amp;DATE(2027,4,1),Gastos!$B$8:$B$407,"&lt;="&amp;DATE(2027,4,30))</f>
        <v/>
      </c>
      <c r="H21" s="26" t="n">
        <v>46507</v>
      </c>
    </row>
    <row r="22">
      <c r="B22" s="36" t="inlineStr">
        <is>
          <t>Mayo</t>
        </is>
      </c>
      <c r="C22" s="30">
        <f>TARIFA_PLANA</f>
        <v/>
      </c>
      <c r="D22" s="33">
        <f>BASE_MIN</f>
        <v/>
      </c>
      <c r="E22" s="23">
        <f>IF(C22="Sí",TARIFA_PLANA_EUR,D22*TIPO_RETA/100)</f>
        <v/>
      </c>
      <c r="F22" s="35" t="n">
        <v>2</v>
      </c>
      <c r="G22" s="22">
        <f>SUMIFS(Ingresos!$G$8:$G$407,Ingresos!$B$8:$B$407,"&gt;="&amp;DATE(2027,5,1),Ingresos!$B$8:$B$407,"&lt;="&amp;DATE(2027,5,31))-SUMIFS(Gastos!$N$8:$N$407,Gastos!$B$8:$B$407,"&gt;="&amp;DATE(2027,5,1),Gastos!$B$8:$B$407,"&lt;="&amp;DATE(2027,5,31))</f>
        <v/>
      </c>
      <c r="H22" s="26" t="n">
        <v>46538</v>
      </c>
    </row>
    <row r="23">
      <c r="B23" s="36" t="inlineStr">
        <is>
          <t>Junio</t>
        </is>
      </c>
      <c r="C23" s="30">
        <f>TARIFA_PLANA</f>
        <v/>
      </c>
      <c r="D23" s="33">
        <f>BASE_MIN</f>
        <v/>
      </c>
      <c r="E23" s="23">
        <f>IF(C23="Sí",TARIFA_PLANA_EUR,D23*TIPO_RETA/100)</f>
        <v/>
      </c>
      <c r="F23" s="35" t="n">
        <v>2</v>
      </c>
      <c r="G23" s="22">
        <f>SUMIFS(Ingresos!$G$8:$G$407,Ingresos!$B$8:$B$407,"&gt;="&amp;DATE(2027,6,1),Ingresos!$B$8:$B$407,"&lt;="&amp;DATE(2027,6,30))-SUMIFS(Gastos!$N$8:$N$407,Gastos!$B$8:$B$407,"&gt;="&amp;DATE(2027,6,1),Gastos!$B$8:$B$407,"&lt;="&amp;DATE(2027,6,30))</f>
        <v/>
      </c>
      <c r="H23" s="26" t="n">
        <v>46568</v>
      </c>
    </row>
    <row r="24">
      <c r="B24" s="36" t="inlineStr">
        <is>
          <t>Julio</t>
        </is>
      </c>
      <c r="C24" s="30">
        <f>TARIFA_PLANA</f>
        <v/>
      </c>
      <c r="D24" s="33">
        <f>BASE_MIN</f>
        <v/>
      </c>
      <c r="E24" s="23">
        <f>IF(C24="Sí",TARIFA_PLANA_EUR,D24*TIPO_RETA/100)</f>
        <v/>
      </c>
      <c r="F24" s="35" t="n">
        <v>3</v>
      </c>
      <c r="G24" s="22">
        <f>SUMIFS(Ingresos!$G$8:$G$407,Ingresos!$B$8:$B$407,"&gt;="&amp;DATE(2027,7,1),Ingresos!$B$8:$B$407,"&lt;="&amp;DATE(2027,7,31))-SUMIFS(Gastos!$N$8:$N$407,Gastos!$B$8:$B$407,"&gt;="&amp;DATE(2027,7,1),Gastos!$B$8:$B$407,"&lt;="&amp;DATE(2027,7,31))</f>
        <v/>
      </c>
      <c r="H24" s="26" t="n">
        <v>46598</v>
      </c>
    </row>
    <row r="25">
      <c r="B25" s="36" t="inlineStr">
        <is>
          <t>Agosto</t>
        </is>
      </c>
      <c r="C25" s="30">
        <f>TARIFA_PLANA</f>
        <v/>
      </c>
      <c r="D25" s="33">
        <f>BASE_MIN</f>
        <v/>
      </c>
      <c r="E25" s="23">
        <f>IF(C25="Sí",TARIFA_PLANA_EUR,D25*TIPO_RETA/100)</f>
        <v/>
      </c>
      <c r="F25" s="35" t="n">
        <v>3</v>
      </c>
      <c r="G25" s="22">
        <f>SUMIFS(Ingresos!$G$8:$G$407,Ingresos!$B$8:$B$407,"&gt;="&amp;DATE(2027,8,1),Ingresos!$B$8:$B$407,"&lt;="&amp;DATE(2027,8,31))-SUMIFS(Gastos!$N$8:$N$407,Gastos!$B$8:$B$407,"&gt;="&amp;DATE(2027,8,1),Gastos!$B$8:$B$407,"&lt;="&amp;DATE(2027,8,31))</f>
        <v/>
      </c>
      <c r="H25" s="26" t="n">
        <v>46630</v>
      </c>
    </row>
    <row r="26">
      <c r="B26" s="36" t="inlineStr">
        <is>
          <t>Septiembre</t>
        </is>
      </c>
      <c r="C26" s="30">
        <f>TARIFA_PLANA</f>
        <v/>
      </c>
      <c r="D26" s="33">
        <f>BASE_MIN</f>
        <v/>
      </c>
      <c r="E26" s="23">
        <f>IF(C26="Sí",TARIFA_PLANA_EUR,D26*TIPO_RETA/100)</f>
        <v/>
      </c>
      <c r="F26" s="35" t="n">
        <v>3</v>
      </c>
      <c r="G26" s="22">
        <f>SUMIFS(Ingresos!$G$8:$G$407,Ingresos!$B$8:$B$407,"&gt;="&amp;DATE(2027,9,1),Ingresos!$B$8:$B$407,"&lt;="&amp;DATE(2027,9,30))-SUMIFS(Gastos!$N$8:$N$407,Gastos!$B$8:$B$407,"&gt;="&amp;DATE(2027,9,1),Gastos!$B$8:$B$407,"&lt;="&amp;DATE(2027,9,30))</f>
        <v/>
      </c>
      <c r="H26" s="26" t="n">
        <v>46660</v>
      </c>
    </row>
    <row r="27">
      <c r="B27" s="36" t="inlineStr">
        <is>
          <t>Octubre</t>
        </is>
      </c>
      <c r="C27" s="30">
        <f>TARIFA_PLANA</f>
        <v/>
      </c>
      <c r="D27" s="33">
        <f>BASE_MIN</f>
        <v/>
      </c>
      <c r="E27" s="23">
        <f>IF(C27="Sí",TARIFA_PLANA_EUR,D27*TIPO_RETA/100)</f>
        <v/>
      </c>
      <c r="F27" s="35" t="n">
        <v>4</v>
      </c>
      <c r="G27" s="22">
        <f>SUMIFS(Ingresos!$G$8:$G$407,Ingresos!$B$8:$B$407,"&gt;="&amp;DATE(2027,10,1),Ingresos!$B$8:$B$407,"&lt;="&amp;DATE(2027,10,31))-SUMIFS(Gastos!$N$8:$N$407,Gastos!$B$8:$B$407,"&gt;="&amp;DATE(2027,10,1),Gastos!$B$8:$B$407,"&lt;="&amp;DATE(2027,10,31))</f>
        <v/>
      </c>
      <c r="H27" s="26" t="n">
        <v>46689</v>
      </c>
    </row>
    <row r="28">
      <c r="B28" s="36" t="inlineStr">
        <is>
          <t>Noviembre</t>
        </is>
      </c>
      <c r="C28" s="30">
        <f>TARIFA_PLANA</f>
        <v/>
      </c>
      <c r="D28" s="33">
        <f>BASE_MIN</f>
        <v/>
      </c>
      <c r="E28" s="23">
        <f>IF(C28="Sí",TARIFA_PLANA_EUR,D28*TIPO_RETA/100)</f>
        <v/>
      </c>
      <c r="F28" s="35" t="n">
        <v>4</v>
      </c>
      <c r="G28" s="22">
        <f>SUMIFS(Ingresos!$G$8:$G$407,Ingresos!$B$8:$B$407,"&gt;="&amp;DATE(2027,11,1),Ingresos!$B$8:$B$407,"&lt;="&amp;DATE(2027,11,30))-SUMIFS(Gastos!$N$8:$N$407,Gastos!$B$8:$B$407,"&gt;="&amp;DATE(2027,11,1),Gastos!$B$8:$B$407,"&lt;="&amp;DATE(2027,11,30))</f>
        <v/>
      </c>
      <c r="H28" s="26" t="n">
        <v>46721</v>
      </c>
    </row>
    <row r="29">
      <c r="B29" s="36" t="inlineStr">
        <is>
          <t>Diciembre</t>
        </is>
      </c>
      <c r="C29" s="30">
        <f>TARIFA_PLANA</f>
        <v/>
      </c>
      <c r="D29" s="33">
        <f>BASE_MIN</f>
        <v/>
      </c>
      <c r="E29" s="23">
        <f>IF(C29="Sí",TARIFA_PLANA_EUR,D29*TIPO_RETA/100)</f>
        <v/>
      </c>
      <c r="F29" s="35" t="n">
        <v>4</v>
      </c>
      <c r="G29" s="22">
        <f>SUMIFS(Ingresos!$G$8:$G$407,Ingresos!$B$8:$B$407,"&gt;="&amp;DATE(2027,12,1),Ingresos!$B$8:$B$407,"&lt;="&amp;DATE(2027,12,31))-SUMIFS(Gastos!$N$8:$N$407,Gastos!$B$8:$B$407,"&gt;="&amp;DATE(2027,12,1),Gastos!$B$8:$B$407,"&lt;="&amp;DATE(2027,12,31))</f>
        <v/>
      </c>
      <c r="H29" s="26" t="n">
        <v>46752</v>
      </c>
    </row>
    <row r="30">
      <c r="B30" s="42" t="inlineStr">
        <is>
          <t>Total del año</t>
        </is>
      </c>
      <c r="E30" s="25">
        <f>SUM(CUOTA_MES)</f>
        <v/>
      </c>
      <c r="G30" s="23">
        <f>SUM(G18:G29)</f>
        <v/>
      </c>
    </row>
    <row r="31">
      <c r="B31" s="12" t="inlineStr">
        <is>
          <t>El cargo se hace el último día hábil de cada mes (aquí, sin contar festivos). Puedes cambiar de base hasta seis veces al año.</t>
        </is>
      </c>
    </row>
    <row r="33" ht="22" customHeight="1">
      <c r="B33" s="17" t="inlineStr">
        <is>
          <t>3. Regularización estimada con tus rendimientos reales</t>
        </is>
      </c>
      <c r="C33" s="18" t="n"/>
      <c r="D33" s="18" t="n"/>
      <c r="E33" s="18" t="n"/>
      <c r="F33" s="18" t="n"/>
      <c r="G33" s="18" t="n"/>
      <c r="H33" s="18" t="n"/>
    </row>
    <row r="34">
      <c r="B34" s="9" t="inlineStr">
        <is>
          <t>Rendimiento neto real del año, según tus libros (€)</t>
        </is>
      </c>
      <c r="C34" s="22">
        <f>MAX(0,'Renta 2027'!C8-'Renta 2027'!C9)</f>
        <v/>
      </c>
    </row>
    <row r="35">
      <c r="B35" s="9" t="inlineStr">
        <is>
          <t>Tramo que te corresponde de verdad</t>
        </is>
      </c>
      <c r="C35" s="35">
        <f>MIN(COUNT(T_RMIN),COUNTIF(T_RMAX,"&lt;"&amp;(C34*(1-GASTOS_GENERICOS/100)/12))+1)</f>
        <v/>
      </c>
    </row>
    <row r="36">
      <c r="B36" s="9" t="inlineStr">
        <is>
          <t>Cuota mínima de ese tramo × 12 (€)</t>
        </is>
      </c>
      <c r="C36" s="22">
        <f>INDEX(T_BMIN,C35)*TIPO_RETA/100*12</f>
        <v/>
      </c>
    </row>
    <row r="37">
      <c r="B37" s="9" t="inlineStr">
        <is>
          <t>Lo que has pagado (sin los meses de tarifa plana) (€)</t>
        </is>
      </c>
      <c r="C37" s="22">
        <f>SUMIFS(E18:E29,C18:C29,"&lt;&gt;Sí")</f>
        <v/>
      </c>
    </row>
    <row r="38">
      <c r="B38" s="9" t="inlineStr">
        <is>
          <t>Meses sin tarifa plana</t>
        </is>
      </c>
      <c r="C38" s="35">
        <f>COUNTIF(C18:C29,"&lt;&gt;Sí")</f>
        <v/>
      </c>
    </row>
    <row r="39" ht="30" customHeight="1">
      <c r="B39" s="24" t="inlineStr">
        <is>
          <t>Diferencia estimada: + te reclamarán / − te devolverán</t>
        </is>
      </c>
      <c r="C39" s="25">
        <f>C36/12*C38-C37</f>
        <v/>
      </c>
      <c r="D39" s="12" t="inlineStr">
        <is>
          <t>Orientativo. La Seguridad Social regulariza al año siguiente con los datos de Hacienda: solo devuelve si cotizaste por encima de la base máxima de tu tramo real; si cotizaste por una base mayor por elección, la diferencia no se devuelve.</t>
        </is>
      </c>
    </row>
    <row r="40"/>
    <row r="42" ht="22" customHeight="1">
      <c r="B42" s="17" t="inlineStr">
        <is>
          <t>4. Tabla de tramos 2027 (provisional: tabla de 2026)</t>
        </is>
      </c>
      <c r="C42" s="18" t="n"/>
      <c r="D42" s="18" t="n"/>
      <c r="E42" s="18" t="n"/>
      <c r="F42" s="18" t="n"/>
      <c r="G42" s="18" t="n"/>
      <c r="H42" s="18" t="n"/>
    </row>
    <row r="43" ht="30" customHeight="1">
      <c r="B43" s="21" t="inlineStr">
        <is>
          <t>Tramo</t>
        </is>
      </c>
      <c r="C43" s="21" t="inlineStr">
        <is>
          <t>Rendimiento mensual desde</t>
        </is>
      </c>
      <c r="D43" s="21" t="inlineStr">
        <is>
          <t>Rendimiento mensual hasta</t>
        </is>
      </c>
      <c r="E43" s="21" t="inlineStr">
        <is>
          <t>Base mínima</t>
        </is>
      </c>
      <c r="F43" s="21" t="inlineStr">
        <is>
          <t>Base máxima</t>
        </is>
      </c>
      <c r="G43" s="21" t="inlineStr">
        <is>
          <t>Cuota mínima</t>
        </is>
      </c>
      <c r="H43" s="21" t="inlineStr">
        <is>
          <t>Cuota máxima</t>
        </is>
      </c>
    </row>
    <row r="44">
      <c r="B44" s="36" t="inlineStr">
        <is>
          <t>Tramo 1 · reducida</t>
        </is>
      </c>
      <c r="C44" s="22" t="n">
        <v>0</v>
      </c>
      <c r="D44" s="22" t="n">
        <v>670</v>
      </c>
      <c r="E44" s="22" t="n">
        <v>653.59</v>
      </c>
      <c r="F44" s="22" t="n">
        <v>718.9400000000001</v>
      </c>
      <c r="G44" s="22">
        <f>E44*TIPO_RETA/100</f>
        <v/>
      </c>
      <c r="H44" s="22">
        <f>F44*TIPO_RETA/100</f>
        <v/>
      </c>
    </row>
    <row r="45">
      <c r="B45" s="36" t="inlineStr">
        <is>
          <t>Tramo 2 · reducida</t>
        </is>
      </c>
      <c r="C45" s="22" t="n">
        <v>670.01</v>
      </c>
      <c r="D45" s="22" t="n">
        <v>900</v>
      </c>
      <c r="E45" s="22" t="n">
        <v>718.95</v>
      </c>
      <c r="F45" s="22" t="n">
        <v>900</v>
      </c>
      <c r="G45" s="22">
        <f>E45*TIPO_RETA/100</f>
        <v/>
      </c>
      <c r="H45" s="22">
        <f>F45*TIPO_RETA/100</f>
        <v/>
      </c>
    </row>
    <row r="46">
      <c r="B46" s="36" t="inlineStr">
        <is>
          <t>Tramo 3 · reducida</t>
        </is>
      </c>
      <c r="C46" s="22" t="n">
        <v>900.01</v>
      </c>
      <c r="D46" s="22" t="n">
        <v>1166.7</v>
      </c>
      <c r="E46" s="22" t="n">
        <v>849.67</v>
      </c>
      <c r="F46" s="22" t="n">
        <v>1166.7</v>
      </c>
      <c r="G46" s="22">
        <f>E46*TIPO_RETA/100</f>
        <v/>
      </c>
      <c r="H46" s="22">
        <f>F46*TIPO_RETA/100</f>
        <v/>
      </c>
    </row>
    <row r="47">
      <c r="B47" s="36" t="inlineStr">
        <is>
          <t>Tramo 4 · general</t>
        </is>
      </c>
      <c r="C47" s="22" t="n">
        <v>1166.71</v>
      </c>
      <c r="D47" s="22" t="n">
        <v>1300</v>
      </c>
      <c r="E47" s="22" t="n">
        <v>950.98</v>
      </c>
      <c r="F47" s="22" t="n">
        <v>1300</v>
      </c>
      <c r="G47" s="22">
        <f>E47*TIPO_RETA/100</f>
        <v/>
      </c>
      <c r="H47" s="22">
        <f>F47*TIPO_RETA/100</f>
        <v/>
      </c>
    </row>
    <row r="48">
      <c r="B48" s="36" t="inlineStr">
        <is>
          <t>Tramo 5 · general</t>
        </is>
      </c>
      <c r="C48" s="22" t="n">
        <v>1300.01</v>
      </c>
      <c r="D48" s="22" t="n">
        <v>1500</v>
      </c>
      <c r="E48" s="22" t="n">
        <v>960.78</v>
      </c>
      <c r="F48" s="22" t="n">
        <v>1500</v>
      </c>
      <c r="G48" s="22">
        <f>E48*TIPO_RETA/100</f>
        <v/>
      </c>
      <c r="H48" s="22">
        <f>F48*TIPO_RETA/100</f>
        <v/>
      </c>
    </row>
    <row r="49">
      <c r="B49" s="36" t="inlineStr">
        <is>
          <t>Tramo 6 · general</t>
        </is>
      </c>
      <c r="C49" s="22" t="n">
        <v>1500.01</v>
      </c>
      <c r="D49" s="22" t="n">
        <v>1700</v>
      </c>
      <c r="E49" s="22" t="n">
        <v>960.78</v>
      </c>
      <c r="F49" s="22" t="n">
        <v>1700</v>
      </c>
      <c r="G49" s="22">
        <f>E49*TIPO_RETA/100</f>
        <v/>
      </c>
      <c r="H49" s="22">
        <f>F49*TIPO_RETA/100</f>
        <v/>
      </c>
    </row>
    <row r="50">
      <c r="B50" s="36" t="inlineStr">
        <is>
          <t>Tramo 7 · general</t>
        </is>
      </c>
      <c r="C50" s="22" t="n">
        <v>1700.01</v>
      </c>
      <c r="D50" s="22" t="n">
        <v>1850</v>
      </c>
      <c r="E50" s="22" t="n">
        <v>1143.79</v>
      </c>
      <c r="F50" s="22" t="n">
        <v>1900</v>
      </c>
      <c r="G50" s="22">
        <f>E50*TIPO_RETA/100</f>
        <v/>
      </c>
      <c r="H50" s="22">
        <f>F50*TIPO_RETA/100</f>
        <v/>
      </c>
    </row>
    <row r="51">
      <c r="B51" s="36" t="inlineStr">
        <is>
          <t>Tramo 8 · general</t>
        </is>
      </c>
      <c r="C51" s="22" t="n">
        <v>1850.01</v>
      </c>
      <c r="D51" s="22" t="n">
        <v>2030</v>
      </c>
      <c r="E51" s="22" t="n">
        <v>1209.15</v>
      </c>
      <c r="F51" s="22" t="n">
        <v>2030</v>
      </c>
      <c r="G51" s="22">
        <f>E51*TIPO_RETA/100</f>
        <v/>
      </c>
      <c r="H51" s="22">
        <f>F51*TIPO_RETA/100</f>
        <v/>
      </c>
    </row>
    <row r="52">
      <c r="B52" s="36" t="inlineStr">
        <is>
          <t>Tramo 9 · general</t>
        </is>
      </c>
      <c r="C52" s="22" t="n">
        <v>2030.01</v>
      </c>
      <c r="D52" s="22" t="n">
        <v>2330</v>
      </c>
      <c r="E52" s="22" t="n">
        <v>1274.51</v>
      </c>
      <c r="F52" s="22" t="n">
        <v>2330</v>
      </c>
      <c r="G52" s="22">
        <f>E52*TIPO_RETA/100</f>
        <v/>
      </c>
      <c r="H52" s="22">
        <f>F52*TIPO_RETA/100</f>
        <v/>
      </c>
    </row>
    <row r="53">
      <c r="B53" s="36" t="inlineStr">
        <is>
          <t>Tramo 10 · general</t>
        </is>
      </c>
      <c r="C53" s="22" t="n">
        <v>2330.01</v>
      </c>
      <c r="D53" s="22" t="n">
        <v>2760</v>
      </c>
      <c r="E53" s="22" t="n">
        <v>1356.21</v>
      </c>
      <c r="F53" s="22" t="n">
        <v>2760</v>
      </c>
      <c r="G53" s="22">
        <f>E53*TIPO_RETA/100</f>
        <v/>
      </c>
      <c r="H53" s="22">
        <f>F53*TIPO_RETA/100</f>
        <v/>
      </c>
    </row>
    <row r="54">
      <c r="B54" s="36" t="inlineStr">
        <is>
          <t>Tramo 11 · general</t>
        </is>
      </c>
      <c r="C54" s="22" t="n">
        <v>2760.01</v>
      </c>
      <c r="D54" s="22" t="n">
        <v>3190</v>
      </c>
      <c r="E54" s="22" t="n">
        <v>1437.91</v>
      </c>
      <c r="F54" s="22" t="n">
        <v>3190</v>
      </c>
      <c r="G54" s="22">
        <f>E54*TIPO_RETA/100</f>
        <v/>
      </c>
      <c r="H54" s="22">
        <f>F54*TIPO_RETA/100</f>
        <v/>
      </c>
    </row>
    <row r="55">
      <c r="B55" s="36" t="inlineStr">
        <is>
          <t>Tramo 12 · general</t>
        </is>
      </c>
      <c r="C55" s="22" t="n">
        <v>3190.01</v>
      </c>
      <c r="D55" s="22" t="n">
        <v>3620</v>
      </c>
      <c r="E55" s="22" t="n">
        <v>1519.61</v>
      </c>
      <c r="F55" s="22" t="n">
        <v>3620</v>
      </c>
      <c r="G55" s="22">
        <f>E55*TIPO_RETA/100</f>
        <v/>
      </c>
      <c r="H55" s="22">
        <f>F55*TIPO_RETA/100</f>
        <v/>
      </c>
    </row>
    <row r="56">
      <c r="B56" s="36" t="inlineStr">
        <is>
          <t>Tramo 13 · general</t>
        </is>
      </c>
      <c r="C56" s="22" t="n">
        <v>3620.01</v>
      </c>
      <c r="D56" s="22" t="n">
        <v>4050</v>
      </c>
      <c r="E56" s="22" t="n">
        <v>1601.31</v>
      </c>
      <c r="F56" s="22" t="n">
        <v>4050</v>
      </c>
      <c r="G56" s="22">
        <f>E56*TIPO_RETA/100</f>
        <v/>
      </c>
      <c r="H56" s="22">
        <f>F56*TIPO_RETA/100</f>
        <v/>
      </c>
    </row>
    <row r="57">
      <c r="B57" s="36" t="inlineStr">
        <is>
          <t>Tramo 14 · general</t>
        </is>
      </c>
      <c r="C57" s="22" t="n">
        <v>4050.01</v>
      </c>
      <c r="D57" s="22" t="n">
        <v>6000</v>
      </c>
      <c r="E57" s="22" t="n">
        <v>1732.03</v>
      </c>
      <c r="F57" s="22" t="n">
        <v>5101.2</v>
      </c>
      <c r="G57" s="22">
        <f>E57*TIPO_RETA/100</f>
        <v/>
      </c>
      <c r="H57" s="22">
        <f>F57*TIPO_RETA/100</f>
        <v/>
      </c>
    </row>
    <row r="58">
      <c r="B58" s="36" t="inlineStr">
        <is>
          <t>Tramo 15 · general</t>
        </is>
      </c>
      <c r="C58" s="22" t="n">
        <v>6000.01</v>
      </c>
      <c r="D58" s="22" t="inlineStr">
        <is>
          <t>en adelante</t>
        </is>
      </c>
      <c r="E58" s="22" t="n">
        <v>1928.1</v>
      </c>
      <c r="F58" s="22" t="n">
        <v>5101.2</v>
      </c>
      <c r="G58" s="22">
        <f>E58*TIPO_RETA/100</f>
        <v/>
      </c>
      <c r="H58" s="22">
        <f>F58*TIPO_RETA/100</f>
        <v/>
      </c>
    </row>
    <row r="59">
      <c r="B59" s="12" t="inlineStr">
        <is>
          <t>Fuente: Orden PJC/297/2026, de 30 de marzo, normas de cotización 2026 (BOE 31/03/2026, BOE-A-2026-7296); RDL 3/2026 art. 3. Tipo total 31.6 %: contingencias comunes, profesionales, cese de actividad, formación y MEI.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B31:H31"/>
    <mergeCell ref="B59:H59"/>
    <mergeCell ref="D9:H9"/>
    <mergeCell ref="D39:H40"/>
  </mergeCells>
  <conditionalFormatting sqref="B44:H58">
    <cfRule type="expression" priority="1" dxfId="3">
      <formula>ROW()-43=TRAMO</formula>
    </cfRule>
  </conditionalFormatting>
  <dataValidations count="1">
    <dataValidation sqref="C18:C29" showDropDown="0" showInputMessage="0" showErrorMessage="1" allowBlank="1" errorTitle="Valor no válido" error="Elige una opción de la lista.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C6E60"/>
    <outlinePr summaryBelow="1" summaryRight="1"/>
    <pageSetUpPr fitToPage="1"/>
  </sheetPr>
  <dimension ref="A1:D36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  <col width="62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Estimación de la renta 2027</t>
        </is>
      </c>
      <c r="C2" s="1" t="n"/>
      <c r="D2" s="15" t="inlineStr">
        <is>
          <t>ImpuestoClaro</t>
        </is>
      </c>
    </row>
    <row r="3" ht="20" customHeight="1">
      <c r="A3" s="1" t="n"/>
      <c r="B3" s="16" t="inlineStr">
        <is>
          <t>Se declara entre abril y junio de 2028. Estimación directa simplificada, sin deducciones.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7" ht="22" customHeight="1">
      <c r="B7" s="17" t="inlineStr">
        <is>
          <t>Rendimiento de la actividad</t>
        </is>
      </c>
      <c r="C7" s="18" t="n"/>
      <c r="D7" s="18" t="n"/>
    </row>
    <row r="8">
      <c r="B8" s="9" t="inlineStr">
        <is>
          <t>Ingresos del año</t>
        </is>
      </c>
      <c r="C8" s="22">
        <f>SUMIFS(Ingresos!$G$8:$G$407,Ingresos!$N$8:$N$407,ANIO)</f>
        <v/>
      </c>
    </row>
    <row r="9">
      <c r="B9" s="9" t="inlineStr">
        <is>
          <t>Gastos deducibles del libro</t>
        </is>
      </c>
      <c r="C9" s="22">
        <f>SUMIFS(Gastos!$N$8:$N$407,Gastos!$P$8:$P$407,ANIO)</f>
        <v/>
      </c>
    </row>
    <row r="10">
      <c r="B10" s="9" t="inlineStr">
        <is>
          <t>Rendimiento antes de la cuota</t>
        </is>
      </c>
      <c r="C10" s="22">
        <f>MAX(0,C8-C9)</f>
        <v/>
      </c>
    </row>
    <row r="11">
      <c r="B11" s="9" t="inlineStr">
        <is>
          <t>Cuota de autónomos del año</t>
        </is>
      </c>
      <c r="C11" s="22">
        <f>ROUND(CUOTA_ANUAL,2)</f>
        <v/>
      </c>
      <c r="D11" s="12" t="inlineStr">
        <is>
          <t>Desde «Cuota autónomos»</t>
        </is>
      </c>
    </row>
    <row r="12">
      <c r="B12" s="24" t="inlineStr">
        <is>
          <t>Rendimiento neto</t>
        </is>
      </c>
      <c r="C12" s="23">
        <f>MAX(0,C10-C11)</f>
        <v/>
      </c>
    </row>
    <row r="13">
      <c r="B13" s="9" t="inlineStr">
        <is>
          <t>Gastos de difícil justificación</t>
        </is>
      </c>
      <c r="C13" s="22">
        <f>MIN(C12*DJ_PCT/100,DJ_MAX)</f>
        <v/>
      </c>
      <c r="D13" s="12" t="inlineStr">
        <is>
          <t>5 % del rendimiento neto, máximo 2.000 € (art. 30 RIRPF)</t>
        </is>
      </c>
    </row>
    <row r="14">
      <c r="B14" s="24" t="inlineStr">
        <is>
          <t>Base liquidable general</t>
        </is>
      </c>
      <c r="C14" s="23">
        <f>MAX(0,C12-C13)</f>
        <v/>
      </c>
    </row>
    <row r="16" ht="22" customHeight="1">
      <c r="B16" s="17" t="inlineStr">
        <is>
          <t>Mínimo personal y familiar</t>
        </is>
      </c>
      <c r="C16" s="18" t="n"/>
      <c r="D16" s="18" t="n"/>
    </row>
    <row r="17">
      <c r="B17" s="9" t="inlineStr">
        <is>
          <t>Mínimo por descendientes</t>
        </is>
      </c>
      <c r="C17" s="22">
        <f>(IF(HIJOS&gt;=1,MIN_DESC1,0)+IF(HIJOS&gt;=2,MIN_DESC2,0)+IF(HIJOS&gt;=3,MIN_DESC3,0)+IF(HIJOS&gt;=4,MIN_DESC4,0)+MAX(0,HIJOS-4)*MIN_DESC4+MIN(HIJOS,HIJOS3)*MIN_MENOR3)*IF(HIJOS100="Sí",1,0.5)</f>
        <v/>
      </c>
    </row>
    <row r="18">
      <c r="B18" s="9" t="inlineStr">
        <is>
          <t>Mínimo personal y familiar estatal</t>
        </is>
      </c>
      <c r="C18" s="22">
        <f>MIN_PERSONAL+IF(EDAD&gt;=65,MIN_65,0)+IF(EDAD&gt;=75,MIN_75,0)+C17</f>
        <v/>
      </c>
    </row>
    <row r="19">
      <c r="B19" s="9" t="inlineStr">
        <is>
          <t>Mínimo personal y familiar autonómico</t>
        </is>
      </c>
      <c r="C19" s="22">
        <f>INDEX(CCAA_MINP,MATCH(CCAA,CCAA_COD,0))+IF(EDAD&gt;=65,MIN_65,0)+IF(EDAD&gt;=75,MIN_75,0)+C17</f>
        <v/>
      </c>
      <c r="D19" s="12" t="inlineStr">
        <is>
          <t>Algunas comunidades tienen un mínimo personal propio</t>
        </is>
      </c>
    </row>
    <row r="21" ht="22" customHeight="1">
      <c r="B21" s="17" t="inlineStr">
        <is>
          <t>Cuota</t>
        </is>
      </c>
      <c r="C21" s="18" t="n"/>
      <c r="D21" s="18" t="n"/>
    </row>
    <row r="22">
      <c r="B22" s="9" t="inlineStr">
        <is>
          <t>Cuota estatal</t>
        </is>
      </c>
      <c r="C22" s="22">
        <f>MAX(0,SUMPRODUCT((ESC_COD="ESTATAL")*(C14&gt;ESC_DESDE)*(C14-ESC_DESDE)*ESC_DELTA)/100-SUMPRODUCT((ESC_COD="ESTATAL")*(MIN(C18,C14)&gt;ESC_DESDE)*(MIN(C18,C14)-ESC_DESDE)*ESC_DELTA)/100)</f>
        <v/>
      </c>
    </row>
    <row r="23">
      <c r="B23" s="9" t="inlineStr">
        <is>
          <t>Cuota autonómica</t>
        </is>
      </c>
      <c r="C23" s="22">
        <f>MAX(0,SUMPRODUCT((ESC_COD=CCAA)*(C14&gt;ESC_DESDE)*(C14-ESC_DESDE)*ESC_DELTA)/100-SUMPRODUCT((ESC_COD=CCAA)*(MIN(C19,C14)&gt;ESC_DESDE)*(MIN(C19,C14)-ESC_DESDE)*ESC_DELTA)/100)</f>
        <v/>
      </c>
      <c r="D23" s="12">
        <f>"Escala de "&amp;CCAA_NOMBRE</f>
        <v/>
      </c>
    </row>
    <row r="24">
      <c r="B24" s="9" t="inlineStr">
        <is>
          <t>Bonificación (Ceuta y Melilla)</t>
        </is>
      </c>
      <c r="C24" s="43">
        <f>INDEX(CCAA_BONIF,MATCH(CCAA,CCAA_COD,0))</f>
        <v/>
      </c>
    </row>
    <row r="25">
      <c r="B25" s="9" t="inlineStr">
        <is>
          <t>Cuota íntegra total</t>
        </is>
      </c>
      <c r="C25" s="25">
        <f>(C22+C23)*(1-C24/100)</f>
        <v/>
      </c>
    </row>
    <row r="26">
      <c r="B26" s="9" t="inlineStr">
        <is>
          <t>Tipo medio sobre la base</t>
        </is>
      </c>
      <c r="C26" s="44">
        <f>IF(C14&gt;0,C25/C14*100,0)</f>
        <v/>
      </c>
    </row>
    <row r="28" ht="22" customHeight="1">
      <c r="B28" s="17" t="inlineStr">
        <is>
          <t>Resultado de la declaración</t>
        </is>
      </c>
      <c r="C28" s="18" t="n"/>
      <c r="D28" s="18" t="n"/>
    </row>
    <row r="29">
      <c r="B29" s="9" t="inlineStr">
        <is>
          <t>Retenciones de tus facturas</t>
        </is>
      </c>
      <c r="C29" s="22">
        <f>SUMIFS(Ingresos!$K$8:$K$407,Ingresos!$N$8:$N$407,ANIO)</f>
        <v/>
      </c>
    </row>
    <row r="30">
      <c r="B30" s="9" t="inlineStr">
        <is>
          <t>Pagos fraccionados (modelo 130)</t>
        </is>
      </c>
      <c r="C30" s="22">
        <f>PAGO130_1+PAGO130_2+PAGO130_3+PAGO130_4</f>
        <v/>
      </c>
    </row>
    <row r="31">
      <c r="B31" s="9" t="inlineStr">
        <is>
          <t>A PAGAR (+) o A DEVOLVER (−)</t>
        </is>
      </c>
      <c r="C31" s="25">
        <f>C25-C29-C30</f>
        <v/>
      </c>
    </row>
    <row r="32">
      <c r="B32" s="24" t="inlineStr">
        <is>
          <t>Lo que te queda en el año (tras cuota e IRPF)</t>
        </is>
      </c>
      <c r="C32" s="23">
        <f>C10-C11-C25</f>
        <v/>
      </c>
    </row>
    <row r="33">
      <c r="B33" s="9" t="inlineStr">
        <is>
          <t>Al mes</t>
        </is>
      </c>
      <c r="C33" s="22">
        <f>C32/12</f>
        <v/>
      </c>
    </row>
    <row r="35" ht="30" customHeight="1">
      <c r="B35" s="12" t="inlineStr">
        <is>
          <t>Estimación para un contribuyente que declara solo. No incluye otras rentas (nómina, alquileres, ahorro), deducciones estatales o autonómicas, planes de pensiones ni la tributación conjunta. Compárala siempre con el borrador de Renta WEB.</t>
        </is>
      </c>
    </row>
    <row r="36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5:D36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F31"/>
  <sheetViews>
    <sheetView showGridLines="0" tabSelected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22" customWidth="1" min="4" max="4"/>
    <col width="64" customWidth="1" min="5" max="5"/>
    <col width="10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</row>
    <row r="2" ht="34" customHeight="1">
      <c r="A2" s="1" t="n"/>
      <c r="B2" s="14" t="inlineStr">
        <is>
          <t>Calendario fiscal 2027</t>
        </is>
      </c>
      <c r="C2" s="1" t="n"/>
      <c r="D2" s="1" t="n"/>
      <c r="E2" s="1" t="n"/>
      <c r="F2" s="15" t="inlineStr">
        <is>
          <t>ImpuestoClaro</t>
        </is>
      </c>
    </row>
    <row r="3" ht="20" customHeight="1">
      <c r="A3" s="1" t="n"/>
      <c r="B3" s="16" t="inlineStr">
        <is>
          <t>Fechas límite de presentación (con domiciliación, unos días antes). Marca «Sí» cuando lo hayas hecho.</t>
        </is>
      </c>
      <c r="C3" s="1" t="n"/>
      <c r="D3" s="1" t="n"/>
      <c r="E3" s="1" t="n"/>
      <c r="F3" s="1" t="n"/>
    </row>
    <row r="4" ht="4" customHeight="1">
      <c r="A4" s="6" t="n"/>
      <c r="B4" s="6" t="n"/>
      <c r="C4" s="6" t="n"/>
      <c r="D4" s="6" t="n"/>
      <c r="E4" s="6" t="n"/>
      <c r="F4" s="6" t="n"/>
    </row>
    <row r="6" ht="30" customHeight="1">
      <c r="B6" s="21" t="inlineStr">
        <is>
          <t>Fecha</t>
        </is>
      </c>
      <c r="C6" s="21" t="inlineStr">
        <is>
          <t>Día</t>
        </is>
      </c>
      <c r="D6" s="21" t="inlineStr">
        <is>
          <t>Modelos</t>
        </is>
      </c>
      <c r="E6" s="21" t="inlineStr">
        <is>
          <t>Qué es</t>
        </is>
      </c>
      <c r="F6" s="21" t="inlineStr">
        <is>
          <t>¿Hecho?</t>
        </is>
      </c>
    </row>
    <row r="7" ht="30" customHeight="1">
      <c r="B7" s="38" t="n">
        <v>46407</v>
      </c>
      <c r="C7" s="35" t="inlineStr">
        <is>
          <t>miércoles</t>
        </is>
      </c>
      <c r="D7" s="45" t="inlineStr">
        <is>
          <t>111, 115, 123, 216</t>
        </is>
      </c>
      <c r="E7" s="46" t="inlineStr">
        <is>
          <t>111: Retenciones de trabajadores y profesionales que pagas tú; 115: Retenciones del alquiler de tu local u oficina · 4T 2026 retenciones</t>
        </is>
      </c>
      <c r="F7" s="30" t="n"/>
    </row>
    <row r="8" ht="15" customHeight="1">
      <c r="B8" s="26" t="n">
        <v>46416</v>
      </c>
      <c r="C8" s="35" t="inlineStr">
        <is>
          <t>viernes</t>
        </is>
      </c>
      <c r="D8" s="47" t="inlineStr">
        <is>
          <t>RETA</t>
        </is>
      </c>
      <c r="E8" s="48" t="inlineStr">
        <is>
          <t>Cargo de la cuota de autónomos de enero</t>
        </is>
      </c>
      <c r="F8" s="30" t="n"/>
    </row>
    <row r="9" ht="45" customHeight="1">
      <c r="B9" s="38" t="n">
        <v>46419</v>
      </c>
      <c r="C9" s="35" t="inlineStr">
        <is>
          <t>lunes</t>
        </is>
      </c>
      <c r="D9" s="45" t="inlineStr">
        <is>
          <t>130, 131, 303, 349, 390, 180, 190, 193</t>
        </is>
      </c>
      <c r="E9" s="46" t="inlineStr">
        <is>
          <t>130: Pago fraccionado del IRPF (estimación directa); 303: Autoliquidación de IVA; 349: Operaciones intracomunitarias; 390: Resumen anual de IVA · Plazo del 30/31 de enero trasladado al lunes 1 de febrero por caer en fin de semana</t>
        </is>
      </c>
      <c r="F9" s="30" t="n"/>
    </row>
    <row r="10" ht="15" customHeight="1">
      <c r="B10" s="26" t="n">
        <v>46444</v>
      </c>
      <c r="C10" s="35" t="inlineStr">
        <is>
          <t>viernes</t>
        </is>
      </c>
      <c r="D10" s="47" t="inlineStr">
        <is>
          <t>RETA</t>
        </is>
      </c>
      <c r="E10" s="48" t="inlineStr">
        <is>
          <t>Cargo de la cuota de autónomos de febrero</t>
        </is>
      </c>
      <c r="F10" s="30" t="n"/>
    </row>
    <row r="11" ht="30" customHeight="1">
      <c r="B11" s="38" t="n">
        <v>46447</v>
      </c>
      <c r="C11" s="35" t="inlineStr">
        <is>
          <t>lunes</t>
        </is>
      </c>
      <c r="D11" s="45" t="inlineStr">
        <is>
          <t>347</t>
        </is>
      </c>
      <c r="E11" s="46" t="inlineStr">
        <is>
          <t>347: Operaciones con terceros de más de 3.005,06 € · Plazo de febrero; 28-2-2027 es domingo</t>
        </is>
      </c>
      <c r="F11" s="30" t="n"/>
    </row>
    <row r="12" ht="15" customHeight="1">
      <c r="B12" s="26" t="n">
        <v>46477</v>
      </c>
      <c r="C12" s="35" t="inlineStr">
        <is>
          <t>miércoles</t>
        </is>
      </c>
      <c r="D12" s="47" t="inlineStr">
        <is>
          <t>RETA</t>
        </is>
      </c>
      <c r="E12" s="48" t="inlineStr">
        <is>
          <t>Cargo de la cuota de autónomos de marzo</t>
        </is>
      </c>
      <c r="F12" s="30" t="n"/>
    </row>
    <row r="13" ht="60" customHeight="1">
      <c r="B13" s="38" t="n">
        <v>46497</v>
      </c>
      <c r="C13" s="35" t="inlineStr">
        <is>
          <t>martes</t>
        </is>
      </c>
      <c r="D13" s="45" t="inlineStr">
        <is>
          <t>111, 115, 123, 130, 131, 303, 349, 202</t>
        </is>
      </c>
      <c r="E13" s="46" t="inlineStr">
        <is>
          <t>111: Retenciones de trabajadores y profesionales que pagas tú; 115: Retenciones del alquiler de tu local u oficina; 130: Pago fraccionado del IRPF (estimación directa); 303: Autoliquidación de IVA; 349: Operaciones intracomunitarias · 1T 2027 y primer pago fraccionado IS</t>
        </is>
      </c>
      <c r="F13" s="30" t="n"/>
    </row>
    <row r="14" ht="15" customHeight="1">
      <c r="B14" s="26" t="n">
        <v>46507</v>
      </c>
      <c r="C14" s="35" t="inlineStr">
        <is>
          <t>viernes</t>
        </is>
      </c>
      <c r="D14" s="47" t="inlineStr">
        <is>
          <t>RETA</t>
        </is>
      </c>
      <c r="E14" s="48" t="inlineStr">
        <is>
          <t>Cargo de la cuota de autónomos de abril</t>
        </is>
      </c>
      <c r="F14" s="30" t="n"/>
    </row>
    <row r="15" ht="15" customHeight="1">
      <c r="B15" s="26" t="n">
        <v>46538</v>
      </c>
      <c r="C15" s="35" t="inlineStr">
        <is>
          <t>lunes</t>
        </is>
      </c>
      <c r="D15" s="47" t="inlineStr">
        <is>
          <t>RETA</t>
        </is>
      </c>
      <c r="E15" s="48" t="inlineStr">
        <is>
          <t>Cargo de la cuota de autónomos de mayo</t>
        </is>
      </c>
      <c r="F15" s="30" t="n"/>
    </row>
    <row r="16" ht="30" customHeight="1">
      <c r="B16" s="38" t="n">
        <v>46568</v>
      </c>
      <c r="C16" s="35" t="inlineStr">
        <is>
          <t>miércoles</t>
        </is>
      </c>
      <c r="D16" s="45" t="inlineStr">
        <is>
          <t>100, 714</t>
        </is>
      </c>
      <c r="E16" s="46" t="inlineStr">
        <is>
          <t>100: Declaración de la renta (IRPF) · Fin previsto campaña Renta y Patrimonio 2026 (pendiente de orden)</t>
        </is>
      </c>
      <c r="F16" s="30" t="n"/>
    </row>
    <row r="17" ht="15" customHeight="1">
      <c r="B17" s="26" t="n">
        <v>46568</v>
      </c>
      <c r="C17" s="35" t="inlineStr">
        <is>
          <t>miércoles</t>
        </is>
      </c>
      <c r="D17" s="47" t="inlineStr">
        <is>
          <t>RETA</t>
        </is>
      </c>
      <c r="E17" s="48" t="inlineStr">
        <is>
          <t>Cargo de la cuota de autónomos de junio</t>
        </is>
      </c>
      <c r="F17" s="30" t="n"/>
    </row>
    <row r="18" ht="45" customHeight="1">
      <c r="B18" s="38" t="n">
        <v>46588</v>
      </c>
      <c r="C18" s="35" t="inlineStr">
        <is>
          <t>martes</t>
        </is>
      </c>
      <c r="D18" s="45" t="inlineStr">
        <is>
          <t>111, 115, 123, 130, 131, 303, 349</t>
        </is>
      </c>
      <c r="E18" s="46" t="inlineStr">
        <is>
          <t>111: Retenciones de trabajadores y profesionales que pagas tú; 115: Retenciones del alquiler de tu local u oficina; 130: Pago fraccionado del IRPF (estimación directa); 303: Autoliquidación de IVA; 349: Operaciones intracomunitarias · 2T 2027</t>
        </is>
      </c>
      <c r="F18" s="30" t="n"/>
    </row>
    <row r="19" ht="30" customHeight="1">
      <c r="B19" s="38" t="n">
        <v>46594</v>
      </c>
      <c r="C19" s="35" t="inlineStr">
        <is>
          <t>lunes</t>
        </is>
      </c>
      <c r="D19" s="45" t="inlineStr">
        <is>
          <t>200</t>
        </is>
      </c>
      <c r="E19" s="46" t="inlineStr">
        <is>
          <t>200: Impuesto sobre Sociedades (solo sociedades) · IS ejercicio 2026 (25 de julio es domingo)</t>
        </is>
      </c>
      <c r="F19" s="30" t="n"/>
    </row>
    <row r="20" ht="15" customHeight="1">
      <c r="B20" s="26" t="n">
        <v>46598</v>
      </c>
      <c r="C20" s="35" t="inlineStr">
        <is>
          <t>viernes</t>
        </is>
      </c>
      <c r="D20" s="47" t="inlineStr">
        <is>
          <t>RETA</t>
        </is>
      </c>
      <c r="E20" s="48" t="inlineStr">
        <is>
          <t>Cargo de la cuota de autónomos de julio</t>
        </is>
      </c>
      <c r="F20" s="30" t="n"/>
    </row>
    <row r="21" ht="15" customHeight="1">
      <c r="B21" s="26" t="n">
        <v>46630</v>
      </c>
      <c r="C21" s="35" t="inlineStr">
        <is>
          <t>martes</t>
        </is>
      </c>
      <c r="D21" s="47" t="inlineStr">
        <is>
          <t>RETA</t>
        </is>
      </c>
      <c r="E21" s="48" t="inlineStr">
        <is>
          <t>Cargo de la cuota de autónomos de agosto</t>
        </is>
      </c>
      <c r="F21" s="30" t="n"/>
    </row>
    <row r="22" ht="15" customHeight="1">
      <c r="B22" s="26" t="n">
        <v>46660</v>
      </c>
      <c r="C22" s="35" t="inlineStr">
        <is>
          <t>jueves</t>
        </is>
      </c>
      <c r="D22" s="47" t="inlineStr">
        <is>
          <t>RETA</t>
        </is>
      </c>
      <c r="E22" s="48" t="inlineStr">
        <is>
          <t>Cargo de la cuota de autónomos de septiembre</t>
        </is>
      </c>
      <c r="F22" s="30" t="n"/>
    </row>
    <row r="23" ht="60" customHeight="1">
      <c r="B23" s="38" t="n">
        <v>46680</v>
      </c>
      <c r="C23" s="35" t="inlineStr">
        <is>
          <t>miércoles</t>
        </is>
      </c>
      <c r="D23" s="45" t="inlineStr">
        <is>
          <t>111, 115, 123, 130, 131, 303, 349, 202</t>
        </is>
      </c>
      <c r="E23" s="46" t="inlineStr">
        <is>
          <t>111: Retenciones de trabajadores y profesionales que pagas tú; 115: Retenciones del alquiler de tu local u oficina; 130: Pago fraccionado del IRPF (estimación directa); 303: Autoliquidación de IVA; 349: Operaciones intracomunitarias · 3T 2027 y segundo pago fraccionado IS</t>
        </is>
      </c>
      <c r="F23" s="30" t="n"/>
    </row>
    <row r="24" ht="15" customHeight="1">
      <c r="B24" s="26" t="n">
        <v>46689</v>
      </c>
      <c r="C24" s="35" t="inlineStr">
        <is>
          <t>viernes</t>
        </is>
      </c>
      <c r="D24" s="47" t="inlineStr">
        <is>
          <t>RETA</t>
        </is>
      </c>
      <c r="E24" s="48" t="inlineStr">
        <is>
          <t>Cargo de la cuota de autónomos de octubre</t>
        </is>
      </c>
      <c r="F24" s="30" t="n"/>
    </row>
    <row r="25" ht="15" customHeight="1">
      <c r="B25" s="26" t="n">
        <v>46721</v>
      </c>
      <c r="C25" s="35" t="inlineStr">
        <is>
          <t>martes</t>
        </is>
      </c>
      <c r="D25" s="47" t="inlineStr">
        <is>
          <t>RETA</t>
        </is>
      </c>
      <c r="E25" s="48" t="inlineStr">
        <is>
          <t>Cargo de la cuota de autónomos de noviembre</t>
        </is>
      </c>
      <c r="F25" s="30" t="n"/>
    </row>
    <row r="26" ht="15" customHeight="1">
      <c r="B26" s="38" t="n">
        <v>46741</v>
      </c>
      <c r="C26" s="35" t="inlineStr">
        <is>
          <t>lunes</t>
        </is>
      </c>
      <c r="D26" s="45" t="inlineStr">
        <is>
          <t>202</t>
        </is>
      </c>
      <c r="E26" s="46" t="inlineStr">
        <is>
          <t>202: Pago fraccionado de Sociedades (solo sociedades) · Tercer pago fraccionado IS</t>
        </is>
      </c>
      <c r="F26" s="30" t="n"/>
    </row>
    <row r="27" ht="15" customHeight="1">
      <c r="B27" s="26" t="n">
        <v>46752</v>
      </c>
      <c r="C27" s="35" t="inlineStr">
        <is>
          <t>viernes</t>
        </is>
      </c>
      <c r="D27" s="47" t="inlineStr">
        <is>
          <t>RETA</t>
        </is>
      </c>
      <c r="E27" s="48" t="inlineStr">
        <is>
          <t>Cargo de la cuota de autónomos de diciembre</t>
        </is>
      </c>
      <c r="F27" s="30" t="n"/>
    </row>
    <row r="28" ht="15" customHeight="1">
      <c r="B28" s="38" t="n">
        <v>46783</v>
      </c>
      <c r="C28" s="35" t="inlineStr">
        <is>
          <t>lunes</t>
        </is>
      </c>
      <c r="D28" s="45" t="inlineStr">
        <is>
          <t>303, 130, 390</t>
        </is>
      </c>
      <c r="E28" s="46" t="inlineStr">
        <is>
          <t>4T de 2027: IVA, pago fraccionado y resumen anual de IVA</t>
        </is>
      </c>
      <c r="F28" s="30" t="n"/>
    </row>
    <row r="30" ht="30" customHeight="1">
      <c r="B30" s="12" t="inlineStr">
        <is>
          <t>En amarillo, lo que vence en los próximos 15 días; en rojo, lo vencido sin marcar. Fuente: calendario del contribuyente de la AEAT (AEAT - Calendario del contribuyente (reglas generales de plazos)). Campaña de Renta 2027: previsiblemente abril-30 de junio de 2028 (sin orden publicada). En 2027 se presenta la Renta 2026 (abril-30 junio 2027, previsto).</t>
        </is>
      </c>
    </row>
    <row r="3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0:F31"/>
  </mergeCells>
  <conditionalFormatting sqref="B7:F28">
    <cfRule type="expression" priority="1" dxfId="4">
      <formula>$F7="Sí"</formula>
    </cfRule>
    <cfRule type="expression" priority="2" dxfId="5">
      <formula>AND($F7&lt;&gt;"Sí",$B7&lt;TODAY())</formula>
    </cfRule>
    <cfRule type="expression" priority="3" dxfId="6">
      <formula>AND($F7&lt;&gt;"Sí",$B7&gt;=TODAY(),$B7-TODAY()&lt;=15)</formula>
    </cfRule>
  </conditionalFormatting>
  <dataValidations count="1">
    <dataValidation sqref="F7:F28" showDropDown="0" showInputMessage="0" showErrorMessage="1" allowBlank="1" errorTitle="Valor no válido" error="Elige una opción de la lista.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A5C58"/>
    <outlinePr summaryBelow="1" summaryRight="1"/>
    <pageSetUpPr fitToPage="1"/>
  </sheetPr>
  <dimension ref="A1:D3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8" customWidth="1" min="4" max="4"/>
    <col width="3" customWidth="1" min="5" max="5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Parámetros</t>
        </is>
      </c>
      <c r="C2" s="1" t="n"/>
      <c r="D2" s="15" t="inlineStr">
        <is>
          <t>ImpuestoClaro</t>
        </is>
      </c>
    </row>
    <row r="3" ht="20" customHeight="1">
      <c r="A3" s="1" t="n"/>
      <c r="B3" s="16" t="inlineStr">
        <is>
          <t>Cifras de params/es/2027 a 2026-10-27. Si cambian, se publica una versión nueva del kit.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 ht="30" customHeight="1">
      <c r="B6" s="21" t="inlineStr">
        <is>
          <t>Concepto</t>
        </is>
      </c>
      <c r="C6" s="21" t="inlineStr">
        <is>
          <t>Valor</t>
        </is>
      </c>
      <c r="D6" s="21" t="inlineStr">
        <is>
          <t>Fuente oficial</t>
        </is>
      </c>
    </row>
    <row r="7" ht="22" customHeight="1">
      <c r="B7" s="17" t="inlineStr">
        <is>
          <t>Ejercicio</t>
        </is>
      </c>
      <c r="C7" s="18" t="n"/>
      <c r="D7" s="18" t="n"/>
    </row>
    <row r="8" ht="16" customHeight="1">
      <c r="B8" s="49" t="inlineStr">
        <is>
          <t>Año del kit</t>
        </is>
      </c>
      <c r="C8" s="50" t="n">
        <v>2027</v>
      </c>
      <c r="D8" s="51" t="inlineStr">
        <is>
          <t>Ejercicio fiscal de los libros</t>
        </is>
      </c>
    </row>
    <row r="9" ht="22" customHeight="1">
      <c r="B9" s="17" t="inlineStr">
        <is>
          <t>IVA</t>
        </is>
      </c>
      <c r="C9" s="18" t="n"/>
      <c r="D9" s="18" t="n"/>
    </row>
    <row r="10" ht="16" customHeight="1">
      <c r="B10" s="49" t="inlineStr">
        <is>
          <t>Tipo general de IVA (%)</t>
        </is>
      </c>
      <c r="C10" s="50" t="n">
        <v>21</v>
      </c>
      <c r="D10" s="52" t="inlineStr">
        <is>
          <t>Ley 37/1992 del IVA (BOE)</t>
        </is>
      </c>
    </row>
    <row r="11" ht="16" customHeight="1">
      <c r="B11" s="49" t="inlineStr">
        <is>
          <t>Tipo reducido de IVA (%)</t>
        </is>
      </c>
      <c r="C11" s="50" t="n">
        <v>10</v>
      </c>
      <c r="D11" s="52" t="inlineStr">
        <is>
          <t>Ley 37/1992 del IVA (BOE)</t>
        </is>
      </c>
    </row>
    <row r="12" ht="16" customHeight="1">
      <c r="B12" s="49" t="inlineStr">
        <is>
          <t>Tipo superreducido de IVA (%)</t>
        </is>
      </c>
      <c r="C12" s="50" t="n">
        <v>4</v>
      </c>
      <c r="D12" s="52" t="inlineStr">
        <is>
          <t>Ley 37/1992 del IVA (BOE)</t>
        </is>
      </c>
    </row>
    <row r="13" ht="22" customHeight="1">
      <c r="B13" s="17" t="inlineStr">
        <is>
          <t>Modelo 130</t>
        </is>
      </c>
      <c r="C13" s="18" t="n"/>
      <c r="D13" s="18" t="n"/>
    </row>
    <row r="14" ht="24" customHeight="1">
      <c r="B14" s="49" t="inlineStr">
        <is>
          <t>Pago fraccionado sobre el rendimiento neto acumulado (%)</t>
        </is>
      </c>
      <c r="C14" s="50" t="n">
        <v>20</v>
      </c>
      <c r="D14" s="52" t="inlineStr">
        <is>
          <t>Ley 35/2006 del IRPF, art. 99; RIRPF art. 110</t>
        </is>
      </c>
    </row>
    <row r="15" ht="24" customHeight="1">
      <c r="B15" s="49" t="inlineStr">
        <is>
          <t>Minoración: rendimiento del año anterior hasta (€), tramo 1</t>
        </is>
      </c>
      <c r="C15" s="53" t="n">
        <v>9000</v>
      </c>
      <c r="D15" s="52" t="inlineStr">
        <is>
          <t>Reglamento del IRPF (RD 439/2007), art. 110.3.c</t>
        </is>
      </c>
    </row>
    <row r="16" ht="16" customHeight="1">
      <c r="B16" s="49" t="inlineStr">
        <is>
          <t>Minoración por trimestre (€), tramo 1</t>
        </is>
      </c>
      <c r="C16" s="53" t="n">
        <v>100</v>
      </c>
      <c r="D16" s="52" t="inlineStr">
        <is>
          <t>Reglamento del IRPF (RD 439/2007), art. 110.3.c</t>
        </is>
      </c>
    </row>
    <row r="17" ht="24" customHeight="1">
      <c r="B17" s="49" t="inlineStr">
        <is>
          <t>Minoración: rendimiento del año anterior hasta (€), tramo 2</t>
        </is>
      </c>
      <c r="C17" s="53" t="n">
        <v>10000</v>
      </c>
      <c r="D17" s="52" t="inlineStr">
        <is>
          <t>Reglamento del IRPF (RD 439/2007), art. 110.3.c</t>
        </is>
      </c>
    </row>
    <row r="18" ht="16" customHeight="1">
      <c r="B18" s="49" t="inlineStr">
        <is>
          <t>Minoración por trimestre (€), tramo 2</t>
        </is>
      </c>
      <c r="C18" s="53" t="n">
        <v>75</v>
      </c>
      <c r="D18" s="52" t="inlineStr">
        <is>
          <t>Reglamento del IRPF (RD 439/2007), art. 110.3.c</t>
        </is>
      </c>
    </row>
    <row r="19" ht="24" customHeight="1">
      <c r="B19" s="49" t="inlineStr">
        <is>
          <t>Minoración: rendimiento del año anterior hasta (€), tramo 3</t>
        </is>
      </c>
      <c r="C19" s="53" t="n">
        <v>11000</v>
      </c>
      <c r="D19" s="52" t="inlineStr">
        <is>
          <t>Reglamento del IRPF (RD 439/2007), art. 110.3.c</t>
        </is>
      </c>
    </row>
    <row r="20" ht="16" customHeight="1">
      <c r="B20" s="49" t="inlineStr">
        <is>
          <t>Minoración por trimestre (€), tramo 3</t>
        </is>
      </c>
      <c r="C20" s="53" t="n">
        <v>50</v>
      </c>
      <c r="D20" s="52" t="inlineStr">
        <is>
          <t>Reglamento del IRPF (RD 439/2007), art. 110.3.c</t>
        </is>
      </c>
    </row>
    <row r="21" ht="24" customHeight="1">
      <c r="B21" s="49" t="inlineStr">
        <is>
          <t>Minoración: rendimiento del año anterior hasta (€), tramo 4</t>
        </is>
      </c>
      <c r="C21" s="53" t="n">
        <v>12000</v>
      </c>
      <c r="D21" s="52" t="inlineStr">
        <is>
          <t>Reglamento del IRPF (RD 439/2007), art. 110.3.c</t>
        </is>
      </c>
    </row>
    <row r="22" ht="16" customHeight="1">
      <c r="B22" s="49" t="inlineStr">
        <is>
          <t>Minoración por trimestre (€), tramo 4</t>
        </is>
      </c>
      <c r="C22" s="53" t="n">
        <v>25</v>
      </c>
      <c r="D22" s="52" t="inlineStr">
        <is>
          <t>Reglamento del IRPF (RD 439/2007), art. 110.3.c</t>
        </is>
      </c>
    </row>
    <row r="23" ht="22" customHeight="1">
      <c r="B23" s="17" t="inlineStr">
        <is>
          <t>Cuota de autónomos (RETA)</t>
        </is>
      </c>
      <c r="C23" s="18" t="n"/>
      <c r="D23" s="18" t="n"/>
    </row>
    <row r="24" ht="24" customHeight="1">
      <c r="B24" s="49" t="inlineStr">
        <is>
          <t>Tipo de cotización total (%)</t>
        </is>
      </c>
      <c r="C24" s="50" t="n">
        <v>31.6</v>
      </c>
      <c r="D24" s="52" t="inlineStr">
        <is>
          <t>Orden PJC/297/2026, de 30 de marzo, normas de cotización 2026 (BOE 31/03/2026, BOE-A-2026-7296); RDL 3/2026 art. 3 · provisional: tabla de 2026</t>
        </is>
      </c>
    </row>
    <row r="25" ht="24" customHeight="1">
      <c r="B25" s="49" t="inlineStr">
        <is>
          <t>Tarifa plana (€ al mes)</t>
        </is>
      </c>
      <c r="C25" s="22" t="n">
        <v>80</v>
      </c>
      <c r="D25" s="52" t="inlineStr">
        <is>
          <t>Orden PJC/297/2026, de 30 de marzo, normas de cotización 2026 (BOE 31/03/2026, BOE-A-2026-7296); RDL 3/2026 art. 3</t>
        </is>
      </c>
    </row>
    <row r="26" ht="24" customHeight="1">
      <c r="B26" s="49" t="inlineStr">
        <is>
          <t>Deducción por gastos genéricos para el tramo (%)</t>
        </is>
      </c>
      <c r="C26" s="50" t="n">
        <v>7</v>
      </c>
      <c r="D26" s="52" t="inlineStr">
        <is>
          <t>Orden PJC/297/2026, de 30 de marzo, normas de cotización 2026 (BOE 31/03/2026, BOE-A-2026-7296); RDL 3/2026 art. 3</t>
        </is>
      </c>
    </row>
    <row r="27" ht="22" customHeight="1">
      <c r="B27" s="17" t="inlineStr">
        <is>
          <t>IRPF: estimación directa simplificada</t>
        </is>
      </c>
      <c r="C27" s="18" t="n"/>
      <c r="D27" s="18" t="n"/>
    </row>
    <row r="28" ht="16" customHeight="1">
      <c r="B28" s="49" t="inlineStr">
        <is>
          <t>Gastos de difícil justificación (%)</t>
        </is>
      </c>
      <c r="C28" s="50" t="n">
        <v>5</v>
      </c>
      <c r="D28" s="52" t="inlineStr">
        <is>
          <t>AEAT - Estimación directa simplificada</t>
        </is>
      </c>
    </row>
    <row r="29" ht="16" customHeight="1">
      <c r="B29" s="49" t="inlineStr">
        <is>
          <t>Gastos de difícil justificación, máximo (€)</t>
        </is>
      </c>
      <c r="C29" s="53" t="n">
        <v>2000</v>
      </c>
      <c r="D29" s="52" t="inlineStr">
        <is>
          <t>AEAT - Estimación directa simplificada</t>
        </is>
      </c>
    </row>
    <row r="30" ht="22" customHeight="1">
      <c r="B30" s="17" t="inlineStr">
        <is>
          <t>IRPF: mínimo personal y familiar (estatal)</t>
        </is>
      </c>
      <c r="C30" s="18" t="n"/>
      <c r="D30" s="18" t="n"/>
    </row>
    <row r="31" ht="24" customHeight="1">
      <c r="B31" s="49" t="inlineStr">
        <is>
          <t>Mínimo del contribuyente (€)</t>
        </is>
      </c>
      <c r="C31" s="53" t="n">
        <v>5550</v>
      </c>
      <c r="D31" s="52" t="inlineStr">
        <is>
          <t>AEAT Manual Renta 2025 - cuadro de mínimos estatal y autonómicos</t>
        </is>
      </c>
    </row>
    <row r="32" ht="24" customHeight="1">
      <c r="B32" s="49" t="inlineStr">
        <is>
          <t>Incremento por edad: 65 años o más (€)</t>
        </is>
      </c>
      <c r="C32" s="53" t="n">
        <v>1150</v>
      </c>
      <c r="D32" s="52" t="inlineStr">
        <is>
          <t>AEAT Manual Renta 2025 - cuadro de mínimos estatal y autonómicos</t>
        </is>
      </c>
    </row>
    <row r="33" ht="24" customHeight="1">
      <c r="B33" s="49" t="inlineStr">
        <is>
          <t>Incremento adicional: 75 años o más (€)</t>
        </is>
      </c>
      <c r="C33" s="53" t="n">
        <v>1400</v>
      </c>
      <c r="D33" s="52" t="inlineStr">
        <is>
          <t>AEAT Manual Renta 2025 - cuadro de mínimos estatal y autonómicos</t>
        </is>
      </c>
    </row>
    <row r="34" ht="24" customHeight="1">
      <c r="B34" s="49" t="inlineStr">
        <is>
          <t>Mínimo por descendiente: 1.º (€)</t>
        </is>
      </c>
      <c r="C34" s="53" t="n">
        <v>2400</v>
      </c>
      <c r="D34" s="52" t="inlineStr">
        <is>
          <t>AEAT Manual Renta 2025 - cuadro de mínimos estatal y autonómicos</t>
        </is>
      </c>
    </row>
    <row r="35" ht="24" customHeight="1">
      <c r="B35" s="49" t="inlineStr">
        <is>
          <t>Mínimo por descendiente: 2.º (€)</t>
        </is>
      </c>
      <c r="C35" s="53" t="n">
        <v>2700</v>
      </c>
      <c r="D35" s="52" t="inlineStr">
        <is>
          <t>AEAT Manual Renta 2025 - cuadro de mínimos estatal y autonómicos</t>
        </is>
      </c>
    </row>
    <row r="36" ht="24" customHeight="1">
      <c r="B36" s="49" t="inlineStr">
        <is>
          <t>Mínimo por descendiente: 3.º (€)</t>
        </is>
      </c>
      <c r="C36" s="53" t="n">
        <v>4000</v>
      </c>
      <c r="D36" s="52" t="inlineStr">
        <is>
          <t>AEAT Manual Renta 2025 - cuadro de mínimos estatal y autonómicos</t>
        </is>
      </c>
    </row>
    <row r="37" ht="24" customHeight="1">
      <c r="B37" s="49" t="inlineStr">
        <is>
          <t>Mínimo por descendiente: 4.º y siguientes (€)</t>
        </is>
      </c>
      <c r="C37" s="53" t="n">
        <v>4500</v>
      </c>
      <c r="D37" s="52" t="inlineStr">
        <is>
          <t>AEAT Manual Renta 2025 - cuadro de mínimos estatal y autonómicos</t>
        </is>
      </c>
    </row>
    <row r="38" ht="24" customHeight="1">
      <c r="B38" s="49" t="inlineStr">
        <is>
          <t>Incremento por descendiente menor de 3 años (€)</t>
        </is>
      </c>
      <c r="C38" s="53" t="n">
        <v>2800</v>
      </c>
      <c r="D38" s="52" t="inlineStr">
        <is>
          <t>AEAT Manual Renta 2025 - cuadro de mínimos estatal y autonómicos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hyperlinks>
    <hyperlink xmlns:r="http://schemas.openxmlformats.org/officeDocument/2006/relationships" ref="D10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4" r:id="rId4"/>
    <hyperlink xmlns:r="http://schemas.openxmlformats.org/officeDocument/2006/relationships" ref="D15" r:id="rId5"/>
    <hyperlink xmlns:r="http://schemas.openxmlformats.org/officeDocument/2006/relationships" ref="D16" r:id="rId6"/>
    <hyperlink xmlns:r="http://schemas.openxmlformats.org/officeDocument/2006/relationships" ref="D17" r:id="rId7"/>
    <hyperlink xmlns:r="http://schemas.openxmlformats.org/officeDocument/2006/relationships" ref="D18" r:id="rId8"/>
    <hyperlink xmlns:r="http://schemas.openxmlformats.org/officeDocument/2006/relationships" ref="D19" r:id="rId9"/>
    <hyperlink xmlns:r="http://schemas.openxmlformats.org/officeDocument/2006/relationships" ref="D20" r:id="rId10"/>
    <hyperlink xmlns:r="http://schemas.openxmlformats.org/officeDocument/2006/relationships" ref="D21" r:id="rId11"/>
    <hyperlink xmlns:r="http://schemas.openxmlformats.org/officeDocument/2006/relationships" ref="D22" r:id="rId12"/>
    <hyperlink xmlns:r="http://schemas.openxmlformats.org/officeDocument/2006/relationships" ref="D24" r:id="rId13"/>
    <hyperlink xmlns:r="http://schemas.openxmlformats.org/officeDocument/2006/relationships" ref="D25" r:id="rId14"/>
    <hyperlink xmlns:r="http://schemas.openxmlformats.org/officeDocument/2006/relationships" ref="D26" r:id="rId15"/>
    <hyperlink xmlns:r="http://schemas.openxmlformats.org/officeDocument/2006/relationships" ref="D28" r:id="rId16"/>
    <hyperlink xmlns:r="http://schemas.openxmlformats.org/officeDocument/2006/relationships" ref="D29" r:id="rId17"/>
    <hyperlink xmlns:r="http://schemas.openxmlformats.org/officeDocument/2006/relationships" ref="D31" r:id="rId18"/>
    <hyperlink xmlns:r="http://schemas.openxmlformats.org/officeDocument/2006/relationships" ref="D32" r:id="rId19"/>
    <hyperlink xmlns:r="http://schemas.openxmlformats.org/officeDocument/2006/relationships" ref="D33" r:id="rId20"/>
    <hyperlink xmlns:r="http://schemas.openxmlformats.org/officeDocument/2006/relationships" ref="D34" r:id="rId21"/>
    <hyperlink xmlns:r="http://schemas.openxmlformats.org/officeDocument/2006/relationships" ref="D35" r:id="rId22"/>
    <hyperlink xmlns:r="http://schemas.openxmlformats.org/officeDocument/2006/relationships" ref="D36" r:id="rId23"/>
    <hyperlink xmlns:r="http://schemas.openxmlformats.org/officeDocument/2006/relationships" ref="D37" r:id="rId24"/>
    <hyperlink xmlns:r="http://schemas.openxmlformats.org/officeDocument/2006/relationships" ref="D38" r:id="rId25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4A5C58"/>
    <outlinePr summaryBelow="1" summaryRight="1"/>
    <pageSetUpPr fitToPage="1"/>
  </sheetPr>
  <dimension ref="A1:K123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16" customWidth="1" min="4" max="4"/>
    <col width="12" customWidth="1" min="5" max="5"/>
    <col width="14" customWidth="1" min="6" max="6"/>
    <col width="3" customWidth="1" min="7" max="7"/>
    <col width="10" customWidth="1" min="8" max="8"/>
    <col width="34" customWidth="1" min="9" max="9"/>
    <col width="16" customWidth="1" min="10" max="10"/>
    <col width="14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>
      <c r="A2" s="1" t="n"/>
      <c r="B2" s="14" t="inlineStr">
        <is>
          <t>Escalas del IRPF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5" t="inlineStr">
        <is>
          <t>ImpuestoClaro</t>
        </is>
      </c>
    </row>
    <row r="3" ht="20" customHeight="1">
      <c r="A3" s="1" t="n"/>
      <c r="B3" s="16" t="inlineStr">
        <is>
          <t>Escala estatal y autonómicas de la base general. Las fórmulas usan la columna «Diferencia de tipo»: cuota = Σ (base − desde) × diferencia.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6" ht="30" customHeight="1">
      <c r="B6" s="21" t="inlineStr">
        <is>
          <t>Código</t>
        </is>
      </c>
      <c r="C6" s="21" t="inlineStr">
        <is>
          <t>Escala</t>
        </is>
      </c>
      <c r="D6" s="21" t="inlineStr">
        <is>
          <t>Desde (€)</t>
        </is>
      </c>
      <c r="E6" s="21" t="inlineStr">
        <is>
          <t>Tipo (%)</t>
        </is>
      </c>
      <c r="F6" s="21" t="inlineStr">
        <is>
          <t>Diferencia de tipo</t>
        </is>
      </c>
      <c r="H6" s="21" t="inlineStr">
        <is>
          <t>Código</t>
        </is>
      </c>
      <c r="I6" s="21" t="inlineStr">
        <is>
          <t>Comunidad</t>
        </is>
      </c>
      <c r="J6" s="21" t="inlineStr">
        <is>
          <t>Mínimo personal autonómico (€)</t>
        </is>
      </c>
      <c r="K6" s="21" t="inlineStr">
        <is>
          <t>Bonificación de la cuota (%)</t>
        </is>
      </c>
    </row>
    <row r="7">
      <c r="B7" s="35" t="inlineStr">
        <is>
          <t>ESTATAL</t>
        </is>
      </c>
      <c r="C7" s="36" t="inlineStr">
        <is>
          <t>Estatal</t>
        </is>
      </c>
      <c r="D7" s="54" t="n">
        <v>0</v>
      </c>
      <c r="E7" s="55" t="n">
        <v>9.5</v>
      </c>
      <c r="F7" s="55">
        <f>E7</f>
        <v/>
      </c>
      <c r="H7" s="35" t="inlineStr">
        <is>
          <t>AN</t>
        </is>
      </c>
      <c r="I7" s="36" t="inlineStr">
        <is>
          <t>Andalucía</t>
        </is>
      </c>
      <c r="J7" s="54" t="n">
        <v>5790</v>
      </c>
      <c r="K7" s="55" t="n">
        <v>0</v>
      </c>
    </row>
    <row r="8">
      <c r="B8" s="35" t="inlineStr">
        <is>
          <t>ESTATAL</t>
        </is>
      </c>
      <c r="C8" s="36" t="inlineStr">
        <is>
          <t>Estatal</t>
        </is>
      </c>
      <c r="D8" s="54" t="n">
        <v>12450</v>
      </c>
      <c r="E8" s="55" t="n">
        <v>12</v>
      </c>
      <c r="F8" s="55">
        <f>E8-E7</f>
        <v/>
      </c>
      <c r="H8" s="35" t="inlineStr">
        <is>
          <t>AR</t>
        </is>
      </c>
      <c r="I8" s="36" t="inlineStr">
        <is>
          <t>Aragón</t>
        </is>
      </c>
      <c r="J8" s="54" t="n">
        <v>5550</v>
      </c>
      <c r="K8" s="55" t="n">
        <v>0</v>
      </c>
    </row>
    <row r="9">
      <c r="B9" s="35" t="inlineStr">
        <is>
          <t>ESTATAL</t>
        </is>
      </c>
      <c r="C9" s="36" t="inlineStr">
        <is>
          <t>Estatal</t>
        </is>
      </c>
      <c r="D9" s="54" t="n">
        <v>20200</v>
      </c>
      <c r="E9" s="55" t="n">
        <v>15</v>
      </c>
      <c r="F9" s="55">
        <f>E9-E8</f>
        <v/>
      </c>
      <c r="H9" s="35" t="inlineStr">
        <is>
          <t>AS</t>
        </is>
      </c>
      <c r="I9" s="36" t="inlineStr">
        <is>
          <t>Principado de Asturias</t>
        </is>
      </c>
      <c r="J9" s="54" t="n">
        <v>6105</v>
      </c>
      <c r="K9" s="55" t="n">
        <v>0</v>
      </c>
    </row>
    <row r="10">
      <c r="B10" s="35" t="inlineStr">
        <is>
          <t>ESTATAL</t>
        </is>
      </c>
      <c r="C10" s="36" t="inlineStr">
        <is>
          <t>Estatal</t>
        </is>
      </c>
      <c r="D10" s="54" t="n">
        <v>35200</v>
      </c>
      <c r="E10" s="55" t="n">
        <v>18.5</v>
      </c>
      <c r="F10" s="55">
        <f>E10-E9</f>
        <v/>
      </c>
      <c r="H10" s="35" t="inlineStr">
        <is>
          <t>IB</t>
        </is>
      </c>
      <c r="I10" s="36" t="inlineStr">
        <is>
          <t>Illes Balears</t>
        </is>
      </c>
      <c r="J10" s="54" t="n">
        <v>6105</v>
      </c>
      <c r="K10" s="55" t="n">
        <v>0</v>
      </c>
    </row>
    <row r="11">
      <c r="B11" s="35" t="inlineStr">
        <is>
          <t>ESTATAL</t>
        </is>
      </c>
      <c r="C11" s="36" t="inlineStr">
        <is>
          <t>Estatal</t>
        </is>
      </c>
      <c r="D11" s="54" t="n">
        <v>60000</v>
      </c>
      <c r="E11" s="55" t="n">
        <v>22.5</v>
      </c>
      <c r="F11" s="55">
        <f>E11-E10</f>
        <v/>
      </c>
      <c r="H11" s="35" t="inlineStr">
        <is>
          <t>CN</t>
        </is>
      </c>
      <c r="I11" s="36" t="inlineStr">
        <is>
          <t>Canarias</t>
        </is>
      </c>
      <c r="J11" s="54" t="n">
        <v>5606</v>
      </c>
      <c r="K11" s="55" t="n">
        <v>0</v>
      </c>
    </row>
    <row r="12">
      <c r="B12" s="35" t="inlineStr">
        <is>
          <t>ESTATAL</t>
        </is>
      </c>
      <c r="C12" s="36" t="inlineStr">
        <is>
          <t>Estatal</t>
        </is>
      </c>
      <c r="D12" s="54" t="n">
        <v>300000</v>
      </c>
      <c r="E12" s="55" t="n">
        <v>24.5</v>
      </c>
      <c r="F12" s="55">
        <f>E12-E11</f>
        <v/>
      </c>
      <c r="H12" s="35" t="inlineStr">
        <is>
          <t>CB</t>
        </is>
      </c>
      <c r="I12" s="36" t="inlineStr">
        <is>
          <t>Cantabria</t>
        </is>
      </c>
      <c r="J12" s="54" t="n">
        <v>5550</v>
      </c>
      <c r="K12" s="55" t="n">
        <v>0</v>
      </c>
    </row>
    <row r="13">
      <c r="B13" s="35" t="inlineStr">
        <is>
          <t>AN</t>
        </is>
      </c>
      <c r="C13" s="36" t="inlineStr">
        <is>
          <t>Andalucía</t>
        </is>
      </c>
      <c r="D13" s="54" t="n">
        <v>0</v>
      </c>
      <c r="E13" s="55" t="n">
        <v>9.5</v>
      </c>
      <c r="F13" s="55">
        <f>E13</f>
        <v/>
      </c>
      <c r="H13" s="35" t="inlineStr">
        <is>
          <t>CL</t>
        </is>
      </c>
      <c r="I13" s="36" t="inlineStr">
        <is>
          <t>Castilla y León</t>
        </is>
      </c>
      <c r="J13" s="54" t="n">
        <v>5550</v>
      </c>
      <c r="K13" s="55" t="n">
        <v>0</v>
      </c>
    </row>
    <row r="14">
      <c r="B14" s="35" t="inlineStr">
        <is>
          <t>AN</t>
        </is>
      </c>
      <c r="C14" s="36" t="inlineStr">
        <is>
          <t>Andalucía</t>
        </is>
      </c>
      <c r="D14" s="54" t="n">
        <v>13000</v>
      </c>
      <c r="E14" s="55" t="n">
        <v>12</v>
      </c>
      <c r="F14" s="55">
        <f>E14-E13</f>
        <v/>
      </c>
      <c r="H14" s="35" t="inlineStr">
        <is>
          <t>CM</t>
        </is>
      </c>
      <c r="I14" s="36" t="inlineStr">
        <is>
          <t>Castilla-La Mancha</t>
        </is>
      </c>
      <c r="J14" s="54" t="n">
        <v>5550</v>
      </c>
      <c r="K14" s="55" t="n">
        <v>0</v>
      </c>
    </row>
    <row r="15">
      <c r="B15" s="35" t="inlineStr">
        <is>
          <t>AN</t>
        </is>
      </c>
      <c r="C15" s="36" t="inlineStr">
        <is>
          <t>Andalucía</t>
        </is>
      </c>
      <c r="D15" s="54" t="n">
        <v>21100</v>
      </c>
      <c r="E15" s="55" t="n">
        <v>15</v>
      </c>
      <c r="F15" s="55">
        <f>E15-E14</f>
        <v/>
      </c>
      <c r="H15" s="35" t="inlineStr">
        <is>
          <t>CT</t>
        </is>
      </c>
      <c r="I15" s="36" t="inlineStr">
        <is>
          <t>Cataluña</t>
        </is>
      </c>
      <c r="J15" s="54" t="n">
        <v>5550</v>
      </c>
      <c r="K15" s="55" t="n">
        <v>0</v>
      </c>
    </row>
    <row r="16">
      <c r="B16" s="35" t="inlineStr">
        <is>
          <t>AN</t>
        </is>
      </c>
      <c r="C16" s="36" t="inlineStr">
        <is>
          <t>Andalucía</t>
        </is>
      </c>
      <c r="D16" s="54" t="n">
        <v>35200</v>
      </c>
      <c r="E16" s="55" t="n">
        <v>18.5</v>
      </c>
      <c r="F16" s="55">
        <f>E16-E15</f>
        <v/>
      </c>
      <c r="H16" s="35" t="inlineStr">
        <is>
          <t>EX</t>
        </is>
      </c>
      <c r="I16" s="36" t="inlineStr">
        <is>
          <t>Extremadura</t>
        </is>
      </c>
      <c r="J16" s="54" t="n">
        <v>5550</v>
      </c>
      <c r="K16" s="55" t="n">
        <v>0</v>
      </c>
    </row>
    <row r="17">
      <c r="B17" s="35" t="inlineStr">
        <is>
          <t>AN</t>
        </is>
      </c>
      <c r="C17" s="36" t="inlineStr">
        <is>
          <t>Andalucía</t>
        </is>
      </c>
      <c r="D17" s="54" t="n">
        <v>60000</v>
      </c>
      <c r="E17" s="55" t="n">
        <v>22.5</v>
      </c>
      <c r="F17" s="55">
        <f>E17-E16</f>
        <v/>
      </c>
      <c r="H17" s="35" t="inlineStr">
        <is>
          <t>GA</t>
        </is>
      </c>
      <c r="I17" s="36" t="inlineStr">
        <is>
          <t>Galicia</t>
        </is>
      </c>
      <c r="J17" s="54" t="n">
        <v>5789</v>
      </c>
      <c r="K17" s="55" t="n">
        <v>0</v>
      </c>
    </row>
    <row r="18">
      <c r="B18" s="35" t="inlineStr">
        <is>
          <t>AR</t>
        </is>
      </c>
      <c r="C18" s="36" t="inlineStr">
        <is>
          <t>Aragón</t>
        </is>
      </c>
      <c r="D18" s="54" t="n">
        <v>0</v>
      </c>
      <c r="E18" s="55" t="n">
        <v>9.5</v>
      </c>
      <c r="F18" s="55">
        <f>E18</f>
        <v/>
      </c>
      <c r="H18" s="35" t="inlineStr">
        <is>
          <t>MD</t>
        </is>
      </c>
      <c r="I18" s="36" t="inlineStr">
        <is>
          <t>Comunidad de Madrid</t>
        </is>
      </c>
      <c r="J18" s="54" t="n">
        <v>5956.65</v>
      </c>
      <c r="K18" s="55" t="n">
        <v>0</v>
      </c>
    </row>
    <row r="19">
      <c r="B19" s="35" t="inlineStr">
        <is>
          <t>AR</t>
        </is>
      </c>
      <c r="C19" s="36" t="inlineStr">
        <is>
          <t>Aragón</t>
        </is>
      </c>
      <c r="D19" s="54" t="n">
        <v>13072.5</v>
      </c>
      <c r="E19" s="55" t="n">
        <v>12</v>
      </c>
      <c r="F19" s="55">
        <f>E19-E18</f>
        <v/>
      </c>
      <c r="H19" s="35" t="inlineStr">
        <is>
          <t>MC</t>
        </is>
      </c>
      <c r="I19" s="36" t="inlineStr">
        <is>
          <t>Región de Murcia</t>
        </is>
      </c>
      <c r="J19" s="54" t="n">
        <v>5550</v>
      </c>
      <c r="K19" s="55" t="n">
        <v>0</v>
      </c>
    </row>
    <row r="20">
      <c r="B20" s="35" t="inlineStr">
        <is>
          <t>AR</t>
        </is>
      </c>
      <c r="C20" s="36" t="inlineStr">
        <is>
          <t>Aragón</t>
        </is>
      </c>
      <c r="D20" s="54" t="n">
        <v>21210</v>
      </c>
      <c r="E20" s="55" t="n">
        <v>15</v>
      </c>
      <c r="F20" s="55">
        <f>E20-E19</f>
        <v/>
      </c>
      <c r="H20" s="35" t="inlineStr">
        <is>
          <t>RI</t>
        </is>
      </c>
      <c r="I20" s="36" t="inlineStr">
        <is>
          <t>La Rioja</t>
        </is>
      </c>
      <c r="J20" s="54" t="n">
        <v>5550</v>
      </c>
      <c r="K20" s="55" t="n">
        <v>0</v>
      </c>
    </row>
    <row r="21">
      <c r="B21" s="35" t="inlineStr">
        <is>
          <t>AR</t>
        </is>
      </c>
      <c r="C21" s="36" t="inlineStr">
        <is>
          <t>Aragón</t>
        </is>
      </c>
      <c r="D21" s="54" t="n">
        <v>36960</v>
      </c>
      <c r="E21" s="55" t="n">
        <v>18.5</v>
      </c>
      <c r="F21" s="55">
        <f>E21-E20</f>
        <v/>
      </c>
      <c r="H21" s="35" t="inlineStr">
        <is>
          <t>VC</t>
        </is>
      </c>
      <c r="I21" s="36" t="inlineStr">
        <is>
          <t>Comunitat Valenciana</t>
        </is>
      </c>
      <c r="J21" s="54" t="n">
        <v>6105</v>
      </c>
      <c r="K21" s="55" t="n">
        <v>0</v>
      </c>
    </row>
    <row r="22">
      <c r="B22" s="35" t="inlineStr">
        <is>
          <t>AR</t>
        </is>
      </c>
      <c r="C22" s="36" t="inlineStr">
        <is>
          <t>Aragón</t>
        </is>
      </c>
      <c r="D22" s="54" t="n">
        <v>52500</v>
      </c>
      <c r="E22" s="55" t="n">
        <v>20.5</v>
      </c>
      <c r="F22" s="55">
        <f>E22-E21</f>
        <v/>
      </c>
      <c r="H22" s="35" t="inlineStr">
        <is>
          <t>CE_ML</t>
        </is>
      </c>
      <c r="I22" s="36" t="inlineStr">
        <is>
          <t>Ceuta y Melilla</t>
        </is>
      </c>
      <c r="J22" s="54">
        <f>MIN_PERSONAL</f>
        <v/>
      </c>
      <c r="K22" s="55" t="n">
        <v>60</v>
      </c>
    </row>
    <row r="23">
      <c r="B23" s="35" t="inlineStr">
        <is>
          <t>AR</t>
        </is>
      </c>
      <c r="C23" s="36" t="inlineStr">
        <is>
          <t>Aragón</t>
        </is>
      </c>
      <c r="D23" s="54" t="n">
        <v>60000</v>
      </c>
      <c r="E23" s="55" t="n">
        <v>23</v>
      </c>
      <c r="F23" s="55">
        <f>E23-E22</f>
        <v/>
      </c>
    </row>
    <row r="24">
      <c r="B24" s="35" t="inlineStr">
        <is>
          <t>AR</t>
        </is>
      </c>
      <c r="C24" s="36" t="inlineStr">
        <is>
          <t>Aragón</t>
        </is>
      </c>
      <c r="D24" s="54" t="n">
        <v>80000</v>
      </c>
      <c r="E24" s="55" t="n">
        <v>24</v>
      </c>
      <c r="F24" s="55">
        <f>E24-E23</f>
        <v/>
      </c>
      <c r="I24" s="12" t="inlineStr">
        <is>
          <t>Fuentes: escala estatal, art. 63 LIRPF; autonómicas, Manual práctico de Renta de la AEAT y leyes de cada comunidad. Detalle y notas en params/es/2027/fiscal.json.</t>
        </is>
      </c>
    </row>
    <row r="25">
      <c r="B25" s="35" t="inlineStr">
        <is>
          <t>AR</t>
        </is>
      </c>
      <c r="C25" s="36" t="inlineStr">
        <is>
          <t>Aragón</t>
        </is>
      </c>
      <c r="D25" s="54" t="n">
        <v>90000</v>
      </c>
      <c r="E25" s="55" t="n">
        <v>25</v>
      </c>
      <c r="F25" s="55">
        <f>E25-E24</f>
        <v/>
      </c>
    </row>
    <row r="26">
      <c r="B26" s="35" t="inlineStr">
        <is>
          <t>AR</t>
        </is>
      </c>
      <c r="C26" s="36" t="inlineStr">
        <is>
          <t>Aragón</t>
        </is>
      </c>
      <c r="D26" s="54" t="n">
        <v>130000</v>
      </c>
      <c r="E26" s="55" t="n">
        <v>25.5</v>
      </c>
      <c r="F26" s="55">
        <f>E26-E25</f>
        <v/>
      </c>
    </row>
    <row r="27">
      <c r="B27" s="35" t="inlineStr">
        <is>
          <t>AS</t>
        </is>
      </c>
      <c r="C27" s="36" t="inlineStr">
        <is>
          <t>Principado de Asturias</t>
        </is>
      </c>
      <c r="D27" s="54" t="n">
        <v>0</v>
      </c>
      <c r="E27" s="55" t="n">
        <v>9</v>
      </c>
      <c r="F27" s="55">
        <f>E27</f>
        <v/>
      </c>
    </row>
    <row r="28">
      <c r="B28" s="35" t="inlineStr">
        <is>
          <t>AS</t>
        </is>
      </c>
      <c r="C28" s="36" t="inlineStr">
        <is>
          <t>Principado de Asturias</t>
        </is>
      </c>
      <c r="D28" s="54" t="n">
        <v>12450</v>
      </c>
      <c r="E28" s="55" t="n">
        <v>12</v>
      </c>
      <c r="F28" s="55">
        <f>E28-E27</f>
        <v/>
      </c>
    </row>
    <row r="29">
      <c r="B29" s="35" t="inlineStr">
        <is>
          <t>AS</t>
        </is>
      </c>
      <c r="C29" s="36" t="inlineStr">
        <is>
          <t>Principado de Asturias</t>
        </is>
      </c>
      <c r="D29" s="54" t="n">
        <v>17707.2</v>
      </c>
      <c r="E29" s="55" t="n">
        <v>14</v>
      </c>
      <c r="F29" s="55">
        <f>E29-E28</f>
        <v/>
      </c>
    </row>
    <row r="30">
      <c r="B30" s="35" t="inlineStr">
        <is>
          <t>AS</t>
        </is>
      </c>
      <c r="C30" s="36" t="inlineStr">
        <is>
          <t>Principado de Asturias</t>
        </is>
      </c>
      <c r="D30" s="54" t="n">
        <v>33007.2</v>
      </c>
      <c r="E30" s="55" t="n">
        <v>19.2</v>
      </c>
      <c r="F30" s="55">
        <f>E30-E29</f>
        <v/>
      </c>
    </row>
    <row r="31">
      <c r="B31" s="35" t="inlineStr">
        <is>
          <t>AS</t>
        </is>
      </c>
      <c r="C31" s="36" t="inlineStr">
        <is>
          <t>Principado de Asturias</t>
        </is>
      </c>
      <c r="D31" s="54" t="n">
        <v>53407.2</v>
      </c>
      <c r="E31" s="55" t="n">
        <v>21.5</v>
      </c>
      <c r="F31" s="55">
        <f>E31-E30</f>
        <v/>
      </c>
    </row>
    <row r="32">
      <c r="B32" s="35" t="inlineStr">
        <is>
          <t>AS</t>
        </is>
      </c>
      <c r="C32" s="36" t="inlineStr">
        <is>
          <t>Principado de Asturias</t>
        </is>
      </c>
      <c r="D32" s="54" t="n">
        <v>70000</v>
      </c>
      <c r="E32" s="55" t="n">
        <v>22.5</v>
      </c>
      <c r="F32" s="55">
        <f>E32-E31</f>
        <v/>
      </c>
    </row>
    <row r="33">
      <c r="B33" s="35" t="inlineStr">
        <is>
          <t>AS</t>
        </is>
      </c>
      <c r="C33" s="36" t="inlineStr">
        <is>
          <t>Principado de Asturias</t>
        </is>
      </c>
      <c r="D33" s="54" t="n">
        <v>90000</v>
      </c>
      <c r="E33" s="55" t="n">
        <v>25</v>
      </c>
      <c r="F33" s="55">
        <f>E33-E32</f>
        <v/>
      </c>
    </row>
    <row r="34">
      <c r="B34" s="35" t="inlineStr">
        <is>
          <t>AS</t>
        </is>
      </c>
      <c r="C34" s="36" t="inlineStr">
        <is>
          <t>Principado de Asturias</t>
        </is>
      </c>
      <c r="D34" s="54" t="n">
        <v>175000</v>
      </c>
      <c r="E34" s="55" t="n">
        <v>26</v>
      </c>
      <c r="F34" s="55">
        <f>E34-E33</f>
        <v/>
      </c>
    </row>
    <row r="35">
      <c r="B35" s="35" t="inlineStr">
        <is>
          <t>IB</t>
        </is>
      </c>
      <c r="C35" s="36" t="inlineStr">
        <is>
          <t>Illes Balears</t>
        </is>
      </c>
      <c r="D35" s="54" t="n">
        <v>0</v>
      </c>
      <c r="E35" s="55" t="n">
        <v>9</v>
      </c>
      <c r="F35" s="55">
        <f>E35</f>
        <v/>
      </c>
    </row>
    <row r="36">
      <c r="B36" s="35" t="inlineStr">
        <is>
          <t>IB</t>
        </is>
      </c>
      <c r="C36" s="36" t="inlineStr">
        <is>
          <t>Illes Balears</t>
        </is>
      </c>
      <c r="D36" s="54" t="n">
        <v>10000</v>
      </c>
      <c r="E36" s="55" t="n">
        <v>11.25</v>
      </c>
      <c r="F36" s="55">
        <f>E36-E35</f>
        <v/>
      </c>
    </row>
    <row r="37">
      <c r="B37" s="35" t="inlineStr">
        <is>
          <t>IB</t>
        </is>
      </c>
      <c r="C37" s="36" t="inlineStr">
        <is>
          <t>Illes Balears</t>
        </is>
      </c>
      <c r="D37" s="54" t="n">
        <v>18000</v>
      </c>
      <c r="E37" s="55" t="n">
        <v>14.25</v>
      </c>
      <c r="F37" s="55">
        <f>E37-E36</f>
        <v/>
      </c>
    </row>
    <row r="38">
      <c r="B38" s="35" t="inlineStr">
        <is>
          <t>IB</t>
        </is>
      </c>
      <c r="C38" s="36" t="inlineStr">
        <is>
          <t>Illes Balears</t>
        </is>
      </c>
      <c r="D38" s="54" t="n">
        <v>30000</v>
      </c>
      <c r="E38" s="55" t="n">
        <v>17.5</v>
      </c>
      <c r="F38" s="55">
        <f>E38-E37</f>
        <v/>
      </c>
    </row>
    <row r="39">
      <c r="B39" s="35" t="inlineStr">
        <is>
          <t>IB</t>
        </is>
      </c>
      <c r="C39" s="36" t="inlineStr">
        <is>
          <t>Illes Balears</t>
        </is>
      </c>
      <c r="D39" s="54" t="n">
        <v>48000</v>
      </c>
      <c r="E39" s="55" t="n">
        <v>19</v>
      </c>
      <c r="F39" s="55">
        <f>E39-E38</f>
        <v/>
      </c>
    </row>
    <row r="40">
      <c r="B40" s="35" t="inlineStr">
        <is>
          <t>IB</t>
        </is>
      </c>
      <c r="C40" s="36" t="inlineStr">
        <is>
          <t>Illes Balears</t>
        </is>
      </c>
      <c r="D40" s="54" t="n">
        <v>70000</v>
      </c>
      <c r="E40" s="55" t="n">
        <v>21.75</v>
      </c>
      <c r="F40" s="55">
        <f>E40-E39</f>
        <v/>
      </c>
    </row>
    <row r="41">
      <c r="B41" s="35" t="inlineStr">
        <is>
          <t>IB</t>
        </is>
      </c>
      <c r="C41" s="36" t="inlineStr">
        <is>
          <t>Illes Balears</t>
        </is>
      </c>
      <c r="D41" s="54" t="n">
        <v>90000</v>
      </c>
      <c r="E41" s="55" t="n">
        <v>22.75</v>
      </c>
      <c r="F41" s="55">
        <f>E41-E40</f>
        <v/>
      </c>
    </row>
    <row r="42">
      <c r="B42" s="35" t="inlineStr">
        <is>
          <t>IB</t>
        </is>
      </c>
      <c r="C42" s="36" t="inlineStr">
        <is>
          <t>Illes Balears</t>
        </is>
      </c>
      <c r="D42" s="54" t="n">
        <v>120000</v>
      </c>
      <c r="E42" s="55" t="n">
        <v>23.75</v>
      </c>
      <c r="F42" s="55">
        <f>E42-E41</f>
        <v/>
      </c>
    </row>
    <row r="43">
      <c r="B43" s="35" t="inlineStr">
        <is>
          <t>IB</t>
        </is>
      </c>
      <c r="C43" s="36" t="inlineStr">
        <is>
          <t>Illes Balears</t>
        </is>
      </c>
      <c r="D43" s="54" t="n">
        <v>175000</v>
      </c>
      <c r="E43" s="55" t="n">
        <v>24.75</v>
      </c>
      <c r="F43" s="55">
        <f>E43-E42</f>
        <v/>
      </c>
    </row>
    <row r="44">
      <c r="B44" s="35" t="inlineStr">
        <is>
          <t>CN</t>
        </is>
      </c>
      <c r="C44" s="36" t="inlineStr">
        <is>
          <t>Canarias</t>
        </is>
      </c>
      <c r="D44" s="54" t="n">
        <v>0</v>
      </c>
      <c r="E44" s="55" t="n">
        <v>9</v>
      </c>
      <c r="F44" s="55">
        <f>E44</f>
        <v/>
      </c>
    </row>
    <row r="45">
      <c r="B45" s="35" t="inlineStr">
        <is>
          <t>CN</t>
        </is>
      </c>
      <c r="C45" s="36" t="inlineStr">
        <is>
          <t>Canarias</t>
        </is>
      </c>
      <c r="D45" s="54" t="n">
        <v>13748</v>
      </c>
      <c r="E45" s="55" t="n">
        <v>11.5</v>
      </c>
      <c r="F45" s="55">
        <f>E45-E44</f>
        <v/>
      </c>
    </row>
    <row r="46">
      <c r="B46" s="35" t="inlineStr">
        <is>
          <t>CN</t>
        </is>
      </c>
      <c r="C46" s="36" t="inlineStr">
        <is>
          <t>Canarias</t>
        </is>
      </c>
      <c r="D46" s="54" t="n">
        <v>19422</v>
      </c>
      <c r="E46" s="55" t="n">
        <v>14</v>
      </c>
      <c r="F46" s="55">
        <f>E46-E45</f>
        <v/>
      </c>
    </row>
    <row r="47">
      <c r="B47" s="35" t="inlineStr">
        <is>
          <t>CN</t>
        </is>
      </c>
      <c r="C47" s="36" t="inlineStr">
        <is>
          <t>Canarias</t>
        </is>
      </c>
      <c r="D47" s="54" t="n">
        <v>35924</v>
      </c>
      <c r="E47" s="55" t="n">
        <v>18.5</v>
      </c>
      <c r="F47" s="55">
        <f>E47-E46</f>
        <v/>
      </c>
    </row>
    <row r="48">
      <c r="B48" s="35" t="inlineStr">
        <is>
          <t>CN</t>
        </is>
      </c>
      <c r="C48" s="36" t="inlineStr">
        <is>
          <t>Canarias</t>
        </is>
      </c>
      <c r="D48" s="54" t="n">
        <v>57566</v>
      </c>
      <c r="E48" s="55" t="n">
        <v>23.5</v>
      </c>
      <c r="F48" s="55">
        <f>E48-E47</f>
        <v/>
      </c>
    </row>
    <row r="49">
      <c r="B49" s="35" t="inlineStr">
        <is>
          <t>CN</t>
        </is>
      </c>
      <c r="C49" s="36" t="inlineStr">
        <is>
          <t>Canarias</t>
        </is>
      </c>
      <c r="D49" s="54" t="n">
        <v>93268</v>
      </c>
      <c r="E49" s="55" t="n">
        <v>25</v>
      </c>
      <c r="F49" s="55">
        <f>E49-E48</f>
        <v/>
      </c>
    </row>
    <row r="50">
      <c r="B50" s="35" t="inlineStr">
        <is>
          <t>CN</t>
        </is>
      </c>
      <c r="C50" s="36" t="inlineStr">
        <is>
          <t>Canarias</t>
        </is>
      </c>
      <c r="D50" s="54" t="n">
        <v>123745</v>
      </c>
      <c r="E50" s="55" t="n">
        <v>26</v>
      </c>
      <c r="F50" s="55">
        <f>E50-E49</f>
        <v/>
      </c>
    </row>
    <row r="51">
      <c r="B51" s="35" t="inlineStr">
        <is>
          <t>CB</t>
        </is>
      </c>
      <c r="C51" s="36" t="inlineStr">
        <is>
          <t>Cantabria</t>
        </is>
      </c>
      <c r="D51" s="54" t="n">
        <v>0</v>
      </c>
      <c r="E51" s="55" t="n">
        <v>8.5</v>
      </c>
      <c r="F51" s="55">
        <f>E51</f>
        <v/>
      </c>
    </row>
    <row r="52">
      <c r="B52" s="35" t="inlineStr">
        <is>
          <t>CB</t>
        </is>
      </c>
      <c r="C52" s="36" t="inlineStr">
        <is>
          <t>Cantabria</t>
        </is>
      </c>
      <c r="D52" s="54" t="n">
        <v>13000</v>
      </c>
      <c r="E52" s="55" t="n">
        <v>11</v>
      </c>
      <c r="F52" s="55">
        <f>E52-E51</f>
        <v/>
      </c>
    </row>
    <row r="53">
      <c r="B53" s="35" t="inlineStr">
        <is>
          <t>CB</t>
        </is>
      </c>
      <c r="C53" s="36" t="inlineStr">
        <is>
          <t>Cantabria</t>
        </is>
      </c>
      <c r="D53" s="54" t="n">
        <v>21000</v>
      </c>
      <c r="E53" s="55" t="n">
        <v>14.5</v>
      </c>
      <c r="F53" s="55">
        <f>E53-E52</f>
        <v/>
      </c>
    </row>
    <row r="54">
      <c r="B54" s="35" t="inlineStr">
        <is>
          <t>CB</t>
        </is>
      </c>
      <c r="C54" s="36" t="inlineStr">
        <is>
          <t>Cantabria</t>
        </is>
      </c>
      <c r="D54" s="54" t="n">
        <v>35200</v>
      </c>
      <c r="E54" s="55" t="n">
        <v>18</v>
      </c>
      <c r="F54" s="55">
        <f>E54-E53</f>
        <v/>
      </c>
    </row>
    <row r="55">
      <c r="B55" s="35" t="inlineStr">
        <is>
          <t>CB</t>
        </is>
      </c>
      <c r="C55" s="36" t="inlineStr">
        <is>
          <t>Cantabria</t>
        </is>
      </c>
      <c r="D55" s="54" t="n">
        <v>60000</v>
      </c>
      <c r="E55" s="55" t="n">
        <v>22.5</v>
      </c>
      <c r="F55" s="55">
        <f>E55-E54</f>
        <v/>
      </c>
    </row>
    <row r="56">
      <c r="B56" s="35" t="inlineStr">
        <is>
          <t>CB</t>
        </is>
      </c>
      <c r="C56" s="36" t="inlineStr">
        <is>
          <t>Cantabria</t>
        </is>
      </c>
      <c r="D56" s="54" t="n">
        <v>90000</v>
      </c>
      <c r="E56" s="55" t="n">
        <v>24.5</v>
      </c>
      <c r="F56" s="55">
        <f>E56-E55</f>
        <v/>
      </c>
    </row>
    <row r="57">
      <c r="B57" s="35" t="inlineStr">
        <is>
          <t>CL</t>
        </is>
      </c>
      <c r="C57" s="36" t="inlineStr">
        <is>
          <t>Castilla y León</t>
        </is>
      </c>
      <c r="D57" s="54" t="n">
        <v>0</v>
      </c>
      <c r="E57" s="55" t="n">
        <v>9</v>
      </c>
      <c r="F57" s="55">
        <f>E57</f>
        <v/>
      </c>
    </row>
    <row r="58">
      <c r="B58" s="35" t="inlineStr">
        <is>
          <t>CL</t>
        </is>
      </c>
      <c r="C58" s="36" t="inlineStr">
        <is>
          <t>Castilla y León</t>
        </is>
      </c>
      <c r="D58" s="54" t="n">
        <v>12450</v>
      </c>
      <c r="E58" s="55" t="n">
        <v>12</v>
      </c>
      <c r="F58" s="55">
        <f>E58-E57</f>
        <v/>
      </c>
    </row>
    <row r="59">
      <c r="B59" s="35" t="inlineStr">
        <is>
          <t>CL</t>
        </is>
      </c>
      <c r="C59" s="36" t="inlineStr">
        <is>
          <t>Castilla y León</t>
        </is>
      </c>
      <c r="D59" s="54" t="n">
        <v>20200</v>
      </c>
      <c r="E59" s="55" t="n">
        <v>14</v>
      </c>
      <c r="F59" s="55">
        <f>E59-E58</f>
        <v/>
      </c>
    </row>
    <row r="60">
      <c r="B60" s="35" t="inlineStr">
        <is>
          <t>CL</t>
        </is>
      </c>
      <c r="C60" s="36" t="inlineStr">
        <is>
          <t>Castilla y León</t>
        </is>
      </c>
      <c r="D60" s="54" t="n">
        <v>35200</v>
      </c>
      <c r="E60" s="55" t="n">
        <v>18.5</v>
      </c>
      <c r="F60" s="55">
        <f>E60-E59</f>
        <v/>
      </c>
    </row>
    <row r="61">
      <c r="B61" s="35" t="inlineStr">
        <is>
          <t>CL</t>
        </is>
      </c>
      <c r="C61" s="36" t="inlineStr">
        <is>
          <t>Castilla y León</t>
        </is>
      </c>
      <c r="D61" s="54" t="n">
        <v>53407.2</v>
      </c>
      <c r="E61" s="55" t="n">
        <v>21.5</v>
      </c>
      <c r="F61" s="55">
        <f>E61-E60</f>
        <v/>
      </c>
    </row>
    <row r="62">
      <c r="B62" s="35" t="inlineStr">
        <is>
          <t>CM</t>
        </is>
      </c>
      <c r="C62" s="36" t="inlineStr">
        <is>
          <t>Castilla-La Mancha</t>
        </is>
      </c>
      <c r="D62" s="54" t="n">
        <v>0</v>
      </c>
      <c r="E62" s="55" t="n">
        <v>9.5</v>
      </c>
      <c r="F62" s="55">
        <f>E62</f>
        <v/>
      </c>
    </row>
    <row r="63">
      <c r="B63" s="35" t="inlineStr">
        <is>
          <t>CM</t>
        </is>
      </c>
      <c r="C63" s="36" t="inlineStr">
        <is>
          <t>Castilla-La Mancha</t>
        </is>
      </c>
      <c r="D63" s="54" t="n">
        <v>12450</v>
      </c>
      <c r="E63" s="55" t="n">
        <v>12</v>
      </c>
      <c r="F63" s="55">
        <f>E63-E62</f>
        <v/>
      </c>
    </row>
    <row r="64">
      <c r="B64" s="35" t="inlineStr">
        <is>
          <t>CM</t>
        </is>
      </c>
      <c r="C64" s="36" t="inlineStr">
        <is>
          <t>Castilla-La Mancha</t>
        </is>
      </c>
      <c r="D64" s="54" t="n">
        <v>20200</v>
      </c>
      <c r="E64" s="55" t="n">
        <v>15</v>
      </c>
      <c r="F64" s="55">
        <f>E64-E63</f>
        <v/>
      </c>
    </row>
    <row r="65">
      <c r="B65" s="35" t="inlineStr">
        <is>
          <t>CM</t>
        </is>
      </c>
      <c r="C65" s="36" t="inlineStr">
        <is>
          <t>Castilla-La Mancha</t>
        </is>
      </c>
      <c r="D65" s="54" t="n">
        <v>35200</v>
      </c>
      <c r="E65" s="55" t="n">
        <v>18.5</v>
      </c>
      <c r="F65" s="55">
        <f>E65-E64</f>
        <v/>
      </c>
    </row>
    <row r="66">
      <c r="B66" s="35" t="inlineStr">
        <is>
          <t>CM</t>
        </is>
      </c>
      <c r="C66" s="36" t="inlineStr">
        <is>
          <t>Castilla-La Mancha</t>
        </is>
      </c>
      <c r="D66" s="54" t="n">
        <v>60000</v>
      </c>
      <c r="E66" s="55" t="n">
        <v>22.5</v>
      </c>
      <c r="F66" s="55">
        <f>E66-E65</f>
        <v/>
      </c>
    </row>
    <row r="67">
      <c r="B67" s="35" t="inlineStr">
        <is>
          <t>CT</t>
        </is>
      </c>
      <c r="C67" s="36" t="inlineStr">
        <is>
          <t>Cataluña</t>
        </is>
      </c>
      <c r="D67" s="54" t="n">
        <v>0</v>
      </c>
      <c r="E67" s="55" t="n">
        <v>9.5</v>
      </c>
      <c r="F67" s="55">
        <f>E67</f>
        <v/>
      </c>
    </row>
    <row r="68">
      <c r="B68" s="35" t="inlineStr">
        <is>
          <t>CT</t>
        </is>
      </c>
      <c r="C68" s="36" t="inlineStr">
        <is>
          <t>Cataluña</t>
        </is>
      </c>
      <c r="D68" s="54" t="n">
        <v>12500</v>
      </c>
      <c r="E68" s="55" t="n">
        <v>12.5</v>
      </c>
      <c r="F68" s="55">
        <f>E68-E67</f>
        <v/>
      </c>
    </row>
    <row r="69">
      <c r="B69" s="35" t="inlineStr">
        <is>
          <t>CT</t>
        </is>
      </c>
      <c r="C69" s="36" t="inlineStr">
        <is>
          <t>Cataluña</t>
        </is>
      </c>
      <c r="D69" s="54" t="n">
        <v>22000</v>
      </c>
      <c r="E69" s="55" t="n">
        <v>16</v>
      </c>
      <c r="F69" s="55">
        <f>E69-E68</f>
        <v/>
      </c>
    </row>
    <row r="70">
      <c r="B70" s="35" t="inlineStr">
        <is>
          <t>CT</t>
        </is>
      </c>
      <c r="C70" s="36" t="inlineStr">
        <is>
          <t>Cataluña</t>
        </is>
      </c>
      <c r="D70" s="54" t="n">
        <v>33000</v>
      </c>
      <c r="E70" s="55" t="n">
        <v>19</v>
      </c>
      <c r="F70" s="55">
        <f>E70-E69</f>
        <v/>
      </c>
    </row>
    <row r="71">
      <c r="B71" s="35" t="inlineStr">
        <is>
          <t>CT</t>
        </is>
      </c>
      <c r="C71" s="36" t="inlineStr">
        <is>
          <t>Cataluña</t>
        </is>
      </c>
      <c r="D71" s="54" t="n">
        <v>53000</v>
      </c>
      <c r="E71" s="55" t="n">
        <v>21.5</v>
      </c>
      <c r="F71" s="55">
        <f>E71-E70</f>
        <v/>
      </c>
    </row>
    <row r="72">
      <c r="B72" s="35" t="inlineStr">
        <is>
          <t>CT</t>
        </is>
      </c>
      <c r="C72" s="36" t="inlineStr">
        <is>
          <t>Cataluña</t>
        </is>
      </c>
      <c r="D72" s="54" t="n">
        <v>90000</v>
      </c>
      <c r="E72" s="55" t="n">
        <v>23.5</v>
      </c>
      <c r="F72" s="55">
        <f>E72-E71</f>
        <v/>
      </c>
    </row>
    <row r="73">
      <c r="B73" s="35" t="inlineStr">
        <is>
          <t>CT</t>
        </is>
      </c>
      <c r="C73" s="36" t="inlineStr">
        <is>
          <t>Cataluña</t>
        </is>
      </c>
      <c r="D73" s="54" t="n">
        <v>120000</v>
      </c>
      <c r="E73" s="55" t="n">
        <v>24.5</v>
      </c>
      <c r="F73" s="55">
        <f>E73-E72</f>
        <v/>
      </c>
    </row>
    <row r="74">
      <c r="B74" s="35" t="inlineStr">
        <is>
          <t>CT</t>
        </is>
      </c>
      <c r="C74" s="36" t="inlineStr">
        <is>
          <t>Cataluña</t>
        </is>
      </c>
      <c r="D74" s="54" t="n">
        <v>175000</v>
      </c>
      <c r="E74" s="55" t="n">
        <v>25.5</v>
      </c>
      <c r="F74" s="55">
        <f>E74-E73</f>
        <v/>
      </c>
    </row>
    <row r="75">
      <c r="B75" s="35" t="inlineStr">
        <is>
          <t>EX</t>
        </is>
      </c>
      <c r="C75" s="36" t="inlineStr">
        <is>
          <t>Extremadura</t>
        </is>
      </c>
      <c r="D75" s="54" t="n">
        <v>0</v>
      </c>
      <c r="E75" s="55" t="n">
        <v>7.75</v>
      </c>
      <c r="F75" s="55">
        <f>E75</f>
        <v/>
      </c>
    </row>
    <row r="76">
      <c r="B76" s="35" t="inlineStr">
        <is>
          <t>EX</t>
        </is>
      </c>
      <c r="C76" s="36" t="inlineStr">
        <is>
          <t>Extremadura</t>
        </is>
      </c>
      <c r="D76" s="54" t="n">
        <v>12450</v>
      </c>
      <c r="E76" s="55" t="n">
        <v>9.75</v>
      </c>
      <c r="F76" s="55">
        <f>E76-E75</f>
        <v/>
      </c>
    </row>
    <row r="77">
      <c r="B77" s="35" t="inlineStr">
        <is>
          <t>EX</t>
        </is>
      </c>
      <c r="C77" s="36" t="inlineStr">
        <is>
          <t>Extremadura</t>
        </is>
      </c>
      <c r="D77" s="54" t="n">
        <v>20200</v>
      </c>
      <c r="E77" s="55" t="n">
        <v>16</v>
      </c>
      <c r="F77" s="55">
        <f>E77-E76</f>
        <v/>
      </c>
    </row>
    <row r="78">
      <c r="B78" s="35" t="inlineStr">
        <is>
          <t>EX</t>
        </is>
      </c>
      <c r="C78" s="36" t="inlineStr">
        <is>
          <t>Extremadura</t>
        </is>
      </c>
      <c r="D78" s="54" t="n">
        <v>24200</v>
      </c>
      <c r="E78" s="55" t="n">
        <v>17.5</v>
      </c>
      <c r="F78" s="55">
        <f>E78-E77</f>
        <v/>
      </c>
    </row>
    <row r="79">
      <c r="B79" s="35" t="inlineStr">
        <is>
          <t>EX</t>
        </is>
      </c>
      <c r="C79" s="36" t="inlineStr">
        <is>
          <t>Extremadura</t>
        </is>
      </c>
      <c r="D79" s="54" t="n">
        <v>35200</v>
      </c>
      <c r="E79" s="55" t="n">
        <v>21</v>
      </c>
      <c r="F79" s="55">
        <f>E79-E78</f>
        <v/>
      </c>
    </row>
    <row r="80">
      <c r="B80" s="35" t="inlineStr">
        <is>
          <t>EX</t>
        </is>
      </c>
      <c r="C80" s="36" t="inlineStr">
        <is>
          <t>Extremadura</t>
        </is>
      </c>
      <c r="D80" s="54" t="n">
        <v>60000</v>
      </c>
      <c r="E80" s="55" t="n">
        <v>23.5</v>
      </c>
      <c r="F80" s="55">
        <f>E80-E79</f>
        <v/>
      </c>
    </row>
    <row r="81">
      <c r="B81" s="35" t="inlineStr">
        <is>
          <t>EX</t>
        </is>
      </c>
      <c r="C81" s="36" t="inlineStr">
        <is>
          <t>Extremadura</t>
        </is>
      </c>
      <c r="D81" s="54" t="n">
        <v>80200</v>
      </c>
      <c r="E81" s="55" t="n">
        <v>24</v>
      </c>
      <c r="F81" s="55">
        <f>E81-E80</f>
        <v/>
      </c>
    </row>
    <row r="82">
      <c r="B82" s="35" t="inlineStr">
        <is>
          <t>EX</t>
        </is>
      </c>
      <c r="C82" s="36" t="inlineStr">
        <is>
          <t>Extremadura</t>
        </is>
      </c>
      <c r="D82" s="54" t="n">
        <v>99200</v>
      </c>
      <c r="E82" s="55" t="n">
        <v>24.5</v>
      </c>
      <c r="F82" s="55">
        <f>E82-E81</f>
        <v/>
      </c>
    </row>
    <row r="83">
      <c r="B83" s="35" t="inlineStr">
        <is>
          <t>EX</t>
        </is>
      </c>
      <c r="C83" s="36" t="inlineStr">
        <is>
          <t>Extremadura</t>
        </is>
      </c>
      <c r="D83" s="54" t="n">
        <v>120200</v>
      </c>
      <c r="E83" s="55" t="n">
        <v>25</v>
      </c>
      <c r="F83" s="55">
        <f>E83-E82</f>
        <v/>
      </c>
    </row>
    <row r="84">
      <c r="B84" s="35" t="inlineStr">
        <is>
          <t>GA</t>
        </is>
      </c>
      <c r="C84" s="36" t="inlineStr">
        <is>
          <t>Galicia</t>
        </is>
      </c>
      <c r="D84" s="54" t="n">
        <v>0</v>
      </c>
      <c r="E84" s="55" t="n">
        <v>9</v>
      </c>
      <c r="F84" s="55">
        <f>E84</f>
        <v/>
      </c>
    </row>
    <row r="85">
      <c r="B85" s="35" t="inlineStr">
        <is>
          <t>GA</t>
        </is>
      </c>
      <c r="C85" s="36" t="inlineStr">
        <is>
          <t>Galicia</t>
        </is>
      </c>
      <c r="D85" s="54" t="n">
        <v>12985.35</v>
      </c>
      <c r="E85" s="55" t="n">
        <v>11.65</v>
      </c>
      <c r="F85" s="55">
        <f>E85-E84</f>
        <v/>
      </c>
    </row>
    <row r="86">
      <c r="B86" s="35" t="inlineStr">
        <is>
          <t>GA</t>
        </is>
      </c>
      <c r="C86" s="36" t="inlineStr">
        <is>
          <t>Galicia</t>
        </is>
      </c>
      <c r="D86" s="54" t="n">
        <v>21068.6</v>
      </c>
      <c r="E86" s="55" t="n">
        <v>14.9</v>
      </c>
      <c r="F86" s="55">
        <f>E86-E85</f>
        <v/>
      </c>
    </row>
    <row r="87">
      <c r="B87" s="35" t="inlineStr">
        <is>
          <t>GA</t>
        </is>
      </c>
      <c r="C87" s="36" t="inlineStr">
        <is>
          <t>Galicia</t>
        </is>
      </c>
      <c r="D87" s="54" t="n">
        <v>35200</v>
      </c>
      <c r="E87" s="55" t="n">
        <v>18.4</v>
      </c>
      <c r="F87" s="55">
        <f>E87-E86</f>
        <v/>
      </c>
    </row>
    <row r="88">
      <c r="B88" s="35" t="inlineStr">
        <is>
          <t>GA</t>
        </is>
      </c>
      <c r="C88" s="36" t="inlineStr">
        <is>
          <t>Galicia</t>
        </is>
      </c>
      <c r="D88" s="54" t="n">
        <v>60000</v>
      </c>
      <c r="E88" s="55" t="n">
        <v>22.5</v>
      </c>
      <c r="F88" s="55">
        <f>E88-E87</f>
        <v/>
      </c>
    </row>
    <row r="89">
      <c r="B89" s="35" t="inlineStr">
        <is>
          <t>MD</t>
        </is>
      </c>
      <c r="C89" s="36" t="inlineStr">
        <is>
          <t>Comunidad de Madrid</t>
        </is>
      </c>
      <c r="D89" s="54" t="n">
        <v>0</v>
      </c>
      <c r="E89" s="55" t="n">
        <v>8.5</v>
      </c>
      <c r="F89" s="55">
        <f>E89</f>
        <v/>
      </c>
    </row>
    <row r="90">
      <c r="B90" s="35" t="inlineStr">
        <is>
          <t>MD</t>
        </is>
      </c>
      <c r="C90" s="36" t="inlineStr">
        <is>
          <t>Comunidad de Madrid</t>
        </is>
      </c>
      <c r="D90" s="54" t="n">
        <v>13362.22</v>
      </c>
      <c r="E90" s="55" t="n">
        <v>10.7</v>
      </c>
      <c r="F90" s="55">
        <f>E90-E89</f>
        <v/>
      </c>
    </row>
    <row r="91">
      <c r="B91" s="35" t="inlineStr">
        <is>
          <t>MD</t>
        </is>
      </c>
      <c r="C91" s="36" t="inlineStr">
        <is>
          <t>Comunidad de Madrid</t>
        </is>
      </c>
      <c r="D91" s="54" t="n">
        <v>19004.63</v>
      </c>
      <c r="E91" s="55" t="n">
        <v>12.8</v>
      </c>
      <c r="F91" s="55">
        <f>E91-E90</f>
        <v/>
      </c>
    </row>
    <row r="92">
      <c r="B92" s="35" t="inlineStr">
        <is>
          <t>MD</t>
        </is>
      </c>
      <c r="C92" s="36" t="inlineStr">
        <is>
          <t>Comunidad de Madrid</t>
        </is>
      </c>
      <c r="D92" s="54" t="n">
        <v>35425.68</v>
      </c>
      <c r="E92" s="55" t="n">
        <v>17.4</v>
      </c>
      <c r="F92" s="55">
        <f>E92-E91</f>
        <v/>
      </c>
    </row>
    <row r="93">
      <c r="B93" s="35" t="inlineStr">
        <is>
          <t>MD</t>
        </is>
      </c>
      <c r="C93" s="36" t="inlineStr">
        <is>
          <t>Comunidad de Madrid</t>
        </is>
      </c>
      <c r="D93" s="54" t="n">
        <v>57320.4</v>
      </c>
      <c r="E93" s="55" t="n">
        <v>20.5</v>
      </c>
      <c r="F93" s="55">
        <f>E93-E92</f>
        <v/>
      </c>
    </row>
    <row r="94">
      <c r="B94" s="35" t="inlineStr">
        <is>
          <t>MC</t>
        </is>
      </c>
      <c r="C94" s="36" t="inlineStr">
        <is>
          <t>Región de Murcia</t>
        </is>
      </c>
      <c r="D94" s="54" t="n">
        <v>0</v>
      </c>
      <c r="E94" s="55" t="n">
        <v>9.5</v>
      </c>
      <c r="F94" s="55">
        <f>E94</f>
        <v/>
      </c>
    </row>
    <row r="95">
      <c r="B95" s="35" t="inlineStr">
        <is>
          <t>MC</t>
        </is>
      </c>
      <c r="C95" s="36" t="inlineStr">
        <is>
          <t>Región de Murcia</t>
        </is>
      </c>
      <c r="D95" s="54" t="n">
        <v>12450</v>
      </c>
      <c r="E95" s="55" t="n">
        <v>11.2</v>
      </c>
      <c r="F95" s="55">
        <f>E95-E94</f>
        <v/>
      </c>
    </row>
    <row r="96">
      <c r="B96" s="35" t="inlineStr">
        <is>
          <t>MC</t>
        </is>
      </c>
      <c r="C96" s="36" t="inlineStr">
        <is>
          <t>Región de Murcia</t>
        </is>
      </c>
      <c r="D96" s="54" t="n">
        <v>20200</v>
      </c>
      <c r="E96" s="55" t="n">
        <v>13.3</v>
      </c>
      <c r="F96" s="55">
        <f>E96-E95</f>
        <v/>
      </c>
    </row>
    <row r="97">
      <c r="B97" s="35" t="inlineStr">
        <is>
          <t>MC</t>
        </is>
      </c>
      <c r="C97" s="36" t="inlineStr">
        <is>
          <t>Región de Murcia</t>
        </is>
      </c>
      <c r="D97" s="54" t="n">
        <v>34000</v>
      </c>
      <c r="E97" s="55" t="n">
        <v>17.9</v>
      </c>
      <c r="F97" s="55">
        <f>E97-E96</f>
        <v/>
      </c>
    </row>
    <row r="98">
      <c r="B98" s="35" t="inlineStr">
        <is>
          <t>MC</t>
        </is>
      </c>
      <c r="C98" s="36" t="inlineStr">
        <is>
          <t>Región de Murcia</t>
        </is>
      </c>
      <c r="D98" s="54" t="n">
        <v>60000</v>
      </c>
      <c r="E98" s="55" t="n">
        <v>22.5</v>
      </c>
      <c r="F98" s="55">
        <f>E98-E97</f>
        <v/>
      </c>
    </row>
    <row r="99">
      <c r="B99" s="35" t="inlineStr">
        <is>
          <t>RI</t>
        </is>
      </c>
      <c r="C99" s="36" t="inlineStr">
        <is>
          <t>La Rioja</t>
        </is>
      </c>
      <c r="D99" s="54" t="n">
        <v>0</v>
      </c>
      <c r="E99" s="55" t="n">
        <v>8</v>
      </c>
      <c r="F99" s="55">
        <f>E99</f>
        <v/>
      </c>
    </row>
    <row r="100">
      <c r="B100" s="35" t="inlineStr">
        <is>
          <t>RI</t>
        </is>
      </c>
      <c r="C100" s="36" t="inlineStr">
        <is>
          <t>La Rioja</t>
        </is>
      </c>
      <c r="D100" s="54" t="n">
        <v>12450</v>
      </c>
      <c r="E100" s="55" t="n">
        <v>10.6</v>
      </c>
      <c r="F100" s="55">
        <f>E100-E99</f>
        <v/>
      </c>
    </row>
    <row r="101">
      <c r="B101" s="35" t="inlineStr">
        <is>
          <t>RI</t>
        </is>
      </c>
      <c r="C101" s="36" t="inlineStr">
        <is>
          <t>La Rioja</t>
        </is>
      </c>
      <c r="D101" s="54" t="n">
        <v>20200</v>
      </c>
      <c r="E101" s="55" t="n">
        <v>13.6</v>
      </c>
      <c r="F101" s="55">
        <f>E101-E100</f>
        <v/>
      </c>
    </row>
    <row r="102">
      <c r="B102" s="35" t="inlineStr">
        <is>
          <t>RI</t>
        </is>
      </c>
      <c r="C102" s="36" t="inlineStr">
        <is>
          <t>La Rioja</t>
        </is>
      </c>
      <c r="D102" s="54" t="n">
        <v>35200</v>
      </c>
      <c r="E102" s="55" t="n">
        <v>17.8</v>
      </c>
      <c r="F102" s="55">
        <f>E102-E101</f>
        <v/>
      </c>
    </row>
    <row r="103">
      <c r="B103" s="35" t="inlineStr">
        <is>
          <t>RI</t>
        </is>
      </c>
      <c r="C103" s="36" t="inlineStr">
        <is>
          <t>La Rioja</t>
        </is>
      </c>
      <c r="D103" s="54" t="n">
        <v>40000</v>
      </c>
      <c r="E103" s="55" t="n">
        <v>18.3</v>
      </c>
      <c r="F103" s="55">
        <f>E103-E102</f>
        <v/>
      </c>
    </row>
    <row r="104">
      <c r="B104" s="35" t="inlineStr">
        <is>
          <t>RI</t>
        </is>
      </c>
      <c r="C104" s="36" t="inlineStr">
        <is>
          <t>La Rioja</t>
        </is>
      </c>
      <c r="D104" s="54" t="n">
        <v>50000</v>
      </c>
      <c r="E104" s="55" t="n">
        <v>19</v>
      </c>
      <c r="F104" s="55">
        <f>E104-E103</f>
        <v/>
      </c>
    </row>
    <row r="105">
      <c r="B105" s="35" t="inlineStr">
        <is>
          <t>RI</t>
        </is>
      </c>
      <c r="C105" s="36" t="inlineStr">
        <is>
          <t>La Rioja</t>
        </is>
      </c>
      <c r="D105" s="54" t="n">
        <v>60000</v>
      </c>
      <c r="E105" s="55" t="n">
        <v>24.5</v>
      </c>
      <c r="F105" s="55">
        <f>E105-E104</f>
        <v/>
      </c>
    </row>
    <row r="106">
      <c r="B106" s="35" t="inlineStr">
        <is>
          <t>RI</t>
        </is>
      </c>
      <c r="C106" s="36" t="inlineStr">
        <is>
          <t>La Rioja</t>
        </is>
      </c>
      <c r="D106" s="54" t="n">
        <v>120000</v>
      </c>
      <c r="E106" s="55" t="n">
        <v>27</v>
      </c>
      <c r="F106" s="55">
        <f>E106-E105</f>
        <v/>
      </c>
    </row>
    <row r="107">
      <c r="B107" s="35" t="inlineStr">
        <is>
          <t>VC</t>
        </is>
      </c>
      <c r="C107" s="36" t="inlineStr">
        <is>
          <t>Comunitat Valenciana</t>
        </is>
      </c>
      <c r="D107" s="54" t="n">
        <v>0</v>
      </c>
      <c r="E107" s="55" t="n">
        <v>8.699999999999999</v>
      </c>
      <c r="F107" s="55">
        <f>E107</f>
        <v/>
      </c>
    </row>
    <row r="108">
      <c r="B108" s="35" t="inlineStr">
        <is>
          <t>VC</t>
        </is>
      </c>
      <c r="C108" s="36" t="inlineStr">
        <is>
          <t>Comunitat Valenciana</t>
        </is>
      </c>
      <c r="D108" s="54" t="n">
        <v>12000</v>
      </c>
      <c r="E108" s="55" t="n">
        <v>11.6</v>
      </c>
      <c r="F108" s="55">
        <f>E108-E107</f>
        <v/>
      </c>
    </row>
    <row r="109">
      <c r="B109" s="35" t="inlineStr">
        <is>
          <t>VC</t>
        </is>
      </c>
      <c r="C109" s="36" t="inlineStr">
        <is>
          <t>Comunitat Valenciana</t>
        </is>
      </c>
      <c r="D109" s="54" t="n">
        <v>22000</v>
      </c>
      <c r="E109" s="55" t="n">
        <v>14.5</v>
      </c>
      <c r="F109" s="55">
        <f>E109-E108</f>
        <v/>
      </c>
    </row>
    <row r="110">
      <c r="B110" s="35" t="inlineStr">
        <is>
          <t>VC</t>
        </is>
      </c>
      <c r="C110" s="36" t="inlineStr">
        <is>
          <t>Comunitat Valenciana</t>
        </is>
      </c>
      <c r="D110" s="54" t="n">
        <v>32000</v>
      </c>
      <c r="E110" s="55" t="n">
        <v>16.9</v>
      </c>
      <c r="F110" s="55">
        <f>E110-E109</f>
        <v/>
      </c>
    </row>
    <row r="111">
      <c r="B111" s="35" t="inlineStr">
        <is>
          <t>VC</t>
        </is>
      </c>
      <c r="C111" s="36" t="inlineStr">
        <is>
          <t>Comunitat Valenciana</t>
        </is>
      </c>
      <c r="D111" s="54" t="n">
        <v>42000</v>
      </c>
      <c r="E111" s="55" t="n">
        <v>19.3</v>
      </c>
      <c r="F111" s="55">
        <f>E111-E110</f>
        <v/>
      </c>
    </row>
    <row r="112">
      <c r="B112" s="35" t="inlineStr">
        <is>
          <t>VC</t>
        </is>
      </c>
      <c r="C112" s="36" t="inlineStr">
        <is>
          <t>Comunitat Valenciana</t>
        </is>
      </c>
      <c r="D112" s="54" t="n">
        <v>52000</v>
      </c>
      <c r="E112" s="55" t="n">
        <v>21.8</v>
      </c>
      <c r="F112" s="55">
        <f>E112-E111</f>
        <v/>
      </c>
    </row>
    <row r="113">
      <c r="B113" s="35" t="inlineStr">
        <is>
          <t>VC</t>
        </is>
      </c>
      <c r="C113" s="36" t="inlineStr">
        <is>
          <t>Comunitat Valenciana</t>
        </is>
      </c>
      <c r="D113" s="54" t="n">
        <v>62000</v>
      </c>
      <c r="E113" s="55" t="n">
        <v>24.3</v>
      </c>
      <c r="F113" s="55">
        <f>E113-E112</f>
        <v/>
      </c>
    </row>
    <row r="114">
      <c r="B114" s="35" t="inlineStr">
        <is>
          <t>VC</t>
        </is>
      </c>
      <c r="C114" s="36" t="inlineStr">
        <is>
          <t>Comunitat Valenciana</t>
        </is>
      </c>
      <c r="D114" s="54" t="n">
        <v>72000</v>
      </c>
      <c r="E114" s="55" t="n">
        <v>26</v>
      </c>
      <c r="F114" s="55">
        <f>E114-E113</f>
        <v/>
      </c>
    </row>
    <row r="115">
      <c r="B115" s="35" t="inlineStr">
        <is>
          <t>VC</t>
        </is>
      </c>
      <c r="C115" s="36" t="inlineStr">
        <is>
          <t>Comunitat Valenciana</t>
        </is>
      </c>
      <c r="D115" s="54" t="n">
        <v>100000</v>
      </c>
      <c r="E115" s="55" t="n">
        <v>27.25</v>
      </c>
      <c r="F115" s="55">
        <f>E115-E114</f>
        <v/>
      </c>
    </row>
    <row r="116">
      <c r="B116" s="35" t="inlineStr">
        <is>
          <t>VC</t>
        </is>
      </c>
      <c r="C116" s="36" t="inlineStr">
        <is>
          <t>Comunitat Valenciana</t>
        </is>
      </c>
      <c r="D116" s="54" t="n">
        <v>150000</v>
      </c>
      <c r="E116" s="55" t="n">
        <v>28.25</v>
      </c>
      <c r="F116" s="55">
        <f>E116-E115</f>
        <v/>
      </c>
    </row>
    <row r="117">
      <c r="B117" s="35" t="inlineStr">
        <is>
          <t>VC</t>
        </is>
      </c>
      <c r="C117" s="36" t="inlineStr">
        <is>
          <t>Comunitat Valenciana</t>
        </is>
      </c>
      <c r="D117" s="54" t="n">
        <v>200000</v>
      </c>
      <c r="E117" s="55" t="n">
        <v>29.25</v>
      </c>
      <c r="F117" s="55">
        <f>E117-E116</f>
        <v/>
      </c>
    </row>
    <row r="118">
      <c r="B118" s="35" t="inlineStr">
        <is>
          <t>CE_ML</t>
        </is>
      </c>
      <c r="C118" s="36" t="inlineStr">
        <is>
          <t>Ceuta y Melilla</t>
        </is>
      </c>
      <c r="D118" s="54" t="n">
        <v>0</v>
      </c>
      <c r="E118" s="55" t="n">
        <v>9.5</v>
      </c>
      <c r="F118" s="55">
        <f>E118</f>
        <v/>
      </c>
    </row>
    <row r="119">
      <c r="B119" s="35" t="inlineStr">
        <is>
          <t>CE_ML</t>
        </is>
      </c>
      <c r="C119" s="36" t="inlineStr">
        <is>
          <t>Ceuta y Melilla</t>
        </is>
      </c>
      <c r="D119" s="54" t="n">
        <v>12450</v>
      </c>
      <c r="E119" s="55" t="n">
        <v>12</v>
      </c>
      <c r="F119" s="55">
        <f>E119-E118</f>
        <v/>
      </c>
    </row>
    <row r="120">
      <c r="B120" s="35" t="inlineStr">
        <is>
          <t>CE_ML</t>
        </is>
      </c>
      <c r="C120" s="36" t="inlineStr">
        <is>
          <t>Ceuta y Melilla</t>
        </is>
      </c>
      <c r="D120" s="54" t="n">
        <v>20200</v>
      </c>
      <c r="E120" s="55" t="n">
        <v>15</v>
      </c>
      <c r="F120" s="55">
        <f>E120-E119</f>
        <v/>
      </c>
    </row>
    <row r="121">
      <c r="B121" s="35" t="inlineStr">
        <is>
          <t>CE_ML</t>
        </is>
      </c>
      <c r="C121" s="36" t="inlineStr">
        <is>
          <t>Ceuta y Melilla</t>
        </is>
      </c>
      <c r="D121" s="54" t="n">
        <v>35200</v>
      </c>
      <c r="E121" s="55" t="n">
        <v>18.5</v>
      </c>
      <c r="F121" s="55">
        <f>E121-E120</f>
        <v/>
      </c>
    </row>
    <row r="122">
      <c r="B122" s="35" t="inlineStr">
        <is>
          <t>CE_ML</t>
        </is>
      </c>
      <c r="C122" s="36" t="inlineStr">
        <is>
          <t>Ceuta y Melilla</t>
        </is>
      </c>
      <c r="D122" s="54" t="n">
        <v>60000</v>
      </c>
      <c r="E122" s="55" t="n">
        <v>22.5</v>
      </c>
      <c r="F122" s="55">
        <f>E122-E121</f>
        <v/>
      </c>
    </row>
    <row r="123">
      <c r="B123" s="35" t="inlineStr">
        <is>
          <t>CE_ML</t>
        </is>
      </c>
      <c r="C123" s="36" t="inlineStr">
        <is>
          <t>Ceuta y Melilla</t>
        </is>
      </c>
      <c r="D123" s="54" t="n">
        <v>300000</v>
      </c>
      <c r="E123" s="55" t="n">
        <v>24.5</v>
      </c>
      <c r="F123" s="55">
        <f>E123-E122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rintOptions horizontalCentered="1"/>
  <pageMargins left="0.4" right="0.4" top="0.5" bottom="0.5" header="0.5" footer="0.5"/>
  <pageSetup orientation="landscape" paperSize="9" fitToHeight="0" fitToWidth="1"/>
  <headerFooter>
    <oddHeader/>
    <oddFooter>&amp;C&amp;8 ImpuestoClaro · &amp;A ·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Familia Claro</dc:creator>
  <dcterms:created xmlns:dcterms="http://purl.org/dc/terms/" xmlns:xsi="http://www.w3.org/2001/XMLSchema-instance" xsi:type="dcterms:W3CDTF">2026-10-31T03:57:32Z</dcterms:created>
  <dcterms:modified xmlns:dcterms="http://purl.org/dc/terms/" xmlns:xsi="http://www.w3.org/2001/XMLSchema-instance" xsi:type="dcterms:W3CDTF">2026-10-31T03:57:33Z</dcterms:modified>
  <cp:lastModifiedBy>Familia Claro</cp:lastModifiedBy>
</cp:coreProperties>
</file>