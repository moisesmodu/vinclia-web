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Tus datos" sheetId="4" state="visible" r:id="rId4"/>
    <sheet xmlns:r="http://schemas.openxmlformats.org/officeDocument/2006/relationships" name="Federal" sheetId="5" state="visible" r:id="rId5"/>
    <sheet xmlns:r="http://schemas.openxmlformats.org/officeDocument/2006/relationships" name="Estatal" sheetId="6" state="visible" r:id="rId6"/>
    <sheet xmlns:r="http://schemas.openxmlformats.org/officeDocument/2006/relationships" name="Pagos estimados" sheetId="7" state="visible" r:id="rId7"/>
    <sheet xmlns:r="http://schemas.openxmlformats.org/officeDocument/2006/relationships" name="Documentos" sheetId="8" state="visible" r:id="rId8"/>
    <sheet xmlns:r="http://schemas.openxmlformats.org/officeDocument/2006/relationships" name="Glosario" sheetId="9" state="visible" r:id="rId9"/>
    <sheet xmlns:r="http://schemas.openxmlformats.org/officeDocument/2006/relationships" name="Parámetros" sheetId="10" state="visible" r:id="rId10"/>
    <sheet xmlns:r="http://schemas.openxmlformats.org/officeDocument/2006/relationships" name="Tablas" sheetId="11" state="visible" r:id="rId11"/>
  </sheets>
  <definedNames>
    <definedName name="STD_1">'Parámetros'!$C$8</definedName>
    <definedName name="STD_2">'Parámetros'!$C$9</definedName>
    <definedName name="STD_3">'Parámetros'!$C$10</definedName>
    <definedName name="STD_4">'Parámetros'!$C$11</definedName>
    <definedName name="SE_BASE">'Parámetros'!$C$13</definedName>
    <definedName name="SE_SS">'Parámetros'!$C$14</definedName>
    <definedName name="SE_MED">'Parámetros'!$C$15</definedName>
    <definedName name="SE_MIN">'Parámetros'!$C$16</definedName>
    <definedName name="SE_DED">'Parámetros'!$C$17</definedName>
    <definedName name="SS_TOPE">'Parámetros'!$C$18</definedName>
    <definedName name="MED_ADIC">'Parámetros'!$C$19</definedName>
    <definedName name="MED_RET">'Parámetros'!$C$20</definedName>
    <definedName name="MED_UMB_1">'Parámetros'!$C$21</definedName>
    <definedName name="MED_UMB_2">'Parámetros'!$C$22</definedName>
    <definedName name="MED_UMB_3">'Parámetros'!$C$23</definedName>
    <definedName name="MED_UMB_4">'Parámetros'!$C$24</definedName>
    <definedName name="QBI_PCT">'Parámetros'!$C$26</definedName>
    <definedName name="QBI_UMB_1">'Parámetros'!$C$27</definedName>
    <definedName name="QBI_UMB_2">'Parámetros'!$C$28</definedName>
    <definedName name="QBI_UMB_3">'Parámetros'!$C$29</definedName>
    <definedName name="QBI_UMB_4">'Parámetros'!$C$30</definedName>
    <definedName name="CTC_HIJO">'Parámetros'!$C$32</definedName>
    <definedName name="CTC_OTRO">'Parámetros'!$C$33</definedName>
    <definedName name="CTC_REEMB">'Parámetros'!$C$34</definedName>
    <definedName name="CTC_UMB_GAN">'Parámetros'!$C$35</definedName>
    <definedName name="CTC_PCT">'Parámetros'!$C$36</definedName>
    <definedName name="CTC_RED">'Parámetros'!$C$37</definedName>
    <definedName name="CTC_UMB_1">'Parámetros'!$C$38</definedName>
    <definedName name="CTC_UMB_2">'Parámetros'!$C$39</definedName>
    <definedName name="CTC_UMB_3">'Parámetros'!$C$40</definedName>
    <definedName name="CTC_UMB_4">'Parámetros'!$C$41</definedName>
    <definedName name="PE_UMBRAL">'Parámetros'!$C$43</definedName>
    <definedName name="PE_ACTUAL">'Parámetros'!$C$44</definedName>
    <definedName name="PE_ANTERIOR">'Parámetros'!$C$45</definedName>
    <definedName name="PE_ANTERIOR_ALTO">'Parámetros'!$C$46</definedName>
    <definedName name="PE_AGI_ALTO">'Parámetros'!$C$47</definedName>
    <definedName name="PE_AGI_ALTO_MFS">'Parámetros'!$C$48</definedName>
    <definedName name="ESC_K">'Tablas'!$B$7:$B$160</definedName>
    <definedName name="ESC_DESDE">'Tablas'!$C$7:$C$160</definedName>
    <definedName name="ESC_DELTA">'Tablas'!$E$7:$E$160</definedName>
    <definedName name="EST_COD">'Tablas'!$G$7:$G$26</definedName>
    <definedName name="EST_NOM">'Tablas'!$H$7:$H$26</definedName>
    <definedName name="EST_TIPO">'Tablas'!$I$7:$I$26</definedName>
    <definedName name="EST_BASE">'Tablas'!$J$7:$J$26</definedName>
    <definedName name="EST_PCT">'Tablas'!$K$7:$K$26</definedName>
    <definedName name="EST_DED1">'Tablas'!$L$7:$L$26</definedName>
    <definedName name="EST_DED2">'Tablas'!$M$7:$M$26</definedName>
    <definedName name="EST_DED3">'Tablas'!$N$7:$N$26</definedName>
    <definedName name="EST_DED4">'Tablas'!$O$7:$O$26</definedName>
    <definedName name="EST_EXPERS">'Tablas'!$P$7:$P$26</definedName>
    <definedName name="EST_EXP1">'Tablas'!$Q$7:$Q$26</definedName>
    <definedName name="EST_EXP2">'Tablas'!$R$7:$R$26</definedName>
    <definedName name="EST_EXP3">'Tablas'!$S$7:$S$26</definedName>
    <definedName name="EST_EXP4">'Tablas'!$T$7:$T$26</definedName>
    <definedName name="EST_EXDEP">'Tablas'!$U$7:$U$26</definedName>
    <definedName name="EST_SOB_UMB">'Tablas'!$V$7:$V$26</definedName>
    <definedName name="EST_SOB_PCT">'Tablas'!$W$7:$W$26</definedName>
    <definedName name="EST_CP1">'Tablas'!$X$7:$X$26</definedName>
    <definedName name="EST_CP2">'Tablas'!$Y$7:$Y$26</definedName>
    <definedName name="EST_CP3">'Tablas'!$Z$7:$Z$26</definedName>
    <definedName name="EST_CP4">'Tablas'!$AA$7:$AA$26</definedName>
    <definedName name="EST_CDEP">'Tablas'!$AB$7:$AB$26</definedName>
    <definedName name="EC_TXT">'Tus datos'!$C$9</definedName>
    <definedName name="ESTADO_NOM">'Tus datos'!$C$10</definedName>
    <definedName name="HIJOS">'Tus datos'!$C$11</definedName>
    <definedName name="OTROSDEP">'Tus datos'!$C$12</definedName>
    <definedName name="SAL">'Tus datos'!$C$14</definedName>
    <definedName name="RET_FED">'Tus datos'!$C$15</definedName>
    <definedName name="RET_EST">'Tus datos'!$C$16</definedName>
    <definedName name="ING1099">'Tus datos'!$C$18</definedName>
    <definedName name="GAS1099">'Tus datos'!$C$19</definedName>
    <definedName name="OTROS">'Tus datos'!$C$21</definedName>
    <definedName name="DETALLADA">'Tus datos'!$C$22</definedName>
    <definedName name="PREV_TAX">'Tus datos'!$C$23</definedName>
    <definedName name="PREV_AGI">'Tus datos'!$C$24</definedName>
    <definedName name="EC">'Tus datos'!$C$26</definedName>
    <definedName name="EST_I">'Tus datos'!$C$27</definedName>
    <definedName name="FED_GAN">'Federal'!$C$8</definedName>
    <definedName name="FED_SEBASE">'Federal'!$C$9</definedName>
    <definedName name="FED_SESS">'Federal'!$C$10</definedName>
    <definedName name="FED_SEMED">'Federal'!$C$11</definedName>
    <definedName name="FED_SE">'Federal'!$C$12</definedName>
    <definedName name="FED_SEDEDUC">'Federal'!$C$13</definedName>
    <definedName name="FED_TOTAL_ING">'Federal'!$C$16</definedName>
    <definedName name="FED_AGI">'Federal'!$C$17</definedName>
    <definedName name="FED_STD">'Federal'!$C$18</definedName>
    <definedName name="FED_DED">'Federal'!$C$19</definedName>
    <definedName name="FED_ANTESQBI">'Federal'!$C$20</definedName>
    <definedName name="FED_QBI">'Federal'!$C$21</definedName>
    <definedName name="FED_IMPONIBLE">'Federal'!$C$22</definedName>
    <definedName name="FED_ESCALA">'Federal'!$C$23</definedName>
    <definedName name="FED_CTCBRUTO">'Federal'!$C$26</definedName>
    <definedName name="FED_CTCRED">'Federal'!$C$27</definedName>
    <definedName name="FED_CTCPOT">'Federal'!$C$28</definedName>
    <definedName name="FED_CTCNO">'Federal'!$C$29</definedName>
    <definedName name="FED_CTCRE">'Federal'!$C$30</definedName>
    <definedName name="FED_RENTA">'Federal'!$C$33</definedName>
    <definedName name="FED_MEDADIC">'Federal'!$C$34</definedName>
    <definedName name="FED_TOTAL">'Federal'!$C$35</definedName>
    <definedName name="FED_PAGOS">'Federal'!$C$36</definedName>
    <definedName name="FED_RESULTADO">'Federal'!$C$37</definedName>
    <definedName name="FED_EFECTIVO">'Federal'!$C$38</definedName>
    <definedName name="FED_MARGINAL">'Federal'!$C$39</definedName>
    <definedName name="EST_TIPO_R">'Estatal'!$C$7</definedName>
    <definedName name="EST_BASE_R">'Estatal'!$C$8</definedName>
    <definedName name="EST_DEDUCCIONES_R">'Estatal'!$C$9</definedName>
    <definedName name="EST_IMPONIBLE_R">'Estatal'!$C$10</definedName>
    <definedName name="EST_BRUTO_R">'Estatal'!$C$11</definedName>
    <definedName name="EST_CREDITOS_R">'Estatal'!$C$12</definedName>
    <definedName name="EST_IMPUESTO_R">'Estatal'!$C$13</definedName>
    <definedName name="EST_RESULTADO_R">'Estatal'!$C$14</definedName>
    <definedName name="PE_TOTAL_R">'Pagos estimados'!$D$8</definedName>
    <definedName name="PE_PAGOS_R">'Pagos estimados'!$D$9</definedName>
    <definedName name="PE_FALTA_R">'Pagos estimados'!$D$10</definedName>
    <definedName name="PE_OBLIGADO_R">'Pagos estimados'!$D$11</definedName>
    <definedName name="PE_MINIMO_R">'Pagos estimados'!$D$12</definedName>
    <definedName name="PE_TRIM_MIN_R">'Pagos estimados'!$D$13</definedName>
    <definedName name="PE_TRIM_TODO_R">'Pagos estimados'!$D$14</definedName>
    <definedName name="PE_MES_R">'Pagos estimados'!$D$15</definedName>
    <definedName name="PE_PCT_R">'Pagos estimados'!$D$16</definedName>
    <definedName name="VENCE_2026_1">'Pagos estimados'!$D$20</definedName>
    <definedName name="VENCE_2026_2">'Pagos estimados'!$D$21</definedName>
    <definedName name="VENCE_2026_3">'Pagos estimados'!$D$22</definedName>
    <definedName name="VENCE_2026_4">'Pagos estimados'!$D$23</definedName>
    <definedName name="VENCE_2027_1">'Pagos estimados'!$D$25</definedName>
    <definedName name="VENCE_2027_2">'Pagos estimados'!$D$26</definedName>
    <definedName name="VENCE_2027_3">'Pagos estimados'!$D$27</definedName>
    <definedName name="VENCE_2027_4">'Pagos estimados'!$D$28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"/>
    <numFmt numFmtId="165" formatCode="0.000"/>
    <numFmt numFmtId="166" formatCode="#,##0.##"/>
    <numFmt numFmtId="167" formatCode="&quot;$&quot;#,##0.00"/>
    <numFmt numFmtId="168" formatCode="0.0%"/>
    <numFmt numFmtId="169" formatCode="yyyy-mm-dd"/>
    <numFmt numFmtId="170" formatCode="mm/dd/yyyy"/>
    <numFmt numFmtId="171" formatCode="0.0&quot; % de tu ganancia&quot;"/>
  </numFmts>
  <fonts count="22">
    <font>
      <name val="Calibri"/>
      <family val="2"/>
      <color theme="1"/>
      <sz val="11"/>
      <scheme val="minor"/>
    </font>
    <font>
      <name val="Arial"/>
      <b val="1"/>
      <color rgb="00FFD166"/>
      <sz val="11"/>
    </font>
    <font>
      <name val="Arial"/>
      <b val="1"/>
      <color rgb="00FFFFFF"/>
      <sz val="26"/>
    </font>
    <font>
      <name val="Arial"/>
      <color rgb="00A1D5DC"/>
      <sz val="12"/>
    </font>
    <font>
      <name val="Arial"/>
      <b val="1"/>
      <color rgb="00FFD166"/>
      <sz val="10"/>
    </font>
    <font>
      <name val="Arial"/>
      <b val="1"/>
      <color rgb="000B6B7A"/>
      <sz val="13"/>
    </font>
    <font>
      <name val="Arial"/>
      <b val="1"/>
      <color rgb="00FFFFFF"/>
      <sz val="12"/>
    </font>
    <font>
      <name val="Arial"/>
      <color rgb="000A1C22"/>
      <sz val="10"/>
    </font>
    <font>
      <name val="Arial"/>
      <b val="1"/>
      <color rgb="000B6B7A"/>
      <sz val="10"/>
      <u val="single"/>
    </font>
    <font>
      <name val="Arial"/>
      <color rgb="0046595F"/>
      <sz val="10"/>
    </font>
    <font>
      <name val="Arial"/>
      <color rgb="0046595F"/>
      <sz val="9"/>
    </font>
    <font>
      <name val="Arial"/>
      <b val="1"/>
      <color rgb="00FFFFFF"/>
      <sz val="18"/>
    </font>
    <font>
      <name val="Arial"/>
      <color rgb="0096D0D8"/>
      <sz val="10"/>
    </font>
    <font>
      <name val="Arial"/>
      <b val="1"/>
      <color rgb="000B6B7A"/>
      <sz val="12"/>
    </font>
    <font>
      <name val="Arial"/>
      <b val="1"/>
      <color rgb="001597A8"/>
      <sz val="10"/>
    </font>
    <font>
      <name val="Arial"/>
      <b val="1"/>
      <color rgb="00FFFFFF"/>
      <sz val="9"/>
    </font>
    <font>
      <name val="Arial"/>
      <color rgb="000B6B7A"/>
      <sz val="8"/>
      <u val="single"/>
    </font>
    <font>
      <name val="Arial"/>
      <b val="1"/>
      <color rgb="001F3B57"/>
      <sz val="10"/>
    </font>
    <font>
      <name val="Arial"/>
      <b val="1"/>
      <color rgb="000A1C22"/>
      <sz val="10"/>
    </font>
    <font>
      <name val="Arial"/>
      <b val="1"/>
      <color rgb="000B6B7A"/>
      <sz val="10"/>
    </font>
    <font>
      <name val="Arial"/>
      <color rgb="000A1C22"/>
      <sz val="9"/>
    </font>
    <font>
      <name val="Arial"/>
      <i val="1"/>
      <color rgb="0046595F"/>
      <sz val="9"/>
    </font>
  </fonts>
  <fills count="7">
    <fill>
      <patternFill/>
    </fill>
    <fill>
      <patternFill patternType="gray125"/>
    </fill>
    <fill>
      <patternFill patternType="solid">
        <fgColor rgb="0008535F"/>
        <bgColor rgb="0008535F"/>
      </patternFill>
    </fill>
    <fill>
      <patternFill patternType="solid">
        <fgColor rgb="000B6B7A"/>
        <bgColor rgb="000B6B7A"/>
      </patternFill>
    </fill>
    <fill>
      <patternFill patternType="solid">
        <fgColor rgb="001597A8"/>
        <bgColor rgb="001597A8"/>
      </patternFill>
    </fill>
    <fill>
      <patternFill patternType="solid">
        <fgColor rgb="00F0F6F8"/>
        <bgColor rgb="00F0F6F8"/>
      </patternFill>
    </fill>
    <fill>
      <patternFill patternType="solid">
        <fgColor rgb="00FFF2D4"/>
        <bgColor rgb="00FFF2D4"/>
      </patternFill>
    </fill>
  </fills>
  <borders count="5">
    <border>
      <left/>
      <right/>
      <top/>
      <bottom/>
      <diagonal/>
    </border>
    <border>
      <bottom style="medium">
        <color rgb="001597A8"/>
      </bottom>
    </border>
    <border>
      <left style="thin">
        <color rgb="00D5E3E8"/>
      </left>
      <right style="thin">
        <color rgb="00D5E3E8"/>
      </right>
      <top style="thin">
        <color rgb="00D5E3E8"/>
      </top>
      <bottom style="thin">
        <color rgb="00D5E3E8"/>
      </bottom>
    </border>
    <border>
      <left style="thin">
        <color rgb="001597A8"/>
      </left>
      <right style="thin">
        <color rgb="001597A8"/>
      </right>
      <top style="thin">
        <color rgb="001597A8"/>
      </top>
      <bottom style="thin">
        <color rgb="001597A8"/>
      </bottom>
    </border>
    <border>
      <left style="medium">
        <color rgb="000B6B7A"/>
      </left>
      <right style="medium">
        <color rgb="000B6B7A"/>
      </right>
      <top style="medium">
        <color rgb="000B6B7A"/>
      </top>
      <bottom style="medium">
        <color rgb="000B6B7A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0" fillId="3" borderId="0" pivotButton="0" quotePrefix="0" xfId="0"/>
    <xf numFmtId="0" fontId="5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right" vertical="center"/>
    </xf>
    <xf numFmtId="0" fontId="12" fillId="2" borderId="0" applyAlignment="1" pivotButton="0" quotePrefix="0" xfId="0">
      <alignment vertical="center"/>
    </xf>
    <xf numFmtId="0" fontId="13" fillId="5" borderId="1" applyAlignment="1" pivotButton="0" quotePrefix="0" xfId="0">
      <alignment vertical="center"/>
    </xf>
    <xf numFmtId="0" fontId="0" fillId="5" borderId="1" pivotButton="0" quotePrefix="0" xfId="0"/>
    <xf numFmtId="0" fontId="14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15" fillId="3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167" fontId="13" fillId="5" borderId="4" applyAlignment="1" pivotButton="0" quotePrefix="0" xfId="0">
      <alignment horizontal="right" vertical="center"/>
    </xf>
    <xf numFmtId="167" fontId="7" fillId="0" borderId="2" applyAlignment="1" pivotButton="0" quotePrefix="0" xfId="0">
      <alignment horizontal="right" vertical="center"/>
    </xf>
    <xf numFmtId="168" fontId="7" fillId="0" borderId="2" applyAlignment="1" pivotButton="0" quotePrefix="0" xfId="0">
      <alignment horizontal="right" vertical="center"/>
    </xf>
    <xf numFmtId="0" fontId="18" fillId="0" borderId="2" applyAlignment="1" pivotButton="0" quotePrefix="0" xfId="0">
      <alignment horizontal="center" vertical="center"/>
    </xf>
    <xf numFmtId="170" fontId="18" fillId="0" borderId="2" applyAlignment="1" pivotButton="0" quotePrefix="0" xfId="0">
      <alignment horizontal="center" vertical="center"/>
    </xf>
    <xf numFmtId="171" fontId="7" fillId="0" borderId="2" applyAlignment="1" pivotButton="0" quotePrefix="0" xfId="0">
      <alignment horizontal="right" vertical="center"/>
    </xf>
    <xf numFmtId="0" fontId="21" fillId="0" borderId="0" applyAlignment="1" pivotButton="0" quotePrefix="0" xfId="0">
      <alignment vertical="top" wrapText="1"/>
    </xf>
    <xf numFmtId="0" fontId="17" fillId="6" borderId="3" applyAlignment="1" applyProtection="1" pivotButton="0" quotePrefix="0" xfId="0">
      <alignment horizontal="center" vertical="center"/>
      <protection locked="0" hidden="0"/>
    </xf>
    <xf numFmtId="0" fontId="17" fillId="6" borderId="3" applyAlignment="1" applyProtection="1" pivotButton="0" quotePrefix="0" xfId="0">
      <alignment horizontal="left" vertical="center"/>
      <protection locked="0" hidden="0"/>
    </xf>
    <xf numFmtId="0" fontId="17" fillId="6" borderId="3" applyAlignment="1" applyProtection="1" pivotButton="0" quotePrefix="0" xfId="0">
      <alignment horizontal="right" vertical="center"/>
      <protection locked="0" hidden="0"/>
    </xf>
    <xf numFmtId="167" fontId="17" fillId="6" borderId="3" applyAlignment="1" applyProtection="1" pivotButton="0" quotePrefix="0" xfId="0">
      <alignment horizontal="right" vertical="center"/>
      <protection locked="0" hidden="0"/>
    </xf>
    <xf numFmtId="0" fontId="10" fillId="0" borderId="0" applyAlignment="1" pivotButton="0" quotePrefix="0" xfId="0">
      <alignment vertical="center"/>
    </xf>
    <xf numFmtId="0" fontId="7" fillId="0" borderId="2" applyAlignment="1" pivotButton="0" quotePrefix="0" xfId="0">
      <alignment horizontal="center" vertical="center"/>
    </xf>
    <xf numFmtId="167" fontId="18" fillId="0" borderId="2" applyAlignment="1" pivotButton="0" quotePrefix="0" xfId="0">
      <alignment horizontal="right" vertical="center"/>
    </xf>
    <xf numFmtId="9" fontId="7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right" vertical="center"/>
    </xf>
    <xf numFmtId="0" fontId="18" fillId="0" borderId="2" applyAlignment="1" pivotButton="0" quotePrefix="0" xfId="0">
      <alignment horizontal="right" vertical="center"/>
    </xf>
    <xf numFmtId="0" fontId="19" fillId="5" borderId="0" applyAlignment="1" pivotButton="0" quotePrefix="0" xfId="0">
      <alignment vertical="center"/>
    </xf>
    <xf numFmtId="0" fontId="0" fillId="5" borderId="0" pivotButton="0" quotePrefix="0" xfId="0"/>
    <xf numFmtId="0" fontId="7" fillId="0" borderId="2" applyAlignment="1" pivotButton="0" quotePrefix="0" xfId="0">
      <alignment horizontal="left" vertical="center"/>
    </xf>
    <xf numFmtId="170" fontId="17" fillId="6" borderId="3" applyAlignment="1" applyProtection="1" pivotButton="0" quotePrefix="0" xfId="0">
      <alignment horizontal="center" vertical="center"/>
      <protection locked="0" hidden="0"/>
    </xf>
    <xf numFmtId="0" fontId="9" fillId="0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left" vertical="center"/>
    </xf>
    <xf numFmtId="0" fontId="20" fillId="0" borderId="2" applyAlignment="1" pivotButton="0" quotePrefix="0" xfId="0">
      <alignment vertical="center" wrapText="1"/>
    </xf>
    <xf numFmtId="0" fontId="9" fillId="0" borderId="2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vertical="center" wrapText="1"/>
    </xf>
    <xf numFmtId="164" fontId="7" fillId="0" borderId="2" applyAlignment="1" pivotButton="0" quotePrefix="0" xfId="0">
      <alignment horizontal="right" vertical="center"/>
    </xf>
    <xf numFmtId="0" fontId="16" fillId="0" borderId="2" applyAlignment="1" pivotButton="0" quotePrefix="0" xfId="0">
      <alignment vertical="center" wrapText="1"/>
    </xf>
    <xf numFmtId="3" fontId="7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ont>
        <name val="Arial"/>
        <b val="1"/>
      </font>
      <fill>
        <patternFill patternType="solid">
          <fgColor rgb="00FFE8B2"/>
          <bgColor rgb="00FFE8B2"/>
        </patternFill>
      </fill>
    </dxf>
    <dxf>
      <font>
        <name val="Arial"/>
        <color rgb="006B7B80"/>
      </font>
      <fill>
        <patternFill patternType="solid">
          <fgColor rgb="00E6F4F1"/>
          <bgColor rgb="00E6F4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/><Relationship Type="http://schemas.openxmlformats.org/officeDocument/2006/relationships/hyperlink" Target="#'Tus datos'!A1" TargetMode="External" Id="rId2"/><Relationship Type="http://schemas.openxmlformats.org/officeDocument/2006/relationships/hyperlink" Target="#'Federal'!A1" TargetMode="External" Id="rId3"/><Relationship Type="http://schemas.openxmlformats.org/officeDocument/2006/relationships/hyperlink" Target="#'Estatal'!A1" TargetMode="External" Id="rId4"/><Relationship Type="http://schemas.openxmlformats.org/officeDocument/2006/relationships/hyperlink" Target="#'Pagos estimados'!A1" TargetMode="External" Id="rId5"/><Relationship Type="http://schemas.openxmlformats.org/officeDocument/2006/relationships/hyperlink" Target="#'Documentos'!A1" TargetMode="External" Id="rId6"/><Relationship Type="http://schemas.openxmlformats.org/officeDocument/2006/relationships/hyperlink" Target="#'Glosario'!A1" TargetMode="External" Id="rId7"/><Relationship Type="http://schemas.openxmlformats.org/officeDocument/2006/relationships/hyperlink" Target="#'Par&#225;metros'!A1" TargetMode="External" Id="rId8"/><Relationship Type="http://schemas.openxmlformats.org/officeDocument/2006/relationships/hyperlink" Target="#'Tablas'!A1" TargetMode="External" Id="rId9"/><Relationship Type="http://schemas.openxmlformats.org/officeDocument/2006/relationships/hyperlink" Target="https://cheque-claro.vercel.app/planificador-taxes-2026/" TargetMode="External" Id="rId10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irs.gov/pub/irs-drop/rp-25-32.pdf" TargetMode="External" Id="rId1"/><Relationship Type="http://schemas.openxmlformats.org/officeDocument/2006/relationships/hyperlink" Target="https://www.irs.gov/pub/irs-drop/rp-25-32.pdf" TargetMode="External" Id="rId2"/><Relationship Type="http://schemas.openxmlformats.org/officeDocument/2006/relationships/hyperlink" Target="https://www.irs.gov/pub/irs-drop/rp-25-32.pdf" TargetMode="External" Id="rId3"/><Relationship Type="http://schemas.openxmlformats.org/officeDocument/2006/relationships/hyperlink" Target="https://www.irs.gov/pub/irs-drop/rp-25-32.pdf" TargetMode="External" Id="rId4"/><Relationship Type="http://schemas.openxmlformats.org/officeDocument/2006/relationships/hyperlink" Target="https://www.irs.gov/businesses/small-businesses-self-employed/self-employment-tax-social-security-and-medicare-taxes" TargetMode="External" Id="rId5"/><Relationship Type="http://schemas.openxmlformats.org/officeDocument/2006/relationships/hyperlink" Target="https://www.irs.gov/businesses/small-businesses-self-employed/self-employment-tax-social-security-and-medicare-taxes" TargetMode="External" Id="rId6"/><Relationship Type="http://schemas.openxmlformats.org/officeDocument/2006/relationships/hyperlink" Target="https://www.irs.gov/businesses/small-businesses-self-employed/self-employment-tax-social-security-and-medicare-taxes" TargetMode="External" Id="rId7"/><Relationship Type="http://schemas.openxmlformats.org/officeDocument/2006/relationships/hyperlink" Target="https://www.irs.gov/businesses/small-businesses-self-employed/self-employment-tax-social-security-and-medicare-taxes" TargetMode="External" Id="rId8"/><Relationship Type="http://schemas.openxmlformats.org/officeDocument/2006/relationships/hyperlink" Target="https://www.irs.gov/businesses/small-businesses-self-employed/self-employment-tax-social-security-and-medicare-taxes" TargetMode="External" Id="rId9"/><Relationship Type="http://schemas.openxmlformats.org/officeDocument/2006/relationships/hyperlink" Target="https://www.ssa.gov/cola/factsheets/2026.html" TargetMode="External" Id="rId10"/><Relationship Type="http://schemas.openxmlformats.org/officeDocument/2006/relationships/hyperlink" Target="https://www.ssa.gov/cola/factsheets/2026.html" TargetMode="External" Id="rId11"/><Relationship Type="http://schemas.openxmlformats.org/officeDocument/2006/relationships/hyperlink" Target="https://www.ssa.gov/cola/factsheets/2026.html" TargetMode="External" Id="rId12"/><Relationship Type="http://schemas.openxmlformats.org/officeDocument/2006/relationships/hyperlink" Target="https://www.ssa.gov/cola/factsheets/2026.html" TargetMode="External" Id="rId13"/><Relationship Type="http://schemas.openxmlformats.org/officeDocument/2006/relationships/hyperlink" Target="https://www.ssa.gov/cola/factsheets/2026.html" TargetMode="External" Id="rId14"/><Relationship Type="http://schemas.openxmlformats.org/officeDocument/2006/relationships/hyperlink" Target="https://www.ssa.gov/cola/factsheets/2026.html" TargetMode="External" Id="rId15"/><Relationship Type="http://schemas.openxmlformats.org/officeDocument/2006/relationships/hyperlink" Target="https://www.ssa.gov/cola/factsheets/2026.html" TargetMode="External" Id="rId16"/><Relationship Type="http://schemas.openxmlformats.org/officeDocument/2006/relationships/hyperlink" Target="https://www.irs.gov/newsroom/qualified-business-income-deduction" TargetMode="External" Id="rId17"/><Relationship Type="http://schemas.openxmlformats.org/officeDocument/2006/relationships/hyperlink" Target="https://www.irs.gov/newsroom/qualified-business-income-deduction" TargetMode="External" Id="rId18"/><Relationship Type="http://schemas.openxmlformats.org/officeDocument/2006/relationships/hyperlink" Target="https://www.irs.gov/newsroom/qualified-business-income-deduction" TargetMode="External" Id="rId19"/><Relationship Type="http://schemas.openxmlformats.org/officeDocument/2006/relationships/hyperlink" Target="https://www.irs.gov/newsroom/qualified-business-income-deduction" TargetMode="External" Id="rId20"/><Relationship Type="http://schemas.openxmlformats.org/officeDocument/2006/relationships/hyperlink" Target="https://www.irs.gov/newsroom/qualified-business-income-deduction" TargetMode="External" Id="rId21"/><Relationship Type="http://schemas.openxmlformats.org/officeDocument/2006/relationships/hyperlink" Target="https://www.irs.gov/credits-deductions/individuals/child-tax-credit" TargetMode="External" Id="rId22"/><Relationship Type="http://schemas.openxmlformats.org/officeDocument/2006/relationships/hyperlink" Target="https://www.irs.gov/credits-deductions/individuals/child-tax-credit" TargetMode="External" Id="rId23"/><Relationship Type="http://schemas.openxmlformats.org/officeDocument/2006/relationships/hyperlink" Target="https://www.irs.gov/credits-deductions/individuals/child-tax-credit" TargetMode="External" Id="rId24"/><Relationship Type="http://schemas.openxmlformats.org/officeDocument/2006/relationships/hyperlink" Target="https://www.irs.gov/credits-deductions/individuals/child-tax-credit" TargetMode="External" Id="rId25"/><Relationship Type="http://schemas.openxmlformats.org/officeDocument/2006/relationships/hyperlink" Target="https://www.irs.gov/credits-deductions/individuals/child-tax-credit" TargetMode="External" Id="rId26"/><Relationship Type="http://schemas.openxmlformats.org/officeDocument/2006/relationships/hyperlink" Target="https://www.irs.gov/credits-deductions/individuals/child-tax-credit" TargetMode="External" Id="rId27"/><Relationship Type="http://schemas.openxmlformats.org/officeDocument/2006/relationships/hyperlink" Target="https://www.irs.gov/credits-deductions/individuals/child-tax-credit" TargetMode="External" Id="rId28"/><Relationship Type="http://schemas.openxmlformats.org/officeDocument/2006/relationships/hyperlink" Target="https://www.irs.gov/credits-deductions/individuals/child-tax-credit" TargetMode="External" Id="rId29"/><Relationship Type="http://schemas.openxmlformats.org/officeDocument/2006/relationships/hyperlink" Target="https://www.irs.gov/credits-deductions/individuals/child-tax-credit" TargetMode="External" Id="rId30"/><Relationship Type="http://schemas.openxmlformats.org/officeDocument/2006/relationships/hyperlink" Target="https://www.irs.gov/credits-deductions/individuals/child-tax-credit" TargetMode="External" Id="rId31"/><Relationship Type="http://schemas.openxmlformats.org/officeDocument/2006/relationships/hyperlink" Target="https://www.irs.gov/forms-pubs/about-form-1040-es" TargetMode="External" Id="rId32"/><Relationship Type="http://schemas.openxmlformats.org/officeDocument/2006/relationships/hyperlink" Target="https://www.irs.gov/forms-pubs/about-form-1040-es" TargetMode="External" Id="rId33"/><Relationship Type="http://schemas.openxmlformats.org/officeDocument/2006/relationships/hyperlink" Target="https://www.irs.gov/forms-pubs/about-form-1040-es" TargetMode="External" Id="rId34"/><Relationship Type="http://schemas.openxmlformats.org/officeDocument/2006/relationships/hyperlink" Target="https://www.irs.gov/forms-pubs/about-form-1040-es" TargetMode="External" Id="rId35"/><Relationship Type="http://schemas.openxmlformats.org/officeDocument/2006/relationships/hyperlink" Target="https://www.irs.gov/forms-pubs/about-form-1040-es" TargetMode="External" Id="rId36"/><Relationship Type="http://schemas.openxmlformats.org/officeDocument/2006/relationships/hyperlink" Target="https://www.irs.gov/forms-pubs/about-form-1040-es" TargetMode="External" Id="rId37"/></Relationships>
</file>

<file path=xl/worksheets/sheet1.xml><?xml version="1.0" encoding="utf-8"?>
<worksheet xmlns="http://schemas.openxmlformats.org/spreadsheetml/2006/main">
  <sheetPr>
    <tabColor rgb="00FFD166"/>
    <outlinePr summaryBelow="1" summaryRight="1"/>
    <pageSetUpPr fitToPage="1"/>
  </sheetPr>
  <dimension ref="A1:E36"/>
  <sheetViews>
    <sheetView showGridLines="0" tabSelected="1" zoomScale="11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4" customWidth="1" min="3" max="3"/>
    <col width="60" customWidth="1" min="4" max="4"/>
    <col width="4" customWidth="1" min="5" max="5"/>
  </cols>
  <sheetData>
    <row r="1" ht="18" customHeight="1">
      <c r="A1" s="1" t="n"/>
      <c r="B1" s="1" t="n"/>
      <c r="C1" s="1" t="n"/>
      <c r="D1" s="1" t="n"/>
      <c r="E1" s="1" t="n"/>
    </row>
    <row r="2" ht="18" customHeight="1">
      <c r="A2" s="1" t="n"/>
      <c r="B2" s="1" t="n"/>
      <c r="C2" s="1" t="n"/>
      <c r="D2" s="1" t="n"/>
      <c r="E2" s="1" t="n"/>
    </row>
    <row r="3" ht="18" customHeight="1">
      <c r="A3" s="1" t="n"/>
      <c r="B3" s="1" t="n"/>
      <c r="C3" s="2" t="inlineStr">
        <is>
          <t>CHEQUECLARO</t>
        </is>
      </c>
      <c r="D3" s="1" t="n"/>
      <c r="E3" s="1" t="n"/>
    </row>
    <row r="4" ht="18" customHeight="1">
      <c r="A4" s="1" t="n"/>
      <c r="B4" s="1" t="n"/>
      <c r="C4" s="1" t="n"/>
      <c r="D4" s="1" t="n"/>
      <c r="E4" s="1" t="n"/>
    </row>
    <row r="5" ht="40" customHeight="1">
      <c r="A5" s="1" t="n"/>
      <c r="B5" s="1" t="n"/>
      <c r="C5" s="3" t="inlineStr">
        <is>
          <t>Planificador de taxes 2026 en español</t>
        </is>
      </c>
      <c r="D5" s="1" t="n"/>
      <c r="E5" s="1" t="n"/>
    </row>
    <row r="6" ht="18" customHeight="1">
      <c r="A6" s="1" t="n"/>
      <c r="B6" s="1" t="n"/>
      <c r="C6" s="1" t="n"/>
      <c r="D6" s="1" t="n"/>
      <c r="E6" s="1" t="n"/>
    </row>
    <row r="7" ht="18" customHeight="1">
      <c r="A7" s="1" t="n"/>
      <c r="B7" s="1" t="n"/>
      <c r="C7" s="4" t="inlineStr">
        <is>
          <t>Calcula tu impuesto federal y estatal de 2026, el self-employment tax del 1099 y tus cuatro pagos estimados, con las fechas, la lista de papeles y un glosario en español.</t>
        </is>
      </c>
      <c r="E7" s="1" t="n"/>
    </row>
    <row r="8" ht="18" customHeight="1">
      <c r="A8" s="1" t="n"/>
      <c r="B8" s="1" t="n"/>
      <c r="E8" s="1" t="n"/>
    </row>
    <row r="9" ht="18" customHeight="1">
      <c r="A9" s="1" t="n"/>
      <c r="B9" s="1" t="n"/>
      <c r="C9" s="1" t="n"/>
      <c r="D9" s="1" t="n"/>
      <c r="E9" s="1" t="n"/>
    </row>
    <row r="10" ht="18" customHeight="1">
      <c r="A10" s="1" t="n"/>
      <c r="B10" s="1" t="n"/>
      <c r="C10" s="5" t="inlineStr">
        <is>
          <t>Año fiscal 2026 (se declara en 2027) · cifras del IRS a 2026-10-28</t>
        </is>
      </c>
      <c r="D10" s="1" t="n"/>
      <c r="E10" s="1" t="n"/>
    </row>
    <row r="11" ht="18" customHeight="1">
      <c r="A11" s="1" t="n"/>
      <c r="B11" s="1" t="n"/>
      <c r="C11" s="1" t="n"/>
      <c r="D11" s="1" t="n"/>
      <c r="E11" s="1" t="n"/>
    </row>
    <row r="12" ht="6" customHeight="1">
      <c r="A12" s="6" t="n"/>
      <c r="B12" s="6" t="n"/>
      <c r="C12" s="6" t="n"/>
      <c r="D12" s="6" t="n"/>
      <c r="E12" s="6" t="n"/>
    </row>
    <row r="14">
      <c r="C14" s="7" t="inlineStr">
        <is>
          <t>Empieza en tres pasos</t>
        </is>
      </c>
    </row>
    <row r="15" ht="30" customHeight="1">
      <c r="B15" s="8" t="n">
        <v>1</v>
      </c>
      <c r="C15" s="9" t="inlineStr">
        <is>
          <t>Rellena «Tus datos»: estado civil, estado, salario W-2, ingresos y gastos del 1099 y dependientes.</t>
        </is>
      </c>
    </row>
    <row r="16" ht="30" customHeight="1">
      <c r="B16" s="8" t="n">
        <v>2</v>
      </c>
      <c r="C16" s="9" t="inlineStr">
        <is>
          <t>Mira «Resumen»: cuánto deberás o te devolverán, y cuánto apartar cada mes.</t>
        </is>
      </c>
    </row>
    <row r="17" ht="30" customHeight="1">
      <c r="B17" s="8" t="n">
        <v>3</v>
      </c>
      <c r="C17" s="9" t="inlineStr">
        <is>
          <t>Apunta tus pagos en «Pagos estimados» y junta los papeles de «Documentos» antes de declarar.</t>
        </is>
      </c>
    </row>
    <row r="19">
      <c r="C19" s="7" t="inlineStr">
        <is>
          <t>Qué hay en este libro</t>
        </is>
      </c>
    </row>
    <row r="20" ht="18" customHeight="1">
      <c r="C20" s="10" t="inlineStr">
        <is>
          <t>→ Resumen</t>
        </is>
      </c>
      <c r="D20" s="11" t="inlineStr">
        <is>
          <t>Lo importante en una pantalla</t>
        </is>
      </c>
    </row>
    <row r="21" ht="18" customHeight="1">
      <c r="C21" s="10" t="inlineStr">
        <is>
          <t>→ Tus datos</t>
        </is>
      </c>
      <c r="D21" s="11" t="inlineStr">
        <is>
          <t>Estado civil, estado, ingresos, gastos y dependientes</t>
        </is>
      </c>
    </row>
    <row r="22" ht="28" customHeight="1">
      <c r="C22" s="10" t="inlineStr">
        <is>
          <t>→ Federal</t>
        </is>
      </c>
      <c r="D22" s="11" t="inlineStr">
        <is>
          <t>Form 1040 paso a paso: AGI, deducción, QBI, tramos, crédito por hijos y Schedule SE</t>
        </is>
      </c>
    </row>
    <row r="23" ht="18" customHeight="1">
      <c r="C23" s="10" t="inlineStr">
        <is>
          <t>→ Estatal</t>
        </is>
      </c>
      <c r="D23" s="11" t="inlineStr">
        <is>
          <t>Impuesto de tu estado (20 estados)</t>
        </is>
      </c>
    </row>
    <row r="24" ht="18" customHeight="1">
      <c r="C24" s="10" t="inlineStr">
        <is>
          <t>→ Pagos estimados</t>
        </is>
      </c>
      <c r="D24" s="11" t="inlineStr">
        <is>
          <t>Form 1040-ES: cuánto y cuándo, con fechas de 2026 y 2027</t>
        </is>
      </c>
    </row>
    <row r="25" ht="18" customHeight="1">
      <c r="C25" s="10" t="inlineStr">
        <is>
          <t>→ Documentos</t>
        </is>
      </c>
      <c r="D25" s="11" t="inlineStr">
        <is>
          <t>Checklist de W-2, 1099, créditos y deducciones</t>
        </is>
      </c>
    </row>
    <row r="26" ht="18" customHeight="1">
      <c r="C26" s="10" t="inlineStr">
        <is>
          <t>→ Glosario</t>
        </is>
      </c>
      <c r="D26" s="11" t="inlineStr">
        <is>
          <t>Los términos del IRS explicados en español</t>
        </is>
      </c>
    </row>
    <row r="27" ht="18" customHeight="1">
      <c r="C27" s="10" t="inlineStr">
        <is>
          <t>→ Parámetros</t>
        </is>
      </c>
      <c r="D27" s="11" t="inlineStr">
        <is>
          <t>Cifras oficiales con su fuente</t>
        </is>
      </c>
    </row>
    <row r="28" ht="18" customHeight="1">
      <c r="C28" s="10" t="inlineStr">
        <is>
          <t>→ Tablas</t>
        </is>
      </c>
      <c r="D28" s="11" t="inlineStr">
        <is>
          <t>Tramos federales y datos de cada estado</t>
        </is>
      </c>
    </row>
    <row r="30">
      <c r="C30" s="7" t="inlineStr">
        <is>
          <t>Antes de usarlo</t>
        </is>
      </c>
    </row>
    <row r="31" ht="30" customHeight="1">
      <c r="C31" s="12" t="inlineStr">
        <is>
          <t>Herramienta orientativa: no es asesoría fiscal ni sustituye a un preparador de impuestos (tax preparer) ni al software del IRS. No somos el IRS ni ninguna agencia del gobierno.</t>
        </is>
      </c>
    </row>
    <row r="32" ht="30" customHeight="1">
      <c r="C32" s="12" t="inlineStr">
        <is>
          <t>No incluye ganancias de capital, deducciones por propinas u horas extra (ley OBBBA), créditos por ingreso del trabajo (EITC), educación ni impuestos locales.</t>
        </is>
      </c>
    </row>
    <row r="33" ht="30" customHeight="1">
      <c r="C33" s="12" t="inlineStr">
        <is>
          <t>Contenido preparado con ayuda de inteligencia artificial y revisado con las fuentes oficiales citadas (IRS, SSA y departamentos de impuestos estatales).</t>
        </is>
      </c>
    </row>
    <row r="34" ht="30" customHeight="1">
      <c r="C34" s="12" t="inlineStr">
        <is>
          <t>Funciona en Excel, LibreOffice y Google Sheets. Las hojas de cálculo están protegidas sin contraseña: Review → Unprotect Sheet (Revisar → Desproteger hoja).</t>
        </is>
      </c>
    </row>
    <row r="36">
      <c r="C36" s="10" t="inlineStr">
        <is>
          <t>https://cheque-claro.vercel.app/planificador-taxes-2026/</t>
        </is>
      </c>
      <c r="D36" s="13" t="inlineStr">
        <is>
          <t>Contacto: hola@numimates.com</t>
        </is>
      </c>
    </row>
  </sheetData>
  <mergeCells count="8">
    <mergeCell ref="C34:D34"/>
    <mergeCell ref="C32:D32"/>
    <mergeCell ref="C16:D16"/>
    <mergeCell ref="C7:D8"/>
    <mergeCell ref="C15:D15"/>
    <mergeCell ref="C33:D33"/>
    <mergeCell ref="C31:D31"/>
    <mergeCell ref="C17:D17"/>
  </mergeCells>
  <hyperlinks>
    <hyperlink xmlns:r="http://schemas.openxmlformats.org/officeDocument/2006/relationships" ref="C20" r:id="rId1"/>
    <hyperlink xmlns:r="http://schemas.openxmlformats.org/officeDocument/2006/relationships" ref="C21" r:id="rId2"/>
    <hyperlink xmlns:r="http://schemas.openxmlformats.org/officeDocument/2006/relationships" ref="C22" r:id="rId3"/>
    <hyperlink xmlns:r="http://schemas.openxmlformats.org/officeDocument/2006/relationships" ref="C23" r:id="rId4"/>
    <hyperlink xmlns:r="http://schemas.openxmlformats.org/officeDocument/2006/relationships" ref="C24" r:id="rId5"/>
    <hyperlink xmlns:r="http://schemas.openxmlformats.org/officeDocument/2006/relationships" ref="C25" r:id="rId6"/>
    <hyperlink xmlns:r="http://schemas.openxmlformats.org/officeDocument/2006/relationships" ref="C26" r:id="rId7"/>
    <hyperlink xmlns:r="http://schemas.openxmlformats.org/officeDocument/2006/relationships" ref="C27" r:id="rId8"/>
    <hyperlink xmlns:r="http://schemas.openxmlformats.org/officeDocument/2006/relationships" ref="C28" r:id="rId9"/>
    <hyperlink xmlns:r="http://schemas.openxmlformats.org/officeDocument/2006/relationships" ref="C36" r:id="rId10"/>
  </hyperlinks>
  <printOptions horizontalCentered="1"/>
  <pageMargins left="0.4" right="0.4" top="0.5" bottom="0.5" header="0.5" footer="0.5"/>
  <pageSetup orientation="landscape" paperSize="1" fitToHeight="0" fitToWidth="1"/>
  <headerFooter>
    <oddHeader/>
    <oddFooter>&amp;C&amp;8 ChequeClaro · &amp;A ·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597A8"/>
    <outlinePr summaryBelow="1" summaryRight="1"/>
    <pageSetUpPr fitToPage="1"/>
  </sheetPr>
  <dimension ref="A1:C25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110" customWidth="1" min="3" max="3"/>
  </cols>
  <sheetData>
    <row r="1" ht="8" customHeight="1">
      <c r="A1" s="1" t="n"/>
      <c r="B1" s="1" t="n"/>
      <c r="C1" s="1" t="n"/>
    </row>
    <row r="2" ht="34" customHeight="1">
      <c r="A2" s="1" t="n"/>
      <c r="B2" s="14" t="inlineStr">
        <is>
          <t>Cómo se usa el planificador</t>
        </is>
      </c>
      <c r="C2" s="15" t="inlineStr">
        <is>
          <t>ChequeClaro</t>
        </is>
      </c>
    </row>
    <row r="3" ht="20" customHeight="1">
      <c r="A3" s="1" t="n"/>
      <c r="B3" s="16" t="inlineStr">
        <is>
          <t>Léelo una vez: son cinco minutos</t>
        </is>
      </c>
      <c r="C3" s="1" t="n"/>
    </row>
    <row r="4" ht="4" customHeight="1">
      <c r="A4" s="6" t="n"/>
      <c r="B4" s="6" t="n"/>
      <c r="C4" s="6" t="n"/>
    </row>
    <row r="6" ht="22" customHeight="1">
      <c r="B6" s="17" t="inlineStr">
        <is>
          <t>1. Tus datos</t>
        </is>
      </c>
      <c r="C6" s="18" t="n"/>
    </row>
    <row r="7" ht="15" customHeight="1">
      <c r="B7" s="19" t="inlineStr">
        <is>
          <t>•</t>
        </is>
      </c>
      <c r="C7" s="20" t="inlineStr">
        <is>
          <t>Estado civil: el que pondrás en el Form 1040. Si estás casado, la declaración conjunta casi siempre paga menos.</t>
        </is>
      </c>
    </row>
    <row r="8" ht="30" customHeight="1">
      <c r="B8" s="19" t="inlineStr">
        <is>
          <t>•</t>
        </is>
      </c>
      <c r="C8" s="20" t="inlineStr">
        <is>
          <t>Salarios W-2: la casilla 1 de tu W-2 (ya sin el 401(k) antes de impuestos). Retención: la casilla 2 (federal) y la 17 (estatal). Si aún no tienes el W-2, suma lo de tus talones de pago (paystubs) y multiplica hasta fin de año.</t>
        </is>
      </c>
    </row>
    <row r="9" ht="30" customHeight="1">
      <c r="B9" s="19" t="inlineStr">
        <is>
          <t>•</t>
        </is>
      </c>
      <c r="C9" s="20" t="inlineStr">
        <is>
          <t>Ingresos 1099: todo lo que te pagaron como contratista (1099-NEC, 1099-K de apps y plataformas, efectivo). Gastos: millas, teléfono, herramientas, comisiones de la app… los del Schedule C.</t>
        </is>
      </c>
    </row>
    <row r="10" ht="30" customHeight="1">
      <c r="B10" s="19" t="inlineStr">
        <is>
          <t>•</t>
        </is>
      </c>
      <c r="C10" s="20" t="inlineStr">
        <is>
          <t>Hijos: menores de 17 a 31 de diciembre, con número de Seguro Social (SSN). Otros dependientes: hijos de 17 o más, padres a tu cargo o hijos con ITIN.</t>
        </is>
      </c>
    </row>
    <row r="12" ht="22" customHeight="1">
      <c r="B12" s="17" t="inlineStr">
        <is>
          <t>2. Pagos estimados</t>
        </is>
      </c>
      <c r="C12" s="18" t="n"/>
    </row>
    <row r="13" ht="15" customHeight="1">
      <c r="B13" s="19" t="inlineStr">
        <is>
          <t>•</t>
        </is>
      </c>
      <c r="C13" s="20" t="inlineStr">
        <is>
          <t>Como contratista nadie te retiene: el IRS espera que pagues durante el año (Form 1040-ES) si vas a deber 1,000 $ o más.</t>
        </is>
      </c>
    </row>
    <row r="14" ht="30" customHeight="1">
      <c r="B14" s="19" t="inlineStr">
        <is>
          <t>•</t>
        </is>
      </c>
      <c r="C14" s="20" t="inlineStr">
        <is>
          <t>La hoja te da el importe mínimo para no tener multa (puerto seguro) si pones el impuesto del año pasado, y el importe para no deber nada en abril.</t>
        </is>
      </c>
    </row>
    <row r="15" ht="15" customHeight="1">
      <c r="B15" s="19" t="inlineStr">
        <is>
          <t>•</t>
        </is>
      </c>
      <c r="C15" s="20" t="inlineStr">
        <is>
          <t>Paga en IRS Direct Pay o EFTPS y apunta la fecha y el importe en la tabla.</t>
        </is>
      </c>
    </row>
    <row r="17" ht="22" customHeight="1">
      <c r="B17" s="17" t="inlineStr">
        <is>
          <t>3. Antes de declarar</t>
        </is>
      </c>
      <c r="C17" s="18" t="n"/>
    </row>
    <row r="18" ht="15" customHeight="1">
      <c r="B18" s="19" t="inlineStr">
        <is>
          <t>•</t>
        </is>
      </c>
      <c r="C18" s="20" t="inlineStr">
        <is>
          <t>Marca los documentos de la hoja «Documentos» a medida que los recibes (llegan entre enero y mediados de febrero).</t>
        </is>
      </c>
    </row>
    <row r="19" ht="15" customHeight="1">
      <c r="B19" s="19" t="inlineStr">
        <is>
          <t>•</t>
        </is>
      </c>
      <c r="C19" s="20" t="inlineStr">
        <is>
          <t>Compara el resultado con el de tu preparador o software: si hay mucha diferencia, revisa los datos.</t>
        </is>
      </c>
    </row>
    <row r="21" ht="22" customHeight="1">
      <c r="B21" s="17" t="inlineStr">
        <is>
          <t>Qué no hace</t>
        </is>
      </c>
      <c r="C21" s="18" t="n"/>
    </row>
    <row r="22" ht="30" customHeight="1">
      <c r="B22" s="19" t="inlineStr">
        <is>
          <t>•</t>
        </is>
      </c>
      <c r="C22" s="20" t="inlineStr">
        <is>
          <t>No calcula ganancias de capital, dividendos calificados, deducciones por propinas u horas extra, EITC, créditos de educación, impuestos locales (NYC, condados), ni la multa exacta por pagar tarde (Form 2210).</t>
        </is>
      </c>
    </row>
    <row r="24" ht="22" customHeight="1">
      <c r="B24" s="17" t="inlineStr">
        <is>
          <t>Ayuda</t>
        </is>
      </c>
      <c r="C24" s="18" t="n"/>
    </row>
    <row r="25" ht="15" customHeight="1">
      <c r="B25" s="19" t="inlineStr">
        <is>
          <t>•</t>
        </is>
      </c>
      <c r="C25" s="20" t="inlineStr">
        <is>
          <t>¿Algo no cuadra? Escríbenos a hola@numimates.com.</t>
        </is>
      </c>
    </row>
  </sheetData>
  <printOptions horizontalCentered="1"/>
  <pageMargins left="0.4" right="0.4" top="0.5" bottom="0.5" header="0.5" footer="0.5"/>
  <pageSetup orientation="landscape" paperSize="1" fitToHeight="0" fitToWidth="1"/>
  <headerFooter>
    <oddHeader/>
    <oddFooter>&amp;C&amp;8 ChequeClaro · &amp;A ·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166"/>
    <outlinePr summaryBelow="1" summaryRight="1"/>
    <pageSetUpPr fitToPage="1"/>
  </sheetPr>
  <dimension ref="A1:D20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20" customWidth="1" min="3" max="3"/>
    <col width="20" customWidth="1" min="4" max="4"/>
    <col width="3" customWidth="1" min="5" max="5"/>
  </cols>
  <sheetData>
    <row r="1" ht="8" customHeight="1">
      <c r="A1" s="1" t="n"/>
      <c r="B1" s="1" t="n"/>
      <c r="C1" s="1" t="n"/>
      <c r="D1" s="1" t="n"/>
    </row>
    <row r="2" ht="34" customHeight="1">
      <c r="A2" s="1" t="n"/>
      <c r="B2" s="14" t="inlineStr">
        <is>
          <t>Tus taxes de 2026</t>
        </is>
      </c>
      <c r="C2" s="1" t="n"/>
      <c r="D2" s="15" t="inlineStr">
        <is>
          <t>ChequeClaro</t>
        </is>
      </c>
    </row>
    <row r="3" ht="20" customHeight="1">
      <c r="A3" s="1" t="n"/>
      <c r="B3" s="16">
        <f>EC_TXT&amp;" · "&amp;ESTADO_NOM</f>
        <v/>
      </c>
      <c r="C3" s="1" t="n"/>
      <c r="D3" s="1" t="n"/>
    </row>
    <row r="4" ht="4" customHeight="1">
      <c r="A4" s="6" t="n"/>
      <c r="B4" s="6" t="n"/>
      <c r="C4" s="6" t="n"/>
      <c r="D4" s="6" t="n"/>
    </row>
    <row r="7" ht="30" customHeight="1">
      <c r="B7" s="21" t="inlineStr"/>
      <c r="C7" s="21" t="inlineStr">
        <is>
          <t>Federal</t>
        </is>
      </c>
      <c r="D7" s="21" t="inlineStr">
        <is>
          <t>Estatal</t>
        </is>
      </c>
    </row>
    <row r="8">
      <c r="B8" s="22" t="inlineStr">
        <is>
          <t>Impuesto del año</t>
        </is>
      </c>
      <c r="C8" s="23">
        <f>FED_TOTAL</f>
        <v/>
      </c>
      <c r="D8" s="23">
        <f>EST_IMPUESTO_R</f>
        <v/>
      </c>
    </row>
    <row r="9">
      <c r="B9" s="9" t="inlineStr">
        <is>
          <t xml:space="preserve">   de él, self-employment tax</t>
        </is>
      </c>
      <c r="C9" s="24">
        <f>FED_SE</f>
        <v/>
      </c>
    </row>
    <row r="10">
      <c r="B10" s="9" t="inlineStr">
        <is>
          <t>Ya retenido o cubierto por créditos</t>
        </is>
      </c>
      <c r="C10" s="24">
        <f>FED_PAGOS</f>
        <v/>
      </c>
      <c r="D10" s="24">
        <f>RET_EST</f>
        <v/>
      </c>
    </row>
    <row r="11">
      <c r="B11" s="22" t="inlineStr">
        <is>
          <t>Reembolso (+) o a pagar (−), sin pagos estimados</t>
        </is>
      </c>
      <c r="C11" s="23">
        <f>FED_RESULTADO</f>
        <v/>
      </c>
      <c r="D11" s="23">
        <f>EST_RESULTADO_R</f>
        <v/>
      </c>
    </row>
    <row r="12">
      <c r="B12" s="9" t="inlineStr">
        <is>
          <t>Tipo efectivo</t>
        </is>
      </c>
      <c r="C12" s="25">
        <f>FED_EFECTIVO</f>
        <v/>
      </c>
      <c r="D12" s="25">
        <f>IF(FED_AGI&gt;0,EST_IMPUESTO_R/FED_AGI,0)</f>
        <v/>
      </c>
    </row>
    <row r="14" ht="30" customHeight="1">
      <c r="B14" s="21" t="inlineStr">
        <is>
          <t>Pagos estimados</t>
        </is>
      </c>
      <c r="C14" s="21" t="inlineStr">
        <is>
          <t>Importe</t>
        </is>
      </c>
      <c r="D14" s="21" t="inlineStr">
        <is>
          <t>Próximo vencimiento</t>
        </is>
      </c>
    </row>
    <row r="15">
      <c r="B15" s="22" t="inlineStr">
        <is>
          <t>¿Tienes que hacerlos?</t>
        </is>
      </c>
      <c r="C15" s="26">
        <f>PE_OBLIGADO_R</f>
        <v/>
      </c>
      <c r="D15" s="27">
        <f>MIN(IF(VENCE_2026_1&gt;=TODAY(),VENCE_2026_1,99999),IF(VENCE_2026_2&gt;=TODAY(),VENCE_2026_2,99999),IF(VENCE_2026_3&gt;=TODAY(),VENCE_2026_3,99999),IF(VENCE_2026_4&gt;=TODAY(),VENCE_2026_4,99999),IF(VENCE_2027_1&gt;=TODAY(),VENCE_2027_1,99999),IF(VENCE_2027_2&gt;=TODAY(),VENCE_2027_2,99999),IF(VENCE_2027_3&gt;=TODAY(),VENCE_2027_3,99999),IF(VENCE_2027_4&gt;=TODAY(),VENCE_2027_4,99999))</f>
        <v/>
      </c>
    </row>
    <row r="16">
      <c r="B16" s="22" t="inlineStr">
        <is>
          <t>Pago trimestral para no deber nada en abril</t>
        </is>
      </c>
      <c r="C16" s="23">
        <f>PE_TRIM_TODO_R</f>
        <v/>
      </c>
    </row>
    <row r="17">
      <c r="B17" s="9" t="inlineStr">
        <is>
          <t>Mínimo trimestral para no tener multa</t>
        </is>
      </c>
      <c r="C17" s="24">
        <f>PE_TRIM_MIN_R</f>
        <v/>
      </c>
    </row>
    <row r="18">
      <c r="B18" s="22" t="inlineStr">
        <is>
          <t>Aparta cada mes</t>
        </is>
      </c>
      <c r="C18" s="23">
        <f>PE_MES_R</f>
        <v/>
      </c>
      <c r="D18" s="28">
        <f>PE_PCT_R</f>
        <v/>
      </c>
    </row>
    <row r="20">
      <c r="B20" s="29" t="inlineStr">
        <is>
          <t>Estimación orientativa con las cifras oficiales de 2026. No es asesoría fiscal: compara con tu preparador o con el software del IRS antes de declarar.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0:D20"/>
  </mergeCells>
  <printOptions horizontalCentered="1"/>
  <pageMargins left="0.4" right="0.4" top="0.5" bottom="0.5" header="0.5" footer="0.5"/>
  <pageSetup orientation="landscape" paperSize="1" fitToHeight="0" fitToWidth="1"/>
  <headerFooter>
    <oddHeader/>
    <oddFooter>&amp;C&amp;8 ChequeClaro · &amp;A ·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166"/>
    <outlinePr summaryBelow="1" summaryRight="1"/>
    <pageSetUpPr fitToPage="1"/>
  </sheetPr>
  <dimension ref="A1:D27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54" customWidth="1" min="2" max="2"/>
    <col width="30" customWidth="1" min="3" max="3"/>
    <col width="62" customWidth="1" min="4" max="4"/>
  </cols>
  <sheetData>
    <row r="1" ht="8" customHeight="1">
      <c r="A1" s="1" t="n"/>
      <c r="B1" s="1" t="n"/>
      <c r="C1" s="1" t="n"/>
      <c r="D1" s="1" t="n"/>
    </row>
    <row r="2" ht="34" customHeight="1">
      <c r="A2" s="1" t="n"/>
      <c r="B2" s="14" t="inlineStr">
        <is>
          <t>Tus datos</t>
        </is>
      </c>
      <c r="C2" s="1" t="n"/>
      <c r="D2" s="15" t="inlineStr">
        <is>
          <t>ChequeClaro</t>
        </is>
      </c>
    </row>
    <row r="3" ht="20" customHeight="1">
      <c r="A3" s="1" t="n"/>
      <c r="B3" s="16" t="inlineStr">
        <is>
          <t>Año fiscal 2026: lo que ganaste del 1 de enero al 31 de diciembre</t>
        </is>
      </c>
      <c r="C3" s="1" t="n"/>
      <c r="D3" s="1" t="n"/>
    </row>
    <row r="4" ht="4" customHeight="1">
      <c r="A4" s="6" t="n"/>
      <c r="B4" s="6" t="n"/>
      <c r="C4" s="6" t="n"/>
      <c r="D4" s="6" t="n"/>
    </row>
    <row r="6">
      <c r="B6" s="30" t="inlineStr">
        <is>
          <t>Amarillo</t>
        </is>
      </c>
      <c r="C6" s="12" t="inlineStr">
        <is>
          <t>Escribe tú en las celdas amarillas. Las demás se calculan solas: no hace falta tocarlas.</t>
        </is>
      </c>
    </row>
    <row r="8" ht="22" customHeight="1">
      <c r="B8" s="17" t="inlineStr">
        <is>
          <t>Tú y tu familia</t>
        </is>
      </c>
      <c r="C8" s="18" t="n"/>
      <c r="D8" s="18" t="n"/>
    </row>
    <row r="9" ht="22" customHeight="1">
      <c r="B9" s="22" t="inlineStr">
        <is>
          <t>Estado civil para declarar (filing status)</t>
        </is>
      </c>
      <c r="C9" s="31" t="inlineStr">
        <is>
          <t>Soltero (single)</t>
        </is>
      </c>
      <c r="D9" s="12" t="inlineStr">
        <is>
          <t>El de tu Form 1040.</t>
        </is>
      </c>
    </row>
    <row r="10" ht="22" customHeight="1">
      <c r="B10" s="22" t="inlineStr">
        <is>
          <t>Estado donde vives</t>
        </is>
      </c>
      <c r="C10" s="31" t="inlineStr">
        <is>
          <t>Texas</t>
        </is>
      </c>
      <c r="D10" s="12" t="inlineStr">
        <is>
          <t>Si te mudaste durante el año, elige donde viviste más tiempo (aproximación).</t>
        </is>
      </c>
    </row>
    <row r="11" ht="22" customHeight="1">
      <c r="B11" s="22" t="inlineStr">
        <is>
          <t>Hijos menores de 17 con SSN</t>
        </is>
      </c>
      <c r="C11" s="32" t="n">
        <v>0</v>
      </c>
      <c r="D11" s="12" t="inlineStr">
        <is>
          <t>Para el crédito por hijos (Child Tax Credit).</t>
        </is>
      </c>
    </row>
    <row r="12" ht="22" customHeight="1">
      <c r="B12" s="22" t="inlineStr">
        <is>
          <t>Otros dependientes</t>
        </is>
      </c>
      <c r="C12" s="32" t="n">
        <v>0</v>
      </c>
      <c r="D12" s="12" t="inlineStr">
        <is>
          <t>Hijos de 17 o más, padres a tu cargo, hijos con ITIN.</t>
        </is>
      </c>
    </row>
    <row r="13" ht="22" customHeight="1">
      <c r="B13" s="17" t="inlineStr">
        <is>
          <t>Trabajo con W-2 (empleado)</t>
        </is>
      </c>
      <c r="C13" s="18" t="n"/>
      <c r="D13" s="18" t="n"/>
    </row>
    <row r="14" ht="22" customHeight="1">
      <c r="B14" s="22" t="inlineStr">
        <is>
          <t>Salarios W-2 (casilla 1)</t>
        </is>
      </c>
      <c r="C14" s="33" t="n">
        <v>0</v>
      </c>
      <c r="D14" s="12" t="inlineStr">
        <is>
          <t>Si tienes varios W-2, súmalos. Sin el 401(k) antes de impuestos.</t>
        </is>
      </c>
    </row>
    <row r="15" ht="22" customHeight="1">
      <c r="B15" s="22" t="inlineStr">
        <is>
          <t>Impuesto federal retenido (casilla 2)</t>
        </is>
      </c>
      <c r="C15" s="33" t="n">
        <v>0</v>
      </c>
      <c r="D15" s="12" t="inlineStr"/>
    </row>
    <row r="16" ht="22" customHeight="1">
      <c r="B16" s="22" t="inlineStr">
        <is>
          <t>Impuesto estatal retenido (casilla 17)</t>
        </is>
      </c>
      <c r="C16" s="33" t="n">
        <v>0</v>
      </c>
      <c r="D16" s="12" t="inlineStr"/>
    </row>
    <row r="17" ht="22" customHeight="1">
      <c r="B17" s="17" t="inlineStr">
        <is>
          <t>Trabajo por tu cuenta (1099)</t>
        </is>
      </c>
      <c r="C17" s="18" t="n"/>
      <c r="D17" s="18" t="n"/>
    </row>
    <row r="18" ht="22" customHeight="1">
      <c r="B18" s="22" t="inlineStr">
        <is>
          <t>Ingresos 1099 del año</t>
        </is>
      </c>
      <c r="C18" s="33" t="n">
        <v>0</v>
      </c>
      <c r="D18" s="12" t="inlineStr">
        <is>
          <t>1099-NEC, 1099-K de apps (Uber, DoorDash, Etsy…) y pagos en efectivo.</t>
        </is>
      </c>
    </row>
    <row r="19" ht="22" customHeight="1">
      <c r="B19" s="22" t="inlineStr">
        <is>
          <t>Gastos del negocio (Schedule C)</t>
        </is>
      </c>
      <c r="C19" s="33" t="n">
        <v>0</v>
      </c>
      <c r="D19" s="12" t="inlineStr">
        <is>
          <t>Millas × tarifa del IRS, teléfono, herramientas, seguro, comisiones…</t>
        </is>
      </c>
    </row>
    <row r="20" ht="22" customHeight="1">
      <c r="B20" s="17" t="inlineStr">
        <is>
          <t>Otros</t>
        </is>
      </c>
      <c r="C20" s="18" t="n"/>
      <c r="D20" s="18" t="n"/>
    </row>
    <row r="21" ht="22" customHeight="1">
      <c r="B21" s="22" t="inlineStr">
        <is>
          <t>Otros ingresos (intereses, desempleo…)</t>
        </is>
      </c>
      <c r="C21" s="33" t="n">
        <v>0</v>
      </c>
      <c r="D21" s="12" t="inlineStr">
        <is>
          <t>Tributan como el salario.</t>
        </is>
      </c>
    </row>
    <row r="22" ht="22" customHeight="1">
      <c r="B22" s="22" t="inlineStr">
        <is>
          <t>Deducciones detalladas (si vas a detallar)</t>
        </is>
      </c>
      <c r="C22" s="33" t="n">
        <v>0</v>
      </c>
      <c r="D22" s="12" t="inlineStr">
        <is>
          <t>Déjalo en 0 para usar la deducción estándar.</t>
        </is>
      </c>
    </row>
    <row r="23" ht="22" customHeight="1">
      <c r="B23" s="22" t="inlineStr">
        <is>
          <t>Impuesto total del año pasado (Form 1040, línea 24)</t>
        </is>
      </c>
      <c r="C23" s="33" t="n">
        <v>0</v>
      </c>
      <c r="D23" s="12" t="inlineStr">
        <is>
          <t>Para el puerto seguro de los pagos estimados. 0 si no lo sabes.</t>
        </is>
      </c>
    </row>
    <row r="24" ht="22" customHeight="1">
      <c r="B24" s="22" t="inlineStr">
        <is>
          <t>AGI del año pasado (Form 1040, línea 11)</t>
        </is>
      </c>
      <c r="C24" s="33" t="n">
        <v>0</v>
      </c>
      <c r="D24" s="12" t="inlineStr"/>
    </row>
    <row r="26">
      <c r="B26" s="34" t="inlineStr">
        <is>
          <t>Estado civil (número, lo usan las fórmulas)</t>
        </is>
      </c>
      <c r="C26" s="35">
        <f>MATCH(EC_TXT,{"Soltero (single)","Casado, declaración conjunta (married filing jointly)","Cabeza de familia (head of household)","Casado, declaración separada (married filing separately)"},0)</f>
        <v/>
      </c>
    </row>
    <row r="27">
      <c r="B27" s="34" t="inlineStr">
        <is>
          <t>Fila del estado en «Tablas»</t>
        </is>
      </c>
      <c r="C27" s="35">
        <f>MATCH(ESTADO_NOM,EST_NOM,0)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13">
    <dataValidation sqref="C9" showDropDown="0" showInputMessage="0" showErrorMessage="1" allowBlank="1" errorTitle="Valor no válido" error="Elige una opción de la lista." type="list">
      <formula1>"Soltero (single),Casado, declaración conjunta (married filing jointly),Cabeza de familia (head of household),Casado, declaración separada (married filing separately)"</formula1>
    </dataValidation>
    <dataValidation sqref="C10" showDropDown="0" showInputMessage="0" showErrorMessage="1" allowBlank="1" errorTitle="Valor no válido" error="Elige una opción de la lista." type="list">
      <formula1>EST_NOM</formula1>
    </dataValidation>
    <dataValidation sqref="C11" showDropDown="0" showInputMessage="0" showErrorMessage="1" allowBlank="1" errorTitle="Número no válido" error="Escribe un número (sin el símbolo de moneda)." type="whole" operator="between">
      <formula1>0</formula1>
      <formula2>20</formula2>
    </dataValidation>
    <dataValidation sqref="C12" showDropDown="0" showInputMessage="0" showErrorMessage="1" allowBlank="1" errorTitle="Número no válido" error="Escribe un número (sin el símbolo de moneda)." type="whole" operator="between">
      <formula1>0</formula1>
      <formula2>20</formula2>
    </dataValidation>
    <dataValidation sqref="C14" showDropDown="0" showInputMessage="0" showErrorMessage="1" allowBlank="1" errorTitle="Número no válido" error="Escribe un número (sin el símbolo de moneda)." type="decimal" operator="greaterThanOrEqual">
      <formula1>0</formula1>
    </dataValidation>
    <dataValidation sqref="C15" showDropDown="0" showInputMessage="0" showErrorMessage="1" allowBlank="1" errorTitle="Número no válido" error="Escribe un número (sin el símbolo de moneda)." type="decimal" operator="greaterThanOrEqual">
      <formula1>0</formula1>
    </dataValidation>
    <dataValidation sqref="C16" showDropDown="0" showInputMessage="0" showErrorMessage="1" allowBlank="1" errorTitle="Número no válido" error="Escribe un número (sin el símbolo de moneda)." type="decimal" operator="greaterThanOrEqual">
      <formula1>0</formula1>
    </dataValidation>
    <dataValidation sqref="C18" showDropDown="0" showInputMessage="0" showErrorMessage="1" allowBlank="1" errorTitle="Número no válido" error="Escribe un número (sin el símbolo de moneda)." type="decimal" operator="greaterThanOrEqual">
      <formula1>0</formula1>
    </dataValidation>
    <dataValidation sqref="C19" showDropDown="0" showInputMessage="0" showErrorMessage="1" allowBlank="1" errorTitle="Número no válido" error="Escribe un número (sin el símbolo de moneda)." type="decimal" operator="greaterThanOrEqual">
      <formula1>0</formula1>
    </dataValidation>
    <dataValidation sqref="C21" showDropDown="0" showInputMessage="0" showErrorMessage="1" allowBlank="1" errorTitle="Número no válido" error="Escribe un número (sin el símbolo de moneda)." type="decimal" operator="greaterThanOrEqual">
      <formula1>0</formula1>
    </dataValidation>
    <dataValidation sqref="C22" showDropDown="0" showInputMessage="0" showErrorMessage="1" allowBlank="1" errorTitle="Número no válido" error="Escribe un número (sin el símbolo de moneda)." type="decimal" operator="greaterThanOrEqual">
      <formula1>0</formula1>
    </dataValidation>
    <dataValidation sqref="C23" showDropDown="0" showInputMessage="0" showErrorMessage="1" allowBlank="1" errorTitle="Número no válido" error="Escribe un número (sin el símbolo de moneda)." type="decimal" operator="greaterThanOrEqual">
      <formula1>0</formula1>
    </dataValidation>
    <dataValidation sqref="C24" showDropDown="0" showInputMessage="0" showErrorMessage="1" allowBlank="1" errorTitle="Número no válido" error="Escribe un número (sin el símbolo de moneda)." type="decimal" operator="greaterThanOrEqual">
      <formula1>0</formula1>
    </dataValidation>
  </dataValidations>
  <printOptions horizontalCentered="1"/>
  <pageMargins left="0.4" right="0.4" top="0.5" bottom="0.5" header="0.5" footer="0.5"/>
  <pageSetup orientation="landscape" paperSize="1" fitToHeight="0" fitToWidth="1"/>
  <headerFooter>
    <oddHeader/>
    <oddFooter>&amp;C&amp;8 ChequeClaro · &amp;A · &amp;P/&amp;N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B6B7A"/>
    <outlinePr summaryBelow="1" summaryRight="1"/>
    <pageSetUpPr fitToPage="1"/>
  </sheetPr>
  <dimension ref="A1:D41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18" customWidth="1" min="3" max="3"/>
    <col width="60" customWidth="1" min="4" max="4"/>
  </cols>
  <sheetData>
    <row r="1" ht="8" customHeight="1">
      <c r="A1" s="1" t="n"/>
      <c r="B1" s="1" t="n"/>
      <c r="C1" s="1" t="n"/>
      <c r="D1" s="1" t="n"/>
    </row>
    <row r="2" ht="34" customHeight="1">
      <c r="A2" s="1" t="n"/>
      <c r="B2" s="14" t="inlineStr">
        <is>
          <t>Impuesto federal 2026</t>
        </is>
      </c>
      <c r="C2" s="1" t="n"/>
      <c r="D2" s="15" t="inlineStr">
        <is>
          <t>ChequeClaro</t>
        </is>
      </c>
    </row>
    <row r="3" ht="20" customHeight="1">
      <c r="A3" s="1" t="n"/>
      <c r="B3" s="16" t="inlineStr">
        <is>
          <t>Form 1040 y Schedule SE, paso a paso</t>
        </is>
      </c>
      <c r="C3" s="1" t="n"/>
      <c r="D3" s="1" t="n"/>
    </row>
    <row r="4" ht="4" customHeight="1">
      <c r="A4" s="6" t="n"/>
      <c r="B4" s="6" t="n"/>
      <c r="C4" s="6" t="n"/>
      <c r="D4" s="6" t="n"/>
    </row>
    <row r="7" ht="22" customHeight="1">
      <c r="B7" s="17" t="inlineStr">
        <is>
          <t>Self-employment tax (Schedule SE)</t>
        </is>
      </c>
      <c r="C7" s="18" t="n"/>
      <c r="D7" s="18" t="n"/>
    </row>
    <row r="8">
      <c r="B8" s="9" t="inlineStr">
        <is>
          <t>Ganancia neta del negocio (Schedule C)</t>
        </is>
      </c>
      <c r="C8" s="24">
        <f>MAX(0,ING1099-GAS1099)</f>
        <v/>
      </c>
    </row>
    <row r="9">
      <c r="B9" s="9" t="inlineStr">
        <is>
          <t>Base: 92.35% de la ganancia</t>
        </is>
      </c>
      <c r="C9" s="24">
        <f>ROUND(C8*SE_BASE/100,2)</f>
        <v/>
      </c>
    </row>
    <row r="10">
      <c r="B10" s="9" t="inlineStr">
        <is>
          <t>Seguro Social (12.4% hasta el tope, menos tu salario W-2)</t>
        </is>
      </c>
      <c r="C10" s="24">
        <f>IF(OR(C9&lt;SE_MIN,C8&lt;SE_MIN),0,ROUND(MIN(C9,MAX(0,SS_TOPE-SAL))*SE_SS/100,2))</f>
        <v/>
      </c>
    </row>
    <row r="11">
      <c r="B11" s="9" t="inlineStr">
        <is>
          <t>Medicare (2.9%)</t>
        </is>
      </c>
      <c r="C11" s="24">
        <f>IF(OR(C9&lt;SE_MIN,C8&lt;SE_MIN),0,ROUND(C9*SE_MED/100,2))</f>
        <v/>
      </c>
    </row>
    <row r="12">
      <c r="B12" s="22" t="inlineStr">
        <is>
          <t>Self-employment tax</t>
        </is>
      </c>
      <c r="C12" s="36">
        <f>C10+C11</f>
        <v/>
      </c>
    </row>
    <row r="13">
      <c r="B13" s="9" t="inlineStr">
        <is>
          <t>Mitad deducible</t>
        </is>
      </c>
      <c r="C13" s="24">
        <f>ROUND(C12*SE_DED/100,2)</f>
        <v/>
      </c>
    </row>
    <row r="15" ht="22" customHeight="1">
      <c r="B15" s="17" t="inlineStr">
        <is>
          <t>Renta imponible (Form 1040)</t>
        </is>
      </c>
      <c r="C15" s="18" t="n"/>
      <c r="D15" s="18" t="n"/>
    </row>
    <row r="16">
      <c r="B16" s="9" t="inlineStr">
        <is>
          <t>Ingresos totales</t>
        </is>
      </c>
      <c r="C16" s="24">
        <f>SAL+C8+OTROS</f>
        <v/>
      </c>
    </row>
    <row r="17">
      <c r="B17" s="22" t="inlineStr">
        <is>
          <t>Ingreso bruto ajustado (AGI)</t>
        </is>
      </c>
      <c r="C17" s="36">
        <f>MAX(0,C16-C13)</f>
        <v/>
      </c>
    </row>
    <row r="18">
      <c r="B18" s="9" t="inlineStr">
        <is>
          <t>Deducción estándar</t>
        </is>
      </c>
      <c r="C18" s="24">
        <f>CHOOSE(EC,STD_1,STD_2,STD_3,STD_4)</f>
        <v/>
      </c>
    </row>
    <row r="19">
      <c r="B19" s="9" t="inlineStr">
        <is>
          <t>Deducción que se aplica (la mayor)</t>
        </is>
      </c>
      <c r="C19" s="24">
        <f>MAX(C18,DETALLADA)</f>
        <v/>
      </c>
    </row>
    <row r="20">
      <c r="B20" s="9" t="inlineStr">
        <is>
          <t>Renta antes de la deducción QBI</t>
        </is>
      </c>
      <c r="C20" s="24">
        <f>MAX(0,C17-C19)</f>
        <v/>
      </c>
    </row>
    <row r="21">
      <c r="B21" s="9" t="inlineStr">
        <is>
          <t>Deducción por ingreso de negocio (QBI, 20%)</t>
        </is>
      </c>
      <c r="C21" s="24">
        <f>IF(AND(MAX(0,C8-C13)&gt;0,C20&lt;=CHOOSE(EC,QBI_UMB_1,QBI_UMB_2,QBI_UMB_3,QBI_UMB_4)),ROUND(MIN(MAX(0,C8-C13),C20)*QBI_PCT/100,2),0)</f>
        <v/>
      </c>
      <c r="D21" s="12" t="inlineStr">
        <is>
          <t>Solo por debajo del umbral, donde no hay límites por tipo de negocio</t>
        </is>
      </c>
    </row>
    <row r="22">
      <c r="B22" s="22" t="inlineStr">
        <is>
          <t>Renta imponible (taxable income)</t>
        </is>
      </c>
      <c r="C22" s="36">
        <f>MAX(0,C20-C21)</f>
        <v/>
      </c>
    </row>
    <row r="23">
      <c r="B23" s="9" t="inlineStr">
        <is>
          <t>Impuesto según los tramos</t>
        </is>
      </c>
      <c r="C23" s="24">
        <f>ROUND(SUMPRODUCT((ESC_K="FED|"&amp;EC)*(C22&gt;ESC_DESDE)*(C22-ESC_DESDE)*ESC_DELTA)/100,2)</f>
        <v/>
      </c>
    </row>
    <row r="25" ht="22" customHeight="1">
      <c r="B25" s="17" t="inlineStr">
        <is>
          <t>Créditos por hijos (Schedule 8812)</t>
        </is>
      </c>
      <c r="C25" s="18" t="n"/>
      <c r="D25" s="18" t="n"/>
    </row>
    <row r="26">
      <c r="B26" s="9" t="inlineStr">
        <is>
          <t>Crédito bruto</t>
        </is>
      </c>
      <c r="C26" s="24">
        <f>HIJOS*CTC_HIJO+OTROSDEP*CTC_OTRO</f>
        <v/>
      </c>
    </row>
    <row r="27">
      <c r="B27" s="9" t="inlineStr">
        <is>
          <t>Reducción por ingresos</t>
        </is>
      </c>
      <c r="C27" s="24">
        <f>ROUNDUP(MAX(0,C17-CHOOSE(EC,CTC_UMB_1,CTC_UMB_2,CTC_UMB_3,CTC_UMB_4))/1000,0)*CTC_RED</f>
        <v/>
      </c>
    </row>
    <row r="28">
      <c r="B28" s="9" t="inlineStr">
        <is>
          <t>Crédito posible</t>
        </is>
      </c>
      <c r="C28" s="24">
        <f>MAX(0,C26-C27)</f>
        <v/>
      </c>
    </row>
    <row r="29">
      <c r="B29" s="9" t="inlineStr">
        <is>
          <t>Parte no reembolsable (resta del impuesto)</t>
        </is>
      </c>
      <c r="C29" s="24">
        <f>MIN(C28,MAX(0,C23))</f>
        <v/>
      </c>
    </row>
    <row r="30">
      <c r="B30" s="9" t="inlineStr">
        <is>
          <t>Parte reembolsable (ACTC)</t>
        </is>
      </c>
      <c r="C30" s="24">
        <f>ROUND(MIN(MAX(0,MIN(C28,HIJOS*CTC_HIJO)-C29),HIJOS*CTC_REEMB,MAX(0,SAL+MAX(0,C8-C13)-CTC_UMB_GAN)*CTC_PCT/100),2)</f>
        <v/>
      </c>
      <c r="D30" s="12" t="inlineStr">
        <is>
          <t>Te la pagan aunque no debas impuesto</t>
        </is>
      </c>
    </row>
    <row r="32" ht="22" customHeight="1">
      <c r="B32" s="17" t="inlineStr">
        <is>
          <t>Total</t>
        </is>
      </c>
      <c r="C32" s="18" t="n"/>
      <c r="D32" s="18" t="n"/>
    </row>
    <row r="33">
      <c r="B33" s="9" t="inlineStr">
        <is>
          <t>Impuesto sobre la renta</t>
        </is>
      </c>
      <c r="C33" s="24">
        <f>MAX(0,C23-C29)</f>
        <v/>
      </c>
    </row>
    <row r="34">
      <c r="B34" s="9" t="inlineStr">
        <is>
          <t>Medicare adicional (Form 8959)</t>
        </is>
      </c>
      <c r="C34" s="24">
        <f>ROUND(MAX(0,SAL+C9-CHOOSE(EC,MED_UMB_1,MED_UMB_2,MED_UMB_3,MED_UMB_4))*MED_ADIC/100,2)</f>
        <v/>
      </c>
    </row>
    <row r="35">
      <c r="B35" s="9" t="inlineStr">
        <is>
          <t>IMPUESTO FEDERAL TOTAL</t>
        </is>
      </c>
      <c r="C35" s="23">
        <f>C33+C12+C34</f>
        <v/>
      </c>
    </row>
    <row r="36">
      <c r="B36" s="9" t="inlineStr">
        <is>
          <t>Retención W-2 + ACTC + Medicare adicional retenido</t>
        </is>
      </c>
      <c r="C36" s="24">
        <f>RET_FED+C30+ROUND(MAX(0,SAL-MED_RET)*MED_ADIC/100,2)</f>
        <v/>
      </c>
    </row>
    <row r="37">
      <c r="B37" s="9" t="inlineStr">
        <is>
          <t>Antes de pagos estimados: reembolso (+) o a pagar (−)</t>
        </is>
      </c>
      <c r="C37" s="23">
        <f>C36-C35</f>
        <v/>
      </c>
    </row>
    <row r="38">
      <c r="B38" s="9" t="inlineStr">
        <is>
          <t>Tipo efectivo</t>
        </is>
      </c>
      <c r="C38" s="25">
        <f>IF(C16&gt;0,C35/C16,0)</f>
        <v/>
      </c>
    </row>
    <row r="39">
      <c r="B39" s="9" t="inlineStr">
        <is>
          <t>Tipo marginal federal</t>
        </is>
      </c>
      <c r="C39" s="37">
        <f>IF(C22&lt;=0,0,SUMPRODUCT((ESC_K="FED|"&amp;EC)*(C22&gt;ESC_DESDE)*ESC_DELTA))/100</f>
        <v/>
      </c>
    </row>
    <row r="41">
      <c r="B41" s="12" t="inlineStr">
        <is>
          <t>Simplificado: sin ganancias de capital, deducciones por propinas u horas extra, EITC ni otros créditos. Es el mismo cálculo que la calculadora de reembolso de ChequeClaro.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41:D41"/>
  </mergeCells>
  <printOptions horizontalCentered="1"/>
  <pageMargins left="0.4" right="0.4" top="0.5" bottom="0.5" header="0.5" footer="0.5"/>
  <pageSetup orientation="landscape" paperSize="1" fitToHeight="0" fitToWidth="1"/>
  <headerFooter>
    <oddHeader/>
    <oddFooter>&amp;C&amp;8 ChequeClaro · &amp;A · &amp;P/&amp;N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B6B7A"/>
    <outlinePr summaryBelow="1" summaryRight="1"/>
    <pageSetUpPr fitToPage="1"/>
  </sheetPr>
  <dimension ref="A1:D17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18" customWidth="1" min="3" max="3"/>
    <col width="60" customWidth="1" min="4" max="4"/>
  </cols>
  <sheetData>
    <row r="1" ht="8" customHeight="1">
      <c r="A1" s="1" t="n"/>
      <c r="B1" s="1" t="n"/>
      <c r="C1" s="1" t="n"/>
      <c r="D1" s="1" t="n"/>
    </row>
    <row r="2" ht="34" customHeight="1">
      <c r="A2" s="1" t="n"/>
      <c r="B2" s="14" t="inlineStr">
        <is>
          <t>Impuesto estatal 2026</t>
        </is>
      </c>
      <c r="C2" s="1" t="n"/>
      <c r="D2" s="15" t="inlineStr">
        <is>
          <t>ChequeClaro</t>
        </is>
      </c>
    </row>
    <row r="3" ht="20" customHeight="1">
      <c r="A3" s="1" t="n"/>
      <c r="B3" s="16">
        <f>"Estado: "&amp;ESTADO_NOM</f>
        <v/>
      </c>
      <c r="C3" s="1" t="n"/>
      <c r="D3" s="1" t="n"/>
    </row>
    <row r="4" ht="4" customHeight="1">
      <c r="A4" s="6" t="n"/>
      <c r="B4" s="6" t="n"/>
      <c r="C4" s="6" t="n"/>
      <c r="D4" s="6" t="n"/>
    </row>
    <row r="7">
      <c r="B7" s="9" t="inlineStr">
        <is>
          <t>Tipo de impuesto</t>
        </is>
      </c>
      <c r="C7" s="38">
        <f>IF(INDEX(EST_TIPO,EST_I)="ninguno","Sin impuesto sobre la renta",IF(INDEX(EST_TIPO,EST_I)="plano","Tipo único","Progresivo"))</f>
        <v/>
      </c>
    </row>
    <row r="8">
      <c r="B8" s="9" t="inlineStr">
        <is>
          <t>Ingreso de partida</t>
        </is>
      </c>
      <c r="C8" s="24">
        <f>CHOOSE(MATCH(INDEX(EST_BASE,EST_I),{"agi","federal_imponible","salario_bruto"},0),FED_AGI,FED_IMPONIBLE,SAL+FED_GAN)</f>
        <v/>
      </c>
      <c r="D8" s="12" t="inlineStr">
        <is>
          <t>AGI federal, renta imponible federal o salario, según el estado</t>
        </is>
      </c>
    </row>
    <row r="9">
      <c r="B9" s="9" t="inlineStr">
        <is>
          <t>Deducciones y exenciones del estado</t>
        </is>
      </c>
      <c r="C9" s="24">
        <f>IF(INDEX(EST_DED1,EST_I)="federal",FED_STD,CHOOSE(EC,INDEX(EST_DED1,EST_I),INDEX(EST_DED2,EST_I),INDEX(EST_DED3,EST_I),INDEX(EST_DED4,EST_I)))+INDEX(EST_EXPERS,EST_I)*(IF(EC=2,2,1)+(HIJOS+OTROSDEP))+CHOOSE(EC,INDEX(EST_EXP1,EST_I),INDEX(EST_EXP2,EST_I),INDEX(EST_EXP3,EST_I),INDEX(EST_EXP4,EST_I))+INDEX(EST_EXDEP,EST_I)*(HIJOS+OTROSDEP)</f>
        <v/>
      </c>
    </row>
    <row r="10">
      <c r="B10" s="22" t="inlineStr">
        <is>
          <t>Renta imponible estatal</t>
        </is>
      </c>
      <c r="C10" s="36">
        <f>ROUND(MAX(0,C8-C9),2)</f>
        <v/>
      </c>
    </row>
    <row r="11">
      <c r="B11" s="9" t="inlineStr">
        <is>
          <t>Impuesto antes de créditos</t>
        </is>
      </c>
      <c r="C11" s="24">
        <f>IF(INDEX(EST_TIPO,EST_I)="plano",C10*INDEX(EST_PCT,EST_I)/100,IF(INDEX(EST_TIPO,EST_I)="progresivo",SUMPRODUCT((ESC_K=INDEX(EST_COD,EST_I)&amp;"|"&amp;EC)*(C10&gt;ESC_DESDE)*(C10-ESC_DESDE)*ESC_DELTA)/100,0))+IF(AND(INDEX(EST_SOB_UMB,EST_I)&gt;0,C10&gt;INDEX(EST_SOB_UMB,EST_I)),(C10-INDEX(EST_SOB_UMB,EST_I))*INDEX(EST_SOB_PCT,EST_I)/100,0)</f>
        <v/>
      </c>
    </row>
    <row r="12">
      <c r="B12" s="9" t="inlineStr">
        <is>
          <t>Créditos personales y por dependientes</t>
        </is>
      </c>
      <c r="C12" s="24">
        <f>CHOOSE(EC,INDEX(EST_CP1,EST_I),INDEX(EST_CP2,EST_I),INDEX(EST_CP3,EST_I),INDEX(EST_CP4,EST_I))+INDEX(EST_CDEP,EST_I)*(HIJOS+OTROSDEP)</f>
        <v/>
      </c>
    </row>
    <row r="13">
      <c r="B13" s="9" t="inlineStr">
        <is>
          <t>IMPUESTO ESTATAL</t>
        </is>
      </c>
      <c r="C13" s="23">
        <f>IF(INDEX(EST_TIPO,EST_I)="ninguno",0,ROUND(MAX(0,C11-C12),2))</f>
        <v/>
      </c>
    </row>
    <row r="14">
      <c r="B14" s="9" t="inlineStr">
        <is>
          <t>Retención estatal − impuesto: reembolso (+) o a pagar (−)</t>
        </is>
      </c>
      <c r="C14" s="23">
        <f>RET_EST-C13</f>
        <v/>
      </c>
    </row>
    <row r="16" ht="30" customHeight="1">
      <c r="B16" s="12" t="inlineStr">
        <is>
          <t>Simplificado: aplica la deducción estándar o las exenciones, los tramos y los créditos personales del estado. No incluye impuestos locales (NYC, Yonkers, condados de Maryland, EIT de Pensilvania), créditos especiales ni el pago estimado estatal: cada estado tiene su formulario y sus fechas.</t>
        </is>
      </c>
    </row>
    <row r="17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16:D17"/>
  </mergeCells>
  <printOptions horizontalCentered="1"/>
  <pageMargins left="0.4" right="0.4" top="0.5" bottom="0.5" header="0.5" footer="0.5"/>
  <pageSetup orientation="landscape" paperSize="1" fitToHeight="0" fitToWidth="1"/>
  <headerFooter>
    <oddHeader/>
    <oddFooter>&amp;C&amp;8 ChequeClaro · &amp;A · &amp;P/&amp;N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597A8"/>
    <outlinePr summaryBelow="1" summaryRight="1"/>
    <pageSetUpPr fitToPage="1"/>
  </sheetPr>
  <dimension ref="A1:H31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34" customHeight="1">
      <c r="A2" s="1" t="n"/>
      <c r="B2" s="14" t="inlineStr">
        <is>
          <t>Pagos estimados (Form 1040-ES)</t>
        </is>
      </c>
      <c r="C2" s="1" t="n"/>
      <c r="D2" s="1" t="n"/>
      <c r="E2" s="1" t="n"/>
      <c r="F2" s="1" t="n"/>
      <c r="G2" s="1" t="n"/>
      <c r="H2" s="15" t="inlineStr">
        <is>
          <t>ChequeClaro</t>
        </is>
      </c>
    </row>
    <row r="3" ht="20" customHeight="1">
      <c r="A3" s="1" t="n"/>
      <c r="B3" s="16" t="inlineStr">
        <is>
          <t>Cuánto pagar cada trimestre para no tener multa ni sustos en abril</t>
        </is>
      </c>
      <c r="C3" s="1" t="n"/>
      <c r="D3" s="1" t="n"/>
      <c r="E3" s="1" t="n"/>
      <c r="F3" s="1" t="n"/>
      <c r="G3" s="1" t="n"/>
      <c r="H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</row>
    <row r="6">
      <c r="B6" s="30" t="inlineStr">
        <is>
          <t>Amarillo</t>
        </is>
      </c>
      <c r="C6" s="12" t="inlineStr">
        <is>
          <t>Escribe tú en las celdas amarillas. Las demás se calculan solas: no hace falta tocarlas.</t>
        </is>
      </c>
    </row>
    <row r="8">
      <c r="B8" s="9" t="inlineStr">
        <is>
          <t>Impuesto federal total del año</t>
        </is>
      </c>
      <c r="D8" s="24">
        <f>FED_TOTAL</f>
        <v/>
      </c>
    </row>
    <row r="9">
      <c r="B9" s="9" t="inlineStr">
        <is>
          <t>Ya cubierto por retenciones y créditos reembolsables</t>
        </is>
      </c>
      <c r="D9" s="24">
        <f>FED_PAGOS</f>
        <v/>
      </c>
    </row>
    <row r="10">
      <c r="B10" s="22" t="inlineStr">
        <is>
          <t>Lo que faltaría pagar</t>
        </is>
      </c>
      <c r="D10" s="36">
        <f>MAX(0,D8-D9)</f>
        <v/>
      </c>
    </row>
    <row r="11">
      <c r="B11" s="22" t="inlineStr">
        <is>
          <t>¿Tienes que hacer pagos estimados?</t>
        </is>
      </c>
      <c r="D11" s="39">
        <f>IF(D10&gt;=PE_UMBRAL,"Sí","No: debes menos de "&amp;PE_UMBRAL&amp;" $")</f>
        <v/>
      </c>
    </row>
    <row r="12">
      <c r="B12" s="9" t="inlineStr">
        <is>
          <t>Mínimo del año para no tener multa (puerto seguro)</t>
        </is>
      </c>
      <c r="D12" s="24">
        <f>MAX(0,IF(PREV_TAX&gt;0,MIN(D8*PE_ACTUAL/100,PREV_TAX*IF(PREV_AGI&gt;IF(EC=4,PE_AGI_ALTO_MFS,PE_AGI_ALTO),PE_ANTERIOR_ALTO,PE_ANTERIOR)/100),D8*PE_ACTUAL/100)-D9)</f>
        <v/>
      </c>
      <c r="E12" s="12" t="inlineStr">
        <is>
          <t>El menor entre el 90% de este año y el 100% del año pasado (110% con AGI alto), menos lo retenido</t>
        </is>
      </c>
    </row>
    <row r="13">
      <c r="B13" s="9" t="inlineStr">
        <is>
          <t>Pago trimestral mínimo (puerto seguro)</t>
        </is>
      </c>
      <c r="D13" s="23">
        <f>ROUND(D12/4,2)</f>
        <v/>
      </c>
    </row>
    <row r="14">
      <c r="B14" s="9" t="inlineStr">
        <is>
          <t>Pago trimestral para no deber nada en abril</t>
        </is>
      </c>
      <c r="D14" s="23">
        <f>ROUND(D10/4,2)</f>
        <v/>
      </c>
    </row>
    <row r="15">
      <c r="B15" s="22" t="inlineStr">
        <is>
          <t>Aparta cada mes (federal + estatal)</t>
        </is>
      </c>
      <c r="D15" s="36">
        <f>ROUND((D10+MAX(0,-EST_RESULTADO_R))/12,2)</f>
        <v/>
      </c>
    </row>
    <row r="16">
      <c r="B16" s="9" t="inlineStr">
        <is>
          <t>Porcentaje de tu ganancia 1099 que conviene apartar</t>
        </is>
      </c>
      <c r="D16" s="25">
        <f>IF(FED_GAN&gt;0,(D10+MAX(0,-EST_RESULTADO_R))/FED_GAN,0)</f>
        <v/>
      </c>
    </row>
    <row r="18" ht="30" customHeight="1">
      <c r="B18" s="21" t="inlineStr">
        <is>
          <t>Pago</t>
        </is>
      </c>
      <c r="C18" s="21" t="inlineStr">
        <is>
          <t>Ingresos del periodo</t>
        </is>
      </c>
      <c r="D18" s="21" t="inlineStr">
        <is>
          <t>Vence</t>
        </is>
      </c>
      <c r="E18" s="21" t="inlineStr">
        <is>
          <t>Importe sugerido</t>
        </is>
      </c>
      <c r="F18" s="21" t="inlineStr">
        <is>
          <t>Pagado ($)</t>
        </is>
      </c>
      <c r="G18" s="21" t="inlineStr">
        <is>
          <t>Fecha de pago</t>
        </is>
      </c>
      <c r="H18" s="21" t="inlineStr">
        <is>
          <t>Pendiente</t>
        </is>
      </c>
    </row>
    <row r="19">
      <c r="B19" s="40" t="inlineStr">
        <is>
          <t>Año fiscal 2026</t>
        </is>
      </c>
      <c r="C19" s="41" t="n"/>
      <c r="D19" s="41" t="n"/>
      <c r="E19" s="41" t="n"/>
      <c r="F19" s="41" t="n"/>
      <c r="G19" s="41" t="n"/>
      <c r="H19" s="41" t="n"/>
    </row>
    <row r="20">
      <c r="B20" s="42" t="inlineStr">
        <is>
          <t>1.º pago 2026</t>
        </is>
      </c>
      <c r="C20" s="42" t="inlineStr">
        <is>
          <t>1 ene – 31 mar</t>
        </is>
      </c>
      <c r="D20" s="27" t="n">
        <v>46127</v>
      </c>
      <c r="E20" s="24">
        <f>MAX(D13,D14)</f>
        <v/>
      </c>
      <c r="F20" s="33" t="n"/>
      <c r="G20" s="43" t="n"/>
      <c r="H20" s="24">
        <f>IF(ISNUMBER(E20),MAX(0,E20-N(F20)),"")</f>
        <v/>
      </c>
    </row>
    <row r="21">
      <c r="B21" s="42" t="inlineStr">
        <is>
          <t>2.º pago 2026</t>
        </is>
      </c>
      <c r="C21" s="42" t="inlineStr">
        <is>
          <t>1 abr – 31 may</t>
        </is>
      </c>
      <c r="D21" s="27" t="n">
        <v>46188</v>
      </c>
      <c r="E21" s="24">
        <f>MAX(D13,D14)</f>
        <v/>
      </c>
      <c r="F21" s="33" t="n"/>
      <c r="G21" s="43" t="n"/>
      <c r="H21" s="24">
        <f>IF(ISNUMBER(E21),MAX(0,E21-N(F21)),"")</f>
        <v/>
      </c>
    </row>
    <row r="22">
      <c r="B22" s="42" t="inlineStr">
        <is>
          <t>3.º pago 2026</t>
        </is>
      </c>
      <c r="C22" s="42" t="inlineStr">
        <is>
          <t>1 jun – 31 ago</t>
        </is>
      </c>
      <c r="D22" s="27" t="n">
        <v>46280</v>
      </c>
      <c r="E22" s="24">
        <f>MAX(D13,D14)</f>
        <v/>
      </c>
      <c r="F22" s="33" t="n"/>
      <c r="G22" s="43" t="n"/>
      <c r="H22" s="24">
        <f>IF(ISNUMBER(E22),MAX(0,E22-N(F22)),"")</f>
        <v/>
      </c>
    </row>
    <row r="23">
      <c r="B23" s="42" t="inlineStr">
        <is>
          <t>4.º pago 2026</t>
        </is>
      </c>
      <c r="C23" s="42" t="inlineStr">
        <is>
          <t>1 sep – 31 dic</t>
        </is>
      </c>
      <c r="D23" s="27" t="n">
        <v>46402</v>
      </c>
      <c r="E23" s="24">
        <f>MAX(D13,D14)</f>
        <v/>
      </c>
      <c r="F23" s="33" t="n"/>
      <c r="G23" s="43" t="n"/>
      <c r="H23" s="24">
        <f>IF(ISNUMBER(E23),MAX(0,E23-N(F23)),"")</f>
        <v/>
      </c>
    </row>
    <row r="24">
      <c r="B24" s="40" t="inlineStr">
        <is>
          <t>Año fiscal 2027 (para planificar)</t>
        </is>
      </c>
      <c r="C24" s="41" t="n"/>
      <c r="D24" s="41" t="n"/>
      <c r="E24" s="41" t="n"/>
      <c r="F24" s="41" t="n"/>
      <c r="G24" s="41" t="n"/>
      <c r="H24" s="41" t="n"/>
    </row>
    <row r="25">
      <c r="B25" s="42" t="inlineStr">
        <is>
          <t>1.º pago 2027</t>
        </is>
      </c>
      <c r="C25" s="42" t="inlineStr">
        <is>
          <t>1 ene – 31 mar</t>
        </is>
      </c>
      <c r="D25" s="27" t="n">
        <v>46492</v>
      </c>
      <c r="E25" s="44" t="inlineStr">
        <is>
          <t>Con tus cifras de 2027</t>
        </is>
      </c>
      <c r="F25" s="33" t="n"/>
      <c r="G25" s="43" t="n"/>
      <c r="H25" s="24">
        <f>IF(ISNUMBER(E25),MAX(0,E25-N(F25)),"")</f>
        <v/>
      </c>
    </row>
    <row r="26">
      <c r="B26" s="42" t="inlineStr">
        <is>
          <t>2.º pago 2027</t>
        </is>
      </c>
      <c r="C26" s="42" t="inlineStr">
        <is>
          <t>1 abr – 31 may</t>
        </is>
      </c>
      <c r="D26" s="27" t="n">
        <v>46553</v>
      </c>
      <c r="E26" s="44" t="inlineStr">
        <is>
          <t>Con tus cifras de 2027</t>
        </is>
      </c>
      <c r="F26" s="33" t="n"/>
      <c r="G26" s="43" t="n"/>
      <c r="H26" s="24">
        <f>IF(ISNUMBER(E26),MAX(0,E26-N(F26)),"")</f>
        <v/>
      </c>
    </row>
    <row r="27">
      <c r="B27" s="42" t="inlineStr">
        <is>
          <t>3.º pago 2027</t>
        </is>
      </c>
      <c r="C27" s="42" t="inlineStr">
        <is>
          <t>1 jun – 31 ago</t>
        </is>
      </c>
      <c r="D27" s="27" t="n">
        <v>46645</v>
      </c>
      <c r="E27" s="44" t="inlineStr">
        <is>
          <t>Con tus cifras de 2027</t>
        </is>
      </c>
      <c r="F27" s="33" t="n"/>
      <c r="G27" s="43" t="n"/>
      <c r="H27" s="24">
        <f>IF(ISNUMBER(E27),MAX(0,E27-N(F27)),"")</f>
        <v/>
      </c>
    </row>
    <row r="28">
      <c r="B28" s="42" t="inlineStr">
        <is>
          <t>4.º pago 2027</t>
        </is>
      </c>
      <c r="C28" s="42" t="inlineStr">
        <is>
          <t>1 sep – 31 dic</t>
        </is>
      </c>
      <c r="D28" s="27" t="n">
        <v>46770</v>
      </c>
      <c r="E28" s="44" t="inlineStr">
        <is>
          <t>Con tus cifras de 2027</t>
        </is>
      </c>
      <c r="F28" s="33" t="n"/>
      <c r="G28" s="43" t="n"/>
      <c r="H28" s="24">
        <f>IF(ISNUMBER(E28),MAX(0,E28-N(F28)),"")</f>
        <v/>
      </c>
    </row>
    <row r="30" ht="30" customHeight="1">
      <c r="B30" s="12" t="inlineStr">
        <is>
          <t>Si el día 15 cae en sábado, domingo o festivo federal (o el Emancipation Day de Washington D. C. en abril), vence el siguiente día hábil. Fechas calculadas con esa regla y los festivos federales. Paga en IRS Direct Pay (irs.gov/payments) o EFTPS y guarda el justificante. Fuente: IRS: Form 1040-ES (2026) y Publicación 505</t>
        </is>
      </c>
    </row>
    <row r="31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1">
    <mergeCell ref="B13:C13"/>
    <mergeCell ref="B16:C16"/>
    <mergeCell ref="B15:C15"/>
    <mergeCell ref="B30:H31"/>
    <mergeCell ref="B11:C11"/>
    <mergeCell ref="E12:H12"/>
    <mergeCell ref="B10:C10"/>
    <mergeCell ref="B14:C14"/>
    <mergeCell ref="B9:C9"/>
    <mergeCell ref="B8:C8"/>
    <mergeCell ref="B12:C12"/>
  </mergeCells>
  <conditionalFormatting sqref="B19:H28">
    <cfRule type="expression" priority="1" dxfId="0">
      <formula>AND(ISNUMBER($D19),$D19&gt;=TODAY(),$D19-TODAY()&lt;=21,N($F19)=0)</formula>
    </cfRule>
  </conditionalFormatting>
  <printOptions horizontalCentered="1"/>
  <pageMargins left="0.4" right="0.4" top="0.5" bottom="0.5" header="0.5" footer="0.5"/>
  <pageSetup orientation="landscape" paperSize="1" fitToHeight="0" fitToWidth="1"/>
  <headerFooter>
    <oddHeader/>
    <oddFooter>&amp;C&amp;8 ChequeClaro · &amp;A · &amp;P/&amp;N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FFD166"/>
    <outlinePr summaryBelow="1" summaryRight="1"/>
    <pageSetUpPr fitToPage="1"/>
  </sheetPr>
  <dimension ref="A1:E28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0" customWidth="1" min="3" max="3"/>
    <col width="18" customWidth="1" min="4" max="4"/>
    <col width="10" customWidth="1" min="5" max="5"/>
  </cols>
  <sheetData>
    <row r="1" ht="8" customHeight="1">
      <c r="A1" s="1" t="n"/>
      <c r="B1" s="1" t="n"/>
      <c r="C1" s="1" t="n"/>
      <c r="D1" s="1" t="n"/>
      <c r="E1" s="1" t="n"/>
    </row>
    <row r="2" ht="34" customHeight="1">
      <c r="A2" s="1" t="n"/>
      <c r="B2" s="14" t="inlineStr">
        <is>
          <t>Documentos para declarar</t>
        </is>
      </c>
      <c r="C2" s="1" t="n"/>
      <c r="D2" s="1" t="n"/>
      <c r="E2" s="15" t="inlineStr">
        <is>
          <t>ChequeClaro</t>
        </is>
      </c>
    </row>
    <row r="3" ht="20" customHeight="1">
      <c r="A3" s="1" t="n"/>
      <c r="B3" s="16" t="inlineStr">
        <is>
          <t>Llegan entre enero y mediados de febrero. Marca «Sí» cuando lo tengas.</t>
        </is>
      </c>
      <c r="C3" s="1" t="n"/>
      <c r="D3" s="1" t="n"/>
      <c r="E3" s="1" t="n"/>
    </row>
    <row r="4" ht="4" customHeight="1">
      <c r="A4" s="6" t="n"/>
      <c r="B4" s="6" t="n"/>
      <c r="C4" s="6" t="n"/>
      <c r="D4" s="6" t="n"/>
      <c r="E4" s="6" t="n"/>
    </row>
    <row r="6" ht="30" customHeight="1">
      <c r="B6" s="21" t="inlineStr">
        <is>
          <t>Documento</t>
        </is>
      </c>
      <c r="C6" s="21" t="inlineStr">
        <is>
          <t>Qué es y para qué sirve</t>
        </is>
      </c>
      <c r="D6" s="21" t="inlineStr">
        <is>
          <t>Quién te lo manda</t>
        </is>
      </c>
      <c r="E6" s="21" t="inlineStr">
        <is>
          <t>¿Lo tengo?</t>
        </is>
      </c>
    </row>
    <row r="7" ht="22" customHeight="1">
      <c r="B7" s="17" t="inlineStr">
        <is>
          <t>Identidad</t>
        </is>
      </c>
      <c r="C7" s="18" t="n"/>
      <c r="D7" s="18" t="n"/>
      <c r="E7" s="18" t="n"/>
    </row>
    <row r="8" ht="30" customHeight="1">
      <c r="B8" s="45" t="inlineStr">
        <is>
          <t>SSN o ITIN</t>
        </is>
      </c>
      <c r="C8" s="46" t="inlineStr">
        <is>
          <t>Número de Seguro Social o ITIN tuyo, de tu cónyuge y de cada dependiente. Para el crédito por hijos, el hijo necesita SSN.</t>
        </is>
      </c>
      <c r="D8" s="47" t="inlineStr">
        <is>
          <t>SSA / IRS</t>
        </is>
      </c>
      <c r="E8" s="30" t="n"/>
    </row>
    <row r="9" ht="30" customHeight="1">
      <c r="B9" s="45" t="inlineStr">
        <is>
          <t>Declaración del año pasado</t>
        </is>
      </c>
      <c r="C9" s="46" t="inlineStr">
        <is>
          <t>Tu Form 1040 anterior: el AGI y el impuesto total sirven para firmar electrónicamente y para el puerto seguro.</t>
        </is>
      </c>
      <c r="D9" s="47" t="inlineStr">
        <is>
          <t>Tú</t>
        </is>
      </c>
      <c r="E9" s="30" t="n"/>
    </row>
    <row r="10" ht="30" customHeight="1">
      <c r="B10" s="45" t="inlineStr">
        <is>
          <t>Cuenta bancaria</t>
        </is>
      </c>
      <c r="C10" s="46" t="inlineStr">
        <is>
          <t>Número de ruta (routing) y de cuenta para recibir el reembolso por depósito directo.</t>
        </is>
      </c>
      <c r="D10" s="47" t="inlineStr">
        <is>
          <t>Tu banco</t>
        </is>
      </c>
      <c r="E10" s="30" t="n"/>
    </row>
    <row r="11" ht="22" customHeight="1">
      <c r="B11" s="17" t="inlineStr">
        <is>
          <t>Ingresos</t>
        </is>
      </c>
      <c r="C11" s="18" t="n"/>
      <c r="D11" s="18" t="n"/>
      <c r="E11" s="18" t="n"/>
    </row>
    <row r="12" ht="30" customHeight="1">
      <c r="B12" s="45" t="inlineStr">
        <is>
          <t>W-2</t>
        </is>
      </c>
      <c r="C12" s="46" t="inlineStr">
        <is>
          <t>Salarios y retenciones de cada empleador. Casilla 1: salario; casilla 2: federal retenido; casilla 17: estatal.</t>
        </is>
      </c>
      <c r="D12" s="47" t="inlineStr">
        <is>
          <t>Cada empleador</t>
        </is>
      </c>
      <c r="E12" s="30" t="n"/>
    </row>
    <row r="13" ht="30" customHeight="1">
      <c r="B13" s="45" t="inlineStr">
        <is>
          <t>1099-NEC</t>
        </is>
      </c>
      <c r="C13" s="46" t="inlineStr">
        <is>
          <t>Pagos de 600 $ o más como contratista independiente.</t>
        </is>
      </c>
      <c r="D13" s="47" t="inlineStr">
        <is>
          <t>Cada cliente</t>
        </is>
      </c>
      <c r="E13" s="30" t="n"/>
    </row>
    <row r="14" ht="30" customHeight="1">
      <c r="B14" s="45" t="inlineStr">
        <is>
          <t>1099-K</t>
        </is>
      </c>
      <c r="C14" s="46" t="inlineStr">
        <is>
          <t>Pagos por apps y plataformas (Uber, DoorDash, PayPal, Etsy…).</t>
        </is>
      </c>
      <c r="D14" s="47" t="inlineStr">
        <is>
          <t>La plataforma</t>
        </is>
      </c>
      <c r="E14" s="30" t="n"/>
    </row>
    <row r="15" ht="30" customHeight="1">
      <c r="B15" s="45" t="inlineStr">
        <is>
          <t>1099-INT / 1099-DIV</t>
        </is>
      </c>
      <c r="C15" s="46" t="inlineStr">
        <is>
          <t>Intereses y dividendos de bancos y brókeres.</t>
        </is>
      </c>
      <c r="D15" s="47" t="inlineStr">
        <is>
          <t>Banco o bróker</t>
        </is>
      </c>
      <c r="E15" s="30" t="n"/>
    </row>
    <row r="16" ht="30" customHeight="1">
      <c r="B16" s="45" t="inlineStr">
        <is>
          <t>1099-G</t>
        </is>
      </c>
      <c r="C16" s="46" t="inlineStr">
        <is>
          <t>Desempleo cobrado y reembolsos estatales.</t>
        </is>
      </c>
      <c r="D16" s="47" t="inlineStr">
        <is>
          <t>Tu estado</t>
        </is>
      </c>
      <c r="E16" s="30" t="n"/>
    </row>
    <row r="17" ht="30" customHeight="1">
      <c r="B17" s="45" t="inlineStr">
        <is>
          <t>Registro de ingresos en efectivo</t>
        </is>
      </c>
      <c r="C17" s="46" t="inlineStr">
        <is>
          <t>Todo lo cobrado sin 1099 también se declara.</t>
        </is>
      </c>
      <c r="D17" s="47" t="inlineStr">
        <is>
          <t>Tú</t>
        </is>
      </c>
      <c r="E17" s="30" t="n"/>
    </row>
    <row r="18" ht="22" customHeight="1">
      <c r="B18" s="17" t="inlineStr">
        <is>
          <t>Gastos del negocio</t>
        </is>
      </c>
      <c r="C18" s="18" t="n"/>
      <c r="D18" s="18" t="n"/>
      <c r="E18" s="18" t="n"/>
    </row>
    <row r="19" ht="30" customHeight="1">
      <c r="B19" s="45" t="inlineStr">
        <is>
          <t>Registro de millas</t>
        </is>
      </c>
      <c r="C19" s="46" t="inlineStr">
        <is>
          <t>Fecha, destino, motivo y millas de cada viaje de trabajo. Sin registro, el IRS puede rechazar la deducción.</t>
        </is>
      </c>
      <c r="D19" s="47" t="inlineStr">
        <is>
          <t>Tú</t>
        </is>
      </c>
      <c r="E19" s="30" t="n"/>
    </row>
    <row r="20" ht="30" customHeight="1">
      <c r="B20" s="45" t="inlineStr">
        <is>
          <t>Recibos y facturas</t>
        </is>
      </c>
      <c r="C20" s="46" t="inlineStr">
        <is>
          <t>Teléfono, herramientas, material, seguros, comisiones de la app, oficina en casa.</t>
        </is>
      </c>
      <c r="D20" s="47" t="inlineStr">
        <is>
          <t>Tú</t>
        </is>
      </c>
      <c r="E20" s="30" t="n"/>
    </row>
    <row r="21" ht="30" customHeight="1">
      <c r="B21" s="45" t="inlineStr">
        <is>
          <t>Pagos estimados hechos</t>
        </is>
      </c>
      <c r="C21" s="46" t="inlineStr">
        <is>
          <t>Fechas e importes de los pagos del Form 1040-ES (hoja «Pagos estimados»).</t>
        </is>
      </c>
      <c r="D21" s="47" t="inlineStr">
        <is>
          <t>Tú / IRS</t>
        </is>
      </c>
      <c r="E21" s="30" t="n"/>
    </row>
    <row r="22" ht="22" customHeight="1">
      <c r="B22" s="17" t="inlineStr">
        <is>
          <t>Créditos y deducciones</t>
        </is>
      </c>
      <c r="C22" s="18" t="n"/>
      <c r="D22" s="18" t="n"/>
      <c r="E22" s="18" t="n"/>
    </row>
    <row r="23" ht="30" customHeight="1">
      <c r="B23" s="45" t="inlineStr">
        <is>
          <t>Form 1098</t>
        </is>
      </c>
      <c r="C23" s="46" t="inlineStr">
        <is>
          <t>Intereses de la hipoteca (si vas a detallar).</t>
        </is>
      </c>
      <c r="D23" s="47" t="inlineStr">
        <is>
          <t>Tu banco</t>
        </is>
      </c>
      <c r="E23" s="30" t="n"/>
    </row>
    <row r="24" ht="30" customHeight="1">
      <c r="B24" s="45" t="inlineStr">
        <is>
          <t>Form 1098-E</t>
        </is>
      </c>
      <c r="C24" s="46" t="inlineStr">
        <is>
          <t>Intereses del préstamo estudiantil.</t>
        </is>
      </c>
      <c r="D24" s="47" t="inlineStr">
        <is>
          <t>Quien te prestó</t>
        </is>
      </c>
      <c r="E24" s="30" t="n"/>
    </row>
    <row r="25" ht="30" customHeight="1">
      <c r="B25" s="45" t="inlineStr">
        <is>
          <t>Form 1098-T</t>
        </is>
      </c>
      <c r="C25" s="46" t="inlineStr">
        <is>
          <t>Matrícula universitaria (créditos de educación).</t>
        </is>
      </c>
      <c r="D25" s="47" t="inlineStr">
        <is>
          <t>La universidad</t>
        </is>
      </c>
      <c r="E25" s="30" t="n"/>
    </row>
    <row r="26" ht="30" customHeight="1">
      <c r="B26" s="45" t="inlineStr">
        <is>
          <t>Form 1095-A</t>
        </is>
      </c>
      <c r="C26" s="46" t="inlineStr">
        <is>
          <t>Seguro médico del Marketplace (crédito de prima).</t>
        </is>
      </c>
      <c r="D26" s="47" t="inlineStr">
        <is>
          <t>HealthCare.gov</t>
        </is>
      </c>
      <c r="E26" s="30" t="n"/>
    </row>
    <row r="27" ht="30" customHeight="1">
      <c r="B27" s="45" t="inlineStr">
        <is>
          <t>Gastos de cuidado de niños</t>
        </is>
      </c>
      <c r="C27" s="46" t="inlineStr">
        <is>
          <t>Nombre, dirección y EIN o SSN de la guardería o cuidador.</t>
        </is>
      </c>
      <c r="D27" s="47" t="inlineStr">
        <is>
          <t>La guardería</t>
        </is>
      </c>
      <c r="E27" s="30" t="n"/>
    </row>
    <row r="28" ht="30" customHeight="1">
      <c r="B28" s="45" t="inlineStr">
        <is>
          <t>Aportes a IRA o HSA</t>
        </is>
      </c>
      <c r="C28" s="46" t="inlineStr">
        <is>
          <t>Formularios 5498 y 5498-SA.</t>
        </is>
      </c>
      <c r="D28" s="47" t="inlineStr">
        <is>
          <t>Tu bróker o banco</t>
        </is>
      </c>
      <c r="E28" s="3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B7:E28">
    <cfRule type="expression" priority="1" dxfId="1">
      <formula>OR($E7="Sí",$E7="No aplica")</formula>
    </cfRule>
  </conditionalFormatting>
  <dataValidations count="18">
    <dataValidation sqref="E8" showDropDown="0" showInputMessage="0" showErrorMessage="1" allowBlank="1" errorTitle="Valor no válido" error="Elige una opción de la lista." type="list">
      <formula1>"Sí,No,No aplica"</formula1>
    </dataValidation>
    <dataValidation sqref="E9" showDropDown="0" showInputMessage="0" showErrorMessage="1" allowBlank="1" errorTitle="Valor no válido" error="Elige una opción de la lista." type="list">
      <formula1>"Sí,No,No aplica"</formula1>
    </dataValidation>
    <dataValidation sqref="E10" showDropDown="0" showInputMessage="0" showErrorMessage="1" allowBlank="1" errorTitle="Valor no válido" error="Elige una opción de la lista." type="list">
      <formula1>"Sí,No,No aplica"</formula1>
    </dataValidation>
    <dataValidation sqref="E12" showDropDown="0" showInputMessage="0" showErrorMessage="1" allowBlank="1" errorTitle="Valor no válido" error="Elige una opción de la lista." type="list">
      <formula1>"Sí,No,No aplica"</formula1>
    </dataValidation>
    <dataValidation sqref="E13" showDropDown="0" showInputMessage="0" showErrorMessage="1" allowBlank="1" errorTitle="Valor no válido" error="Elige una opción de la lista." type="list">
      <formula1>"Sí,No,No aplica"</formula1>
    </dataValidation>
    <dataValidation sqref="E14" showDropDown="0" showInputMessage="0" showErrorMessage="1" allowBlank="1" errorTitle="Valor no válido" error="Elige una opción de la lista." type="list">
      <formula1>"Sí,No,No aplica"</formula1>
    </dataValidation>
    <dataValidation sqref="E15" showDropDown="0" showInputMessage="0" showErrorMessage="1" allowBlank="1" errorTitle="Valor no válido" error="Elige una opción de la lista." type="list">
      <formula1>"Sí,No,No aplica"</formula1>
    </dataValidation>
    <dataValidation sqref="E16" showDropDown="0" showInputMessage="0" showErrorMessage="1" allowBlank="1" errorTitle="Valor no válido" error="Elige una opción de la lista." type="list">
      <formula1>"Sí,No,No aplica"</formula1>
    </dataValidation>
    <dataValidation sqref="E17" showDropDown="0" showInputMessage="0" showErrorMessage="1" allowBlank="1" errorTitle="Valor no válido" error="Elige una opción de la lista." type="list">
      <formula1>"Sí,No,No aplica"</formula1>
    </dataValidation>
    <dataValidation sqref="E19" showDropDown="0" showInputMessage="0" showErrorMessage="1" allowBlank="1" errorTitle="Valor no válido" error="Elige una opción de la lista." type="list">
      <formula1>"Sí,No,No aplica"</formula1>
    </dataValidation>
    <dataValidation sqref="E20" showDropDown="0" showInputMessage="0" showErrorMessage="1" allowBlank="1" errorTitle="Valor no válido" error="Elige una opción de la lista." type="list">
      <formula1>"Sí,No,No aplica"</formula1>
    </dataValidation>
    <dataValidation sqref="E21" showDropDown="0" showInputMessage="0" showErrorMessage="1" allowBlank="1" errorTitle="Valor no válido" error="Elige una opción de la lista." type="list">
      <formula1>"Sí,No,No aplica"</formula1>
    </dataValidation>
    <dataValidation sqref="E23" showDropDown="0" showInputMessage="0" showErrorMessage="1" allowBlank="1" errorTitle="Valor no válido" error="Elige una opción de la lista." type="list">
      <formula1>"Sí,No,No aplica"</formula1>
    </dataValidation>
    <dataValidation sqref="E24" showDropDown="0" showInputMessage="0" showErrorMessage="1" allowBlank="1" errorTitle="Valor no válido" error="Elige una opción de la lista." type="list">
      <formula1>"Sí,No,No aplica"</formula1>
    </dataValidation>
    <dataValidation sqref="E25" showDropDown="0" showInputMessage="0" showErrorMessage="1" allowBlank="1" errorTitle="Valor no válido" error="Elige una opción de la lista." type="list">
      <formula1>"Sí,No,No aplica"</formula1>
    </dataValidation>
    <dataValidation sqref="E26" showDropDown="0" showInputMessage="0" showErrorMessage="1" allowBlank="1" errorTitle="Valor no válido" error="Elige una opción de la lista." type="list">
      <formula1>"Sí,No,No aplica"</formula1>
    </dataValidation>
    <dataValidation sqref="E27" showDropDown="0" showInputMessage="0" showErrorMessage="1" allowBlank="1" errorTitle="Valor no válido" error="Elige una opción de la lista." type="list">
      <formula1>"Sí,No,No aplica"</formula1>
    </dataValidation>
    <dataValidation sqref="E28" showDropDown="0" showInputMessage="0" showErrorMessage="1" allowBlank="1" errorTitle="Valor no válido" error="Elige una opción de la lista." type="list">
      <formula1>"Sí,No,No aplica"</formula1>
    </dataValidation>
  </dataValidations>
  <printOptions horizontalCentered="1"/>
  <pageMargins left="0.4" right="0.4" top="0.5" bottom="0.5" header="0.5" footer="0.5"/>
  <pageSetup orientation="landscape" paperSize="1" fitToHeight="0" fitToWidth="1"/>
  <headerFooter>
    <oddHeader/>
    <oddFooter>&amp;C&amp;8 ChequeClaro · &amp;A · &amp;P/&amp;N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597A8"/>
    <outlinePr summaryBelow="1" summaryRight="1"/>
    <pageSetUpPr fitToPage="1"/>
  </sheetPr>
  <dimension ref="A1:C38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0" customWidth="1" min="3" max="3"/>
  </cols>
  <sheetData>
    <row r="1" ht="8" customHeight="1">
      <c r="A1" s="1" t="n"/>
      <c r="B1" s="1" t="n"/>
      <c r="C1" s="1" t="n"/>
    </row>
    <row r="2" ht="34" customHeight="1">
      <c r="A2" s="1" t="n"/>
      <c r="B2" s="14" t="inlineStr">
        <is>
          <t>Glosario de taxes en español</t>
        </is>
      </c>
      <c r="C2" s="15" t="inlineStr">
        <is>
          <t>ChequeClaro</t>
        </is>
      </c>
    </row>
    <row r="3" ht="20" customHeight="1">
      <c r="A3" s="1" t="n"/>
      <c r="B3" s="16" t="inlineStr">
        <is>
          <t>Las palabras del IRS que vas a ver en los formularios</t>
        </is>
      </c>
      <c r="C3" s="1" t="n"/>
    </row>
    <row r="4" ht="4" customHeight="1">
      <c r="A4" s="6" t="n"/>
      <c r="B4" s="6" t="n"/>
      <c r="C4" s="6" t="n"/>
    </row>
    <row r="6" ht="30" customHeight="1">
      <c r="B6" s="21" t="inlineStr">
        <is>
          <t>Término</t>
        </is>
      </c>
      <c r="C6" s="21" t="inlineStr">
        <is>
          <t>Qué significa</t>
        </is>
      </c>
    </row>
    <row r="7" ht="30" customHeight="1">
      <c r="B7" s="48" t="inlineStr">
        <is>
          <t>AGI (Adjusted Gross Income)</t>
        </is>
      </c>
      <c r="C7" s="49" t="inlineStr">
        <is>
          <t>Ingreso bruto ajustado: tus ingresos totales menos algunos ajustes (la mitad del self-employment tax, aportes a IRA…). Decide muchos créditos y límites.</t>
        </is>
      </c>
    </row>
    <row r="8" ht="30" customHeight="1">
      <c r="B8" s="48" t="inlineStr">
        <is>
          <t>Taxable income</t>
        </is>
      </c>
      <c r="C8" s="49" t="inlineStr">
        <is>
          <t>Renta imponible: el AGI menos la deducción estándar o detallada y la QBI. Sobre ella se aplican los tramos.</t>
        </is>
      </c>
    </row>
    <row r="9" ht="30" customHeight="1">
      <c r="B9" s="48" t="inlineStr">
        <is>
          <t>Standard deduction</t>
        </is>
      </c>
      <c r="C9" s="49" t="inlineStr">
        <is>
          <t>Deducción estándar: una cantidad fija que restas sin justificar gastos. Casi todo el mundo la usa.</t>
        </is>
      </c>
    </row>
    <row r="10" ht="30" customHeight="1">
      <c r="B10" s="48" t="inlineStr">
        <is>
          <t>Itemized deductions</t>
        </is>
      </c>
      <c r="C10" s="49" t="inlineStr">
        <is>
          <t>Deducciones detalladas (Schedule A): hipoteca, impuestos estatales y locales, donativos… Solo conviene si suman más que la estándar.</t>
        </is>
      </c>
    </row>
    <row r="11" ht="30" customHeight="1">
      <c r="B11" s="48" t="inlineStr">
        <is>
          <t>Filing status</t>
        </is>
      </c>
      <c r="C11" s="49" t="inlineStr">
        <is>
          <t>Estado civil para declarar: single, married filing jointly, married filing separately, head of household.</t>
        </is>
      </c>
    </row>
    <row r="12" ht="30" customHeight="1">
      <c r="B12" s="48" t="inlineStr">
        <is>
          <t>Head of household</t>
        </is>
      </c>
      <c r="C12" s="49" t="inlineStr">
        <is>
          <t>Cabeza de familia: soltero que paga más de la mitad de los gastos de la casa de un dependiente. Tiene tramos y deducción mejores que single.</t>
        </is>
      </c>
    </row>
    <row r="13" ht="30" customHeight="1">
      <c r="B13" s="48" t="inlineStr">
        <is>
          <t>Tax bracket</t>
        </is>
      </c>
      <c r="C13" s="49" t="inlineStr">
        <is>
          <t>Tramo: cada parte de tu renta paga su tipo. Subir de tramo solo afecta a lo que pasa del límite.</t>
        </is>
      </c>
    </row>
    <row r="14" ht="18" customHeight="1">
      <c r="B14" s="48" t="inlineStr">
        <is>
          <t>Marginal rate</t>
        </is>
      </c>
      <c r="C14" s="49" t="inlineStr">
        <is>
          <t>Tipo marginal: el del último dólar que ganas.</t>
        </is>
      </c>
    </row>
    <row r="15" ht="18" customHeight="1">
      <c r="B15" s="48" t="inlineStr">
        <is>
          <t>Effective rate</t>
        </is>
      </c>
      <c r="C15" s="49" t="inlineStr">
        <is>
          <t>Tipo efectivo: impuesto total entre ingresos totales.</t>
        </is>
      </c>
    </row>
    <row r="16" ht="18" customHeight="1">
      <c r="B16" s="48" t="inlineStr">
        <is>
          <t>Withholding</t>
        </is>
      </c>
      <c r="C16" s="49" t="inlineStr">
        <is>
          <t>Retención: lo que tu empleador descuenta de cada cheque y manda al IRS por ti.</t>
        </is>
      </c>
    </row>
    <row r="17" ht="18" customHeight="1">
      <c r="B17" s="48" t="inlineStr">
        <is>
          <t>W-4</t>
        </is>
      </c>
      <c r="C17" s="49" t="inlineStr">
        <is>
          <t>Formulario que das a tu empleador para decidir cuánto te retiene.</t>
        </is>
      </c>
    </row>
    <row r="18" ht="18" customHeight="1">
      <c r="B18" s="48" t="inlineStr">
        <is>
          <t>W-2</t>
        </is>
      </c>
      <c r="C18" s="49" t="inlineStr">
        <is>
          <t>Resumen anual de salario y retenciones que te da cada empleador.</t>
        </is>
      </c>
    </row>
    <row r="19" ht="18" customHeight="1">
      <c r="B19" s="48" t="inlineStr">
        <is>
          <t>1099-NEC</t>
        </is>
      </c>
      <c r="C19" s="49" t="inlineStr">
        <is>
          <t>Formulario de pagos a contratistas independientes (non-employee compensation).</t>
        </is>
      </c>
    </row>
    <row r="20" ht="18" customHeight="1">
      <c r="B20" s="48" t="inlineStr">
        <is>
          <t>1099-K</t>
        </is>
      </c>
      <c r="C20" s="49" t="inlineStr">
        <is>
          <t>Pagos recibidos por apps y plataformas de pago.</t>
        </is>
      </c>
    </row>
    <row r="21" ht="30" customHeight="1">
      <c r="B21" s="48" t="inlineStr">
        <is>
          <t>Independent contractor</t>
        </is>
      </c>
      <c r="C21" s="49" t="inlineStr">
        <is>
          <t>Contratista independiente: trabajas por tu cuenta; nadie te retiene y pagas el self-employment tax.</t>
        </is>
      </c>
    </row>
    <row r="22" ht="18" customHeight="1">
      <c r="B22" s="48" t="inlineStr">
        <is>
          <t>Schedule C</t>
        </is>
      </c>
      <c r="C22" s="49" t="inlineStr">
        <is>
          <t>Anexo del 1040 donde declaras ingresos y gastos de tu negocio. Resultado: la ganancia neta.</t>
        </is>
      </c>
    </row>
    <row r="23" ht="18" customHeight="1">
      <c r="B23" s="48" t="inlineStr">
        <is>
          <t>Schedule SE</t>
        </is>
      </c>
      <c r="C23" s="49" t="inlineStr">
        <is>
          <t>Anexo donde calculas el self-employment tax.</t>
        </is>
      </c>
    </row>
    <row r="24" ht="30" customHeight="1">
      <c r="B24" s="48" t="inlineStr">
        <is>
          <t>Self-employment tax</t>
        </is>
      </c>
      <c r="C24" s="49" t="inlineStr">
        <is>
          <t>Seguro Social (12.4%) y Medicare (2.9%) del trabajador por cuenta propia: pagas la parte del empleado y la del empleador. La mitad se resta del AGI.</t>
        </is>
      </c>
    </row>
    <row r="25" ht="18" customHeight="1">
      <c r="B25" s="48" t="inlineStr">
        <is>
          <t>FICA</t>
        </is>
      </c>
      <c r="C25" s="49" t="inlineStr">
        <is>
          <t>Seguro Social (6.2%) y Medicare (1.45%) que se descuentan del cheque del empleado.</t>
        </is>
      </c>
    </row>
    <row r="26" ht="30" customHeight="1">
      <c r="B26" s="48" t="inlineStr">
        <is>
          <t>QBI deduction</t>
        </is>
      </c>
      <c r="C26" s="49" t="inlineStr">
        <is>
          <t>Deducción del 20% del ingreso calificado de negocio (sección 199A) para autónomos y pequeños negocios.</t>
        </is>
      </c>
    </row>
    <row r="27" ht="30" customHeight="1">
      <c r="B27" s="48" t="inlineStr">
        <is>
          <t>Estimated tax (1040-ES)</t>
        </is>
      </c>
      <c r="C27" s="49" t="inlineStr">
        <is>
          <t>Pagos estimados: lo que pagas al IRS durante el año cuando no te retienen lo suficiente. Cuatro plazos al año.</t>
        </is>
      </c>
    </row>
    <row r="28" ht="30" customHeight="1">
      <c r="B28" s="48" t="inlineStr">
        <is>
          <t>Safe harbor</t>
        </is>
      </c>
      <c r="C28" s="49" t="inlineStr">
        <is>
          <t>Puerto seguro: si pagas a tiempo cierto mínimo (90% de este año o 100%/110% del año pasado), no hay multa aunque debas en abril.</t>
        </is>
      </c>
    </row>
    <row r="29" ht="18" customHeight="1">
      <c r="B29" s="48" t="inlineStr">
        <is>
          <t>Underpayment penalty</t>
        </is>
      </c>
      <c r="C29" s="49" t="inlineStr">
        <is>
          <t>Multa por pagar poco o tarde durante el año (Form 2210).</t>
        </is>
      </c>
    </row>
    <row r="30" ht="18" customHeight="1">
      <c r="B30" s="48" t="inlineStr">
        <is>
          <t>Child Tax Credit (CTC)</t>
        </is>
      </c>
      <c r="C30" s="49" t="inlineStr">
        <is>
          <t>Crédito por hijos menores de 17 con SSN. Resta directamente del impuesto.</t>
        </is>
      </c>
    </row>
    <row r="31" ht="18" customHeight="1">
      <c r="B31" s="48" t="inlineStr">
        <is>
          <t>ACTC (Additional Child Tax Credit)</t>
        </is>
      </c>
      <c r="C31" s="49" t="inlineStr">
        <is>
          <t>Parte reembolsable del crédito por hijos: te la pagan aunque no debas impuesto.</t>
        </is>
      </c>
    </row>
    <row r="32" ht="18" customHeight="1">
      <c r="B32" s="48" t="inlineStr">
        <is>
          <t>Credit for Other Dependents</t>
        </is>
      </c>
      <c r="C32" s="49" t="inlineStr">
        <is>
          <t>Crédito de 500 $ por dependientes que no cumplen el CTC.</t>
        </is>
      </c>
    </row>
    <row r="33" ht="18" customHeight="1">
      <c r="B33" s="48" t="inlineStr">
        <is>
          <t>Refund</t>
        </is>
      </c>
      <c r="C33" s="49" t="inlineStr">
        <is>
          <t>Reembolso: lo que te devuelve el IRS si pagaste de más.</t>
        </is>
      </c>
    </row>
    <row r="34" ht="18" customHeight="1">
      <c r="B34" s="48" t="inlineStr">
        <is>
          <t>Balance due</t>
        </is>
      </c>
      <c r="C34" s="49" t="inlineStr">
        <is>
          <t>Lo que te toca pagar al declarar.</t>
        </is>
      </c>
    </row>
    <row r="35" ht="18" customHeight="1">
      <c r="B35" s="48" t="inlineStr">
        <is>
          <t>EIN</t>
        </is>
      </c>
      <c r="C35" s="49" t="inlineStr">
        <is>
          <t>Número de identificación de empleador; también lo usan algunos negocios propios.</t>
        </is>
      </c>
    </row>
    <row r="36" ht="18" customHeight="1">
      <c r="B36" s="48" t="inlineStr">
        <is>
          <t>ITIN</t>
        </is>
      </c>
      <c r="C36" s="49" t="inlineStr">
        <is>
          <t>Número de identificación del contribuyente para quien no puede tener SSN.</t>
        </is>
      </c>
    </row>
    <row r="37" ht="18" customHeight="1">
      <c r="B37" s="48" t="inlineStr">
        <is>
          <t>Direct Pay / EFTPS</t>
        </is>
      </c>
      <c r="C37" s="49" t="inlineStr">
        <is>
          <t>Formas oficiales de pagar al IRS por internet desde tu cuenta bancaria.</t>
        </is>
      </c>
    </row>
    <row r="38" ht="18" customHeight="1">
      <c r="B38" s="48" t="inlineStr">
        <is>
          <t>Tax preparer</t>
        </is>
      </c>
      <c r="C38" s="49" t="inlineStr">
        <is>
          <t>Preparador de impuestos. Exige que firme con su PTIN.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rintOptions horizontalCentered="1"/>
  <pageMargins left="0.4" right="0.4" top="0.5" bottom="0.5" header="0.5" footer="0.5"/>
  <pageSetup orientation="landscape" paperSize="1" fitToHeight="0" fitToWidth="1"/>
  <headerFooter>
    <oddHeader/>
    <oddFooter>&amp;C&amp;8 ChequeClaro · &amp;A · &amp;P/&amp;N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46595F"/>
    <outlinePr summaryBelow="1" summaryRight="1"/>
    <pageSetUpPr fitToPage="1"/>
  </sheetPr>
  <dimension ref="A1:D48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6" customWidth="1" min="3" max="3"/>
    <col width="58" customWidth="1" min="4" max="4"/>
    <col width="3" customWidth="1" min="5" max="5"/>
  </cols>
  <sheetData>
    <row r="1" ht="8" customHeight="1">
      <c r="A1" s="1" t="n"/>
      <c r="B1" s="1" t="n"/>
      <c r="C1" s="1" t="n"/>
      <c r="D1" s="1" t="n"/>
    </row>
    <row r="2" ht="34" customHeight="1">
      <c r="A2" s="1" t="n"/>
      <c r="B2" s="14" t="inlineStr">
        <is>
          <t>Parámetros</t>
        </is>
      </c>
      <c r="C2" s="1" t="n"/>
      <c r="D2" s="15" t="inlineStr">
        <is>
          <t>ChequeClaro</t>
        </is>
      </c>
    </row>
    <row r="3" ht="20" customHeight="1">
      <c r="A3" s="1" t="n"/>
      <c r="B3" s="16" t="inlineStr">
        <is>
          <t>Cifras de params/us/2026 a 2026-10-28: IRS (Rev. Proc. 2025-32), SSA y estados.</t>
        </is>
      </c>
      <c r="C3" s="1" t="n"/>
      <c r="D3" s="1" t="n"/>
    </row>
    <row r="4" ht="4" customHeight="1">
      <c r="A4" s="6" t="n"/>
      <c r="B4" s="6" t="n"/>
      <c r="C4" s="6" t="n"/>
      <c r="D4" s="6" t="n"/>
    </row>
    <row r="6" ht="30" customHeight="1">
      <c r="B6" s="21" t="inlineStr">
        <is>
          <t>Concepto</t>
        </is>
      </c>
      <c r="C6" s="21" t="inlineStr">
        <is>
          <t>Valor</t>
        </is>
      </c>
      <c r="D6" s="21" t="inlineStr">
        <is>
          <t>Fuente oficial</t>
        </is>
      </c>
    </row>
    <row r="7" ht="22" customHeight="1">
      <c r="B7" s="17" t="inlineStr">
        <is>
          <t>Federal: deducción estándar</t>
        </is>
      </c>
      <c r="C7" s="18" t="n"/>
      <c r="D7" s="18" t="n"/>
    </row>
    <row r="8" ht="24" customHeight="1">
      <c r="B8" s="49" t="inlineStr">
        <is>
          <t>Deducción estándar · Soltero (single)</t>
        </is>
      </c>
      <c r="C8" s="50" t="n">
        <v>16100</v>
      </c>
      <c r="D8" s="51" t="inlineStr">
        <is>
          <t>IRS Rev. Proc. 2025-32 (ajustes por inflación del año fiscal 2026)</t>
        </is>
      </c>
    </row>
    <row r="9" ht="24" customHeight="1">
      <c r="B9" s="49" t="inlineStr">
        <is>
          <t>Deducción estándar · Casado, declaración conjunta (married filing jointly)</t>
        </is>
      </c>
      <c r="C9" s="50" t="n">
        <v>32200</v>
      </c>
      <c r="D9" s="51" t="inlineStr">
        <is>
          <t>IRS Rev. Proc. 2025-32 (ajustes por inflación del año fiscal 2026)</t>
        </is>
      </c>
    </row>
    <row r="10" ht="24" customHeight="1">
      <c r="B10" s="49" t="inlineStr">
        <is>
          <t>Deducción estándar · Cabeza de familia (head of household)</t>
        </is>
      </c>
      <c r="C10" s="50" t="n">
        <v>24150</v>
      </c>
      <c r="D10" s="51" t="inlineStr">
        <is>
          <t>IRS Rev. Proc. 2025-32 (ajustes por inflación del año fiscal 2026)</t>
        </is>
      </c>
    </row>
    <row r="11" ht="24" customHeight="1">
      <c r="B11" s="49" t="inlineStr">
        <is>
          <t>Deducción estándar · Casado, declaración separada (married filing separately)</t>
        </is>
      </c>
      <c r="C11" s="50" t="n">
        <v>16100</v>
      </c>
      <c r="D11" s="51" t="inlineStr">
        <is>
          <t>IRS Rev. Proc. 2025-32 (ajustes por inflación del año fiscal 2026)</t>
        </is>
      </c>
    </row>
    <row r="12" ht="22" customHeight="1">
      <c r="B12" s="17" t="inlineStr">
        <is>
          <t>Seguro Social y Medicare (FICA y Schedule SE)</t>
        </is>
      </c>
      <c r="C12" s="18" t="n"/>
      <c r="D12" s="18" t="n"/>
    </row>
    <row r="13" ht="24" customHeight="1">
      <c r="B13" s="49" t="inlineStr">
        <is>
          <t>Base del self-employment tax (% de la ganancia)</t>
        </is>
      </c>
      <c r="C13" s="38" t="n">
        <v>92.34999999999999</v>
      </c>
      <c r="D13" s="51" t="inlineStr">
        <is>
          <t>IRS: Self-Employment Tax (Social Security and Medicare Taxes) e instrucciones del Schedule SE (Form 1040)</t>
        </is>
      </c>
    </row>
    <row r="14" ht="24" customHeight="1">
      <c r="B14" s="49" t="inlineStr">
        <is>
          <t>Seguro Social del autónomo (%)</t>
        </is>
      </c>
      <c r="C14" s="38" t="n">
        <v>12.4</v>
      </c>
      <c r="D14" s="51" t="inlineStr">
        <is>
          <t>IRS: Self-Employment Tax (Social Security and Medicare Taxes) e instrucciones del Schedule SE (Form 1040)</t>
        </is>
      </c>
    </row>
    <row r="15" ht="24" customHeight="1">
      <c r="B15" s="49" t="inlineStr">
        <is>
          <t>Medicare del autónomo (%)</t>
        </is>
      </c>
      <c r="C15" s="38" t="n">
        <v>2.9</v>
      </c>
      <c r="D15" s="51" t="inlineStr">
        <is>
          <t>IRS: Self-Employment Tax (Social Security and Medicare Taxes) e instrucciones del Schedule SE (Form 1040)</t>
        </is>
      </c>
    </row>
    <row r="16" ht="24" customHeight="1">
      <c r="B16" s="49" t="inlineStr">
        <is>
          <t>Ganancia mínima para pagar self-employment tax ($)</t>
        </is>
      </c>
      <c r="C16" s="50" t="n">
        <v>400</v>
      </c>
      <c r="D16" s="51" t="inlineStr">
        <is>
          <t>IRS: Self-Employment Tax (Social Security and Medicare Taxes) e instrucciones del Schedule SE (Form 1040)</t>
        </is>
      </c>
    </row>
    <row r="17" ht="24" customHeight="1">
      <c r="B17" s="49" t="inlineStr">
        <is>
          <t>Parte deducible del self-employment tax (%)</t>
        </is>
      </c>
      <c r="C17" s="38" t="n">
        <v>50</v>
      </c>
      <c r="D17" s="51" t="inlineStr">
        <is>
          <t>IRS: Self-Employment Tax (Social Security and Medicare Taxes) e instrucciones del Schedule SE (Form 1040)</t>
        </is>
      </c>
    </row>
    <row r="18" ht="24" customHeight="1">
      <c r="B18" s="49" t="inlineStr">
        <is>
          <t>Tope de salario del Seguro Social ($)</t>
        </is>
      </c>
      <c r="C18" s="50" t="n">
        <v>184500</v>
      </c>
      <c r="D18" s="51" t="inlineStr">
        <is>
          <t>SSA: 2026 COLA Fact Sheet (contribution and benefit base); IRS Topic 751 y Questions and answers for the Additional Medicare Tax</t>
        </is>
      </c>
    </row>
    <row r="19" ht="24" customHeight="1">
      <c r="B19" s="49" t="inlineStr">
        <is>
          <t>Medicare adicional (%)</t>
        </is>
      </c>
      <c r="C19" s="38" t="n">
        <v>0.9</v>
      </c>
      <c r="D19" s="51" t="inlineStr">
        <is>
          <t>SSA: 2026 COLA Fact Sheet (contribution and benefit base); IRS Topic 751 y Questions and answers for the Additional Medicare Tax</t>
        </is>
      </c>
    </row>
    <row r="20" ht="24" customHeight="1">
      <c r="B20" s="49" t="inlineStr">
        <is>
          <t>El empleador retiene el adicional por encima de ($)</t>
        </is>
      </c>
      <c r="C20" s="50" t="n">
        <v>200000</v>
      </c>
      <c r="D20" s="51" t="inlineStr">
        <is>
          <t>SSA: 2026 COLA Fact Sheet (contribution and benefit base); IRS Topic 751 y Questions and answers for the Additional Medicare Tax</t>
        </is>
      </c>
    </row>
    <row r="21" ht="24" customHeight="1">
      <c r="B21" s="49" t="inlineStr">
        <is>
          <t>Umbral del Medicare adicional · Soltero (single)</t>
        </is>
      </c>
      <c r="C21" s="50" t="n">
        <v>200000</v>
      </c>
      <c r="D21" s="51" t="inlineStr">
        <is>
          <t>SSA: 2026 COLA Fact Sheet (contribution and benefit base); IRS Topic 751 y Questions and answers for the Additional Medicare Tax</t>
        </is>
      </c>
    </row>
    <row r="22" ht="24" customHeight="1">
      <c r="B22" s="49" t="inlineStr">
        <is>
          <t>Umbral del Medicare adicional · Casado, declaración conjunta (married filing jointly)</t>
        </is>
      </c>
      <c r="C22" s="50" t="n">
        <v>250000</v>
      </c>
      <c r="D22" s="51" t="inlineStr">
        <is>
          <t>SSA: 2026 COLA Fact Sheet (contribution and benefit base); IRS Topic 751 y Questions and answers for the Additional Medicare Tax</t>
        </is>
      </c>
    </row>
    <row r="23" ht="24" customHeight="1">
      <c r="B23" s="49" t="inlineStr">
        <is>
          <t>Umbral del Medicare adicional · Cabeza de familia (head of household)</t>
        </is>
      </c>
      <c r="C23" s="50" t="n">
        <v>200000</v>
      </c>
      <c r="D23" s="51" t="inlineStr">
        <is>
          <t>SSA: 2026 COLA Fact Sheet (contribution and benefit base); IRS Topic 751 y Questions and answers for the Additional Medicare Tax</t>
        </is>
      </c>
    </row>
    <row r="24" ht="24" customHeight="1">
      <c r="B24" s="49" t="inlineStr">
        <is>
          <t>Umbral del Medicare adicional · Casado, declaración separada (married filing separately)</t>
        </is>
      </c>
      <c r="C24" s="50" t="n">
        <v>125000</v>
      </c>
      <c r="D24" s="51" t="inlineStr">
        <is>
          <t>SSA: 2026 COLA Fact Sheet (contribution and benefit base); IRS Topic 751 y Questions and answers for the Additional Medicare Tax</t>
        </is>
      </c>
    </row>
    <row r="25" ht="22" customHeight="1">
      <c r="B25" s="17" t="inlineStr">
        <is>
          <t>Deducción QBI (sección 199A)</t>
        </is>
      </c>
      <c r="C25" s="18" t="n"/>
      <c r="D25" s="18" t="n"/>
    </row>
    <row r="26" ht="16" customHeight="1">
      <c r="B26" s="49" t="inlineStr">
        <is>
          <t>Deducción por ingreso de negocio (%)</t>
        </is>
      </c>
      <c r="C26" s="38" t="n">
        <v>20</v>
      </c>
      <c r="D26" s="51" t="inlineStr">
        <is>
          <t>IRS: Qualified business income deduction</t>
        </is>
      </c>
    </row>
    <row r="27" ht="16" customHeight="1">
      <c r="B27" s="49" t="inlineStr">
        <is>
          <t>Umbral (sin límites por debajo) · Soltero (single)</t>
        </is>
      </c>
      <c r="C27" s="50" t="n">
        <v>201750</v>
      </c>
      <c r="D27" s="51" t="inlineStr">
        <is>
          <t>IRS: Qualified business income deduction</t>
        </is>
      </c>
    </row>
    <row r="28" ht="24" customHeight="1">
      <c r="B28" s="49" t="inlineStr">
        <is>
          <t>Umbral (sin límites por debajo) · Casado, declaración conjunta (married filing jointly)</t>
        </is>
      </c>
      <c r="C28" s="50" t="n">
        <v>403500</v>
      </c>
      <c r="D28" s="51" t="inlineStr">
        <is>
          <t>IRS: Qualified business income deduction</t>
        </is>
      </c>
    </row>
    <row r="29" ht="24" customHeight="1">
      <c r="B29" s="49" t="inlineStr">
        <is>
          <t>Umbral (sin límites por debajo) · Cabeza de familia (head of household)</t>
        </is>
      </c>
      <c r="C29" s="50" t="n">
        <v>201750</v>
      </c>
      <c r="D29" s="51" t="inlineStr">
        <is>
          <t>IRS: Qualified business income deduction</t>
        </is>
      </c>
    </row>
    <row r="30" ht="24" customHeight="1">
      <c r="B30" s="49" t="inlineStr">
        <is>
          <t>Umbral (sin límites por debajo) · Casado, declaración separada (married filing separately)</t>
        </is>
      </c>
      <c r="C30" s="50" t="n">
        <v>201775</v>
      </c>
      <c r="D30" s="51" t="inlineStr">
        <is>
          <t>IRS: Qualified business income deduction</t>
        </is>
      </c>
    </row>
    <row r="31" ht="22" customHeight="1">
      <c r="B31" s="17" t="inlineStr">
        <is>
          <t>Crédito tributario por hijos (CTC)</t>
        </is>
      </c>
      <c r="C31" s="18" t="n"/>
      <c r="D31" s="18" t="n"/>
    </row>
    <row r="32" ht="16" customHeight="1">
      <c r="B32" s="49" t="inlineStr">
        <is>
          <t>Por hijo menor de 17 ($)</t>
        </is>
      </c>
      <c r="C32" s="50" t="n">
        <v>2200</v>
      </c>
      <c r="D32" s="51" t="inlineStr">
        <is>
          <t>IRS: Child Tax Credit y Rev. Proc. 2025-32, sección 4.05</t>
        </is>
      </c>
    </row>
    <row r="33" ht="16" customHeight="1">
      <c r="B33" s="49" t="inlineStr">
        <is>
          <t>Por otro dependiente ($)</t>
        </is>
      </c>
      <c r="C33" s="50" t="n">
        <v>500</v>
      </c>
      <c r="D33" s="51" t="inlineStr">
        <is>
          <t>IRS: Child Tax Credit y Rev. Proc. 2025-32, sección 4.05</t>
        </is>
      </c>
    </row>
    <row r="34" ht="16" customHeight="1">
      <c r="B34" s="49" t="inlineStr">
        <is>
          <t>Parte reembolsable máxima por hijo (ACTC) ($)</t>
        </is>
      </c>
      <c r="C34" s="50" t="n">
        <v>1700</v>
      </c>
      <c r="D34" s="51" t="inlineStr">
        <is>
          <t>IRS: Child Tax Credit y Rev. Proc. 2025-32, sección 4.05</t>
        </is>
      </c>
    </row>
    <row r="35" ht="16" customHeight="1">
      <c r="B35" s="49" t="inlineStr">
        <is>
          <t>ACTC: ingreso ganado a partir de ($)</t>
        </is>
      </c>
      <c r="C35" s="50" t="n">
        <v>2500</v>
      </c>
      <c r="D35" s="51" t="inlineStr">
        <is>
          <t>IRS: Child Tax Credit y Rev. Proc. 2025-32, sección 4.05</t>
        </is>
      </c>
    </row>
    <row r="36" ht="16" customHeight="1">
      <c r="B36" s="49" t="inlineStr">
        <is>
          <t>ACTC: % del ingreso ganado por encima</t>
        </is>
      </c>
      <c r="C36" s="38" t="n">
        <v>15</v>
      </c>
      <c r="D36" s="51" t="inlineStr">
        <is>
          <t>IRS: Child Tax Credit y Rev. Proc. 2025-32, sección 4.05</t>
        </is>
      </c>
    </row>
    <row r="37" ht="24" customHeight="1">
      <c r="B37" s="49" t="inlineStr">
        <is>
          <t>Reducción por cada 1.000 $ por encima del umbral ($)</t>
        </is>
      </c>
      <c r="C37" s="50" t="n">
        <v>50</v>
      </c>
      <c r="D37" s="51" t="inlineStr">
        <is>
          <t>IRS: Child Tax Credit y Rev. Proc. 2025-32, sección 4.05</t>
        </is>
      </c>
    </row>
    <row r="38" ht="16" customHeight="1">
      <c r="B38" s="49" t="inlineStr">
        <is>
          <t>Umbral de reducción · Soltero (single)</t>
        </is>
      </c>
      <c r="C38" s="50" t="n">
        <v>200000</v>
      </c>
      <c r="D38" s="51" t="inlineStr">
        <is>
          <t>IRS: Child Tax Credit y Rev. Proc. 2025-32, sección 4.05</t>
        </is>
      </c>
    </row>
    <row r="39" ht="24" customHeight="1">
      <c r="B39" s="49" t="inlineStr">
        <is>
          <t>Umbral de reducción · Casado, declaración conjunta (married filing jointly)</t>
        </is>
      </c>
      <c r="C39" s="50" t="n">
        <v>400000</v>
      </c>
      <c r="D39" s="51" t="inlineStr">
        <is>
          <t>IRS: Child Tax Credit y Rev. Proc. 2025-32, sección 4.05</t>
        </is>
      </c>
    </row>
    <row r="40" ht="24" customHeight="1">
      <c r="B40" s="49" t="inlineStr">
        <is>
          <t>Umbral de reducción · Cabeza de familia (head of household)</t>
        </is>
      </c>
      <c r="C40" s="50" t="n">
        <v>200000</v>
      </c>
      <c r="D40" s="51" t="inlineStr">
        <is>
          <t>IRS: Child Tax Credit y Rev. Proc. 2025-32, sección 4.05</t>
        </is>
      </c>
    </row>
    <row r="41" ht="24" customHeight="1">
      <c r="B41" s="49" t="inlineStr">
        <is>
          <t>Umbral de reducción · Casado, declaración separada (married filing separately)</t>
        </is>
      </c>
      <c r="C41" s="50" t="n">
        <v>200000</v>
      </c>
      <c r="D41" s="51" t="inlineStr">
        <is>
          <t>IRS: Child Tax Credit y Rev. Proc. 2025-32, sección 4.05</t>
        </is>
      </c>
    </row>
    <row r="42" ht="22" customHeight="1">
      <c r="B42" s="17" t="inlineStr">
        <is>
          <t>Pagos estimados (Form 1040-ES)</t>
        </is>
      </c>
      <c r="C42" s="18" t="n"/>
      <c r="D42" s="18" t="n"/>
    </row>
    <row r="43" ht="16" customHeight="1">
      <c r="B43" s="49" t="inlineStr">
        <is>
          <t>Hay que hacer pagos si vas a deber al menos ($)</t>
        </is>
      </c>
      <c r="C43" s="50" t="n">
        <v>1000</v>
      </c>
      <c r="D43" s="51" t="inlineStr">
        <is>
          <t>IRS: Form 1040-ES (2026) y Publicación 505</t>
        </is>
      </c>
    </row>
    <row r="44" ht="16" customHeight="1">
      <c r="B44" s="49" t="inlineStr">
        <is>
          <t>Puerto seguro: % del impuesto de este año</t>
        </is>
      </c>
      <c r="C44" s="38" t="n">
        <v>90</v>
      </c>
      <c r="D44" s="51" t="inlineStr">
        <is>
          <t>IRS: Form 1040-ES (2026) y Publicación 505</t>
        </is>
      </c>
    </row>
    <row r="45" ht="16" customHeight="1">
      <c r="B45" s="49" t="inlineStr">
        <is>
          <t>Puerto seguro: % del impuesto del año pasado</t>
        </is>
      </c>
      <c r="C45" s="38" t="n">
        <v>100</v>
      </c>
      <c r="D45" s="51" t="inlineStr">
        <is>
          <t>IRS: Form 1040-ES (2026) y Publicación 505</t>
        </is>
      </c>
    </row>
    <row r="46" ht="16" customHeight="1">
      <c r="B46" s="49" t="inlineStr">
        <is>
          <t>Puerto seguro con AGI alto: % del año pasado</t>
        </is>
      </c>
      <c r="C46" s="38" t="n">
        <v>110</v>
      </c>
      <c r="D46" s="51" t="inlineStr">
        <is>
          <t>IRS: Form 1040-ES (2026) y Publicación 505</t>
        </is>
      </c>
    </row>
    <row r="47" ht="16" customHeight="1">
      <c r="B47" s="49" t="inlineStr">
        <is>
          <t>AGI alto a partir de ($)</t>
        </is>
      </c>
      <c r="C47" s="50" t="n">
        <v>150000</v>
      </c>
      <c r="D47" s="51" t="inlineStr">
        <is>
          <t>IRS: Form 1040-ES (2026) y Publicación 505</t>
        </is>
      </c>
    </row>
    <row r="48" ht="16" customHeight="1">
      <c r="B48" s="49" t="inlineStr">
        <is>
          <t>AGI alto, casado por separado ($)</t>
        </is>
      </c>
      <c r="C48" s="50" t="n">
        <v>75000</v>
      </c>
      <c r="D48" s="51" t="inlineStr">
        <is>
          <t>IRS: Form 1040-ES (2026) y Publicación 505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hyperlinks>
    <hyperlink xmlns:r="http://schemas.openxmlformats.org/officeDocument/2006/relationships" ref="D8" r:id="rId1"/>
    <hyperlink xmlns:r="http://schemas.openxmlformats.org/officeDocument/2006/relationships" ref="D9" r:id="rId2"/>
    <hyperlink xmlns:r="http://schemas.openxmlformats.org/officeDocument/2006/relationships" ref="D10" r:id="rId3"/>
    <hyperlink xmlns:r="http://schemas.openxmlformats.org/officeDocument/2006/relationships" ref="D11" r:id="rId4"/>
    <hyperlink xmlns:r="http://schemas.openxmlformats.org/officeDocument/2006/relationships" ref="D13" r:id="rId5"/>
    <hyperlink xmlns:r="http://schemas.openxmlformats.org/officeDocument/2006/relationships" ref="D14" r:id="rId6"/>
    <hyperlink xmlns:r="http://schemas.openxmlformats.org/officeDocument/2006/relationships" ref="D15" r:id="rId7"/>
    <hyperlink xmlns:r="http://schemas.openxmlformats.org/officeDocument/2006/relationships" ref="D16" r:id="rId8"/>
    <hyperlink xmlns:r="http://schemas.openxmlformats.org/officeDocument/2006/relationships" ref="D17" r:id="rId9"/>
    <hyperlink xmlns:r="http://schemas.openxmlformats.org/officeDocument/2006/relationships" ref="D18" r:id="rId10"/>
    <hyperlink xmlns:r="http://schemas.openxmlformats.org/officeDocument/2006/relationships" ref="D19" r:id="rId11"/>
    <hyperlink xmlns:r="http://schemas.openxmlformats.org/officeDocument/2006/relationships" ref="D20" r:id="rId12"/>
    <hyperlink xmlns:r="http://schemas.openxmlformats.org/officeDocument/2006/relationships" ref="D21" r:id="rId13"/>
    <hyperlink xmlns:r="http://schemas.openxmlformats.org/officeDocument/2006/relationships" ref="D22" r:id="rId14"/>
    <hyperlink xmlns:r="http://schemas.openxmlformats.org/officeDocument/2006/relationships" ref="D23" r:id="rId15"/>
    <hyperlink xmlns:r="http://schemas.openxmlformats.org/officeDocument/2006/relationships" ref="D24" r:id="rId16"/>
    <hyperlink xmlns:r="http://schemas.openxmlformats.org/officeDocument/2006/relationships" ref="D26" r:id="rId17"/>
    <hyperlink xmlns:r="http://schemas.openxmlformats.org/officeDocument/2006/relationships" ref="D27" r:id="rId18"/>
    <hyperlink xmlns:r="http://schemas.openxmlformats.org/officeDocument/2006/relationships" ref="D28" r:id="rId19"/>
    <hyperlink xmlns:r="http://schemas.openxmlformats.org/officeDocument/2006/relationships" ref="D29" r:id="rId20"/>
    <hyperlink xmlns:r="http://schemas.openxmlformats.org/officeDocument/2006/relationships" ref="D30" r:id="rId21"/>
    <hyperlink xmlns:r="http://schemas.openxmlformats.org/officeDocument/2006/relationships" ref="D32" r:id="rId22"/>
    <hyperlink xmlns:r="http://schemas.openxmlformats.org/officeDocument/2006/relationships" ref="D33" r:id="rId23"/>
    <hyperlink xmlns:r="http://schemas.openxmlformats.org/officeDocument/2006/relationships" ref="D34" r:id="rId24"/>
    <hyperlink xmlns:r="http://schemas.openxmlformats.org/officeDocument/2006/relationships" ref="D35" r:id="rId25"/>
    <hyperlink xmlns:r="http://schemas.openxmlformats.org/officeDocument/2006/relationships" ref="D36" r:id="rId26"/>
    <hyperlink xmlns:r="http://schemas.openxmlformats.org/officeDocument/2006/relationships" ref="D37" r:id="rId27"/>
    <hyperlink xmlns:r="http://schemas.openxmlformats.org/officeDocument/2006/relationships" ref="D38" r:id="rId28"/>
    <hyperlink xmlns:r="http://schemas.openxmlformats.org/officeDocument/2006/relationships" ref="D39" r:id="rId29"/>
    <hyperlink xmlns:r="http://schemas.openxmlformats.org/officeDocument/2006/relationships" ref="D40" r:id="rId30"/>
    <hyperlink xmlns:r="http://schemas.openxmlformats.org/officeDocument/2006/relationships" ref="D41" r:id="rId31"/>
    <hyperlink xmlns:r="http://schemas.openxmlformats.org/officeDocument/2006/relationships" ref="D43" r:id="rId32"/>
    <hyperlink xmlns:r="http://schemas.openxmlformats.org/officeDocument/2006/relationships" ref="D44" r:id="rId33"/>
    <hyperlink xmlns:r="http://schemas.openxmlformats.org/officeDocument/2006/relationships" ref="D45" r:id="rId34"/>
    <hyperlink xmlns:r="http://schemas.openxmlformats.org/officeDocument/2006/relationships" ref="D46" r:id="rId35"/>
    <hyperlink xmlns:r="http://schemas.openxmlformats.org/officeDocument/2006/relationships" ref="D47" r:id="rId36"/>
    <hyperlink xmlns:r="http://schemas.openxmlformats.org/officeDocument/2006/relationships" ref="D48" r:id="rId37"/>
  </hyperlinks>
  <printOptions horizontalCentered="1"/>
  <pageMargins left="0.4" right="0.4" top="0.5" bottom="0.5" header="0.5" footer="0.5"/>
  <pageSetup orientation="landscape" paperSize="1" fitToHeight="0" fitToWidth="1"/>
  <headerFooter>
    <oddHeader/>
    <oddFooter>&amp;C&amp;8 ChequeClaro · &amp;A · &amp;P/&amp;N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46595F"/>
    <outlinePr summaryBelow="1" summaryRight="1"/>
    <pageSetUpPr fitToPage="1"/>
  </sheetPr>
  <dimension ref="A1:AB160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0" customWidth="1" min="4" max="4"/>
    <col width="12" customWidth="1" min="5" max="5"/>
    <col width="3" customWidth="1" min="6" max="6"/>
    <col width="8" customWidth="1" min="7" max="7"/>
    <col width="22" customWidth="1" min="8" max="8"/>
    <col width="12" customWidth="1" min="9" max="9"/>
    <col width="16" customWidth="1" min="10" max="10"/>
    <col width="9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2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34" customHeight="1">
      <c r="A2" s="1" t="n"/>
      <c r="B2" s="14" t="inlineStr">
        <is>
          <t>Tablas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5" t="inlineStr">
        <is>
          <t>ChequeClaro</t>
        </is>
      </c>
    </row>
    <row r="3" ht="20" customHeight="1">
      <c r="A3" s="1" t="n"/>
      <c r="B3" s="16" t="inlineStr">
        <is>
          <t>Tramos federales y estatales en formato de lista: cuota = Σ (base − desde) × diferencia de tipo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</row>
    <row r="6" ht="42" customHeight="1">
      <c r="B6" s="21" t="inlineStr">
        <is>
          <t>Escala</t>
        </is>
      </c>
      <c r="C6" s="21" t="inlineStr">
        <is>
          <t>Desde ($)</t>
        </is>
      </c>
      <c r="D6" s="21" t="inlineStr">
        <is>
          <t>Tipo %</t>
        </is>
      </c>
      <c r="E6" s="21" t="inlineStr">
        <is>
          <t>Diferencia</t>
        </is>
      </c>
      <c r="G6" s="21" t="inlineStr">
        <is>
          <t>Código</t>
        </is>
      </c>
      <c r="H6" s="21" t="inlineStr">
        <is>
          <t>Estado</t>
        </is>
      </c>
      <c r="I6" s="21" t="inlineStr">
        <is>
          <t>Tipo</t>
        </is>
      </c>
      <c r="J6" s="21" t="inlineStr">
        <is>
          <t>Base</t>
        </is>
      </c>
      <c r="K6" s="21" t="inlineStr">
        <is>
          <t>% único</t>
        </is>
      </c>
      <c r="L6" s="21" t="inlineStr">
        <is>
          <t>Ded. single</t>
        </is>
      </c>
      <c r="M6" s="21" t="inlineStr">
        <is>
          <t>Ded. mfj</t>
        </is>
      </c>
      <c r="N6" s="21" t="inlineStr">
        <is>
          <t>Ded. hoh</t>
        </is>
      </c>
      <c r="O6" s="21" t="inlineStr">
        <is>
          <t>Ded. mfs</t>
        </is>
      </c>
      <c r="P6" s="21" t="inlineStr">
        <is>
          <t>Exención por persona</t>
        </is>
      </c>
      <c r="Q6" s="21" t="inlineStr">
        <is>
          <t>Exención personal single</t>
        </is>
      </c>
      <c r="R6" s="21" t="inlineStr">
        <is>
          <t>mfj</t>
        </is>
      </c>
      <c r="S6" s="21" t="inlineStr">
        <is>
          <t>hoh</t>
        </is>
      </c>
      <c r="T6" s="21" t="inlineStr">
        <is>
          <t>mfs</t>
        </is>
      </c>
      <c r="U6" s="21" t="inlineStr">
        <is>
          <t>Exención por dependiente</t>
        </is>
      </c>
      <c r="V6" s="21" t="inlineStr">
        <is>
          <t>Sobretasa desde</t>
        </is>
      </c>
      <c r="W6" s="21" t="inlineStr">
        <is>
          <t>Sobretasa %</t>
        </is>
      </c>
      <c r="X6" s="21" t="inlineStr">
        <is>
          <t>Crédito personal single</t>
        </is>
      </c>
      <c r="Y6" s="21" t="inlineStr">
        <is>
          <t>mfj</t>
        </is>
      </c>
      <c r="Z6" s="21" t="inlineStr">
        <is>
          <t>hoh</t>
        </is>
      </c>
      <c r="AA6" s="21" t="inlineStr">
        <is>
          <t>mfs</t>
        </is>
      </c>
      <c r="AB6" s="21" t="inlineStr">
        <is>
          <t>Crédito por dependiente</t>
        </is>
      </c>
    </row>
    <row r="7">
      <c r="B7" s="42" t="inlineStr">
        <is>
          <t>FED|1</t>
        </is>
      </c>
      <c r="C7" s="52" t="n">
        <v>0</v>
      </c>
      <c r="D7" s="53" t="n">
        <v>10</v>
      </c>
      <c r="E7" s="53">
        <f>D7</f>
        <v/>
      </c>
      <c r="G7" s="42" t="inlineStr">
        <is>
          <t>AK</t>
        </is>
      </c>
      <c r="H7" s="42" t="inlineStr">
        <is>
          <t>Alaska</t>
        </is>
      </c>
      <c r="I7" s="42" t="inlineStr">
        <is>
          <t>ninguno</t>
        </is>
      </c>
      <c r="J7" s="42" t="inlineStr">
        <is>
          <t>agi</t>
        </is>
      </c>
      <c r="K7" s="54" t="n">
        <v>0</v>
      </c>
      <c r="L7" s="54" t="n">
        <v>0</v>
      </c>
      <c r="M7" s="54" t="n">
        <v>0</v>
      </c>
      <c r="N7" s="54" t="n">
        <v>0</v>
      </c>
      <c r="O7" s="54" t="n">
        <v>0</v>
      </c>
      <c r="P7" s="54" t="n">
        <v>0</v>
      </c>
      <c r="Q7" s="54" t="n">
        <v>0</v>
      </c>
      <c r="R7" s="54" t="n">
        <v>0</v>
      </c>
      <c r="S7" s="54" t="n">
        <v>0</v>
      </c>
      <c r="T7" s="54" t="n">
        <v>0</v>
      </c>
      <c r="U7" s="54" t="n">
        <v>0</v>
      </c>
      <c r="V7" s="54" t="n">
        <v>0</v>
      </c>
      <c r="W7" s="54" t="n">
        <v>0</v>
      </c>
      <c r="X7" s="54" t="n">
        <v>0</v>
      </c>
      <c r="Y7" s="54" t="n">
        <v>0</v>
      </c>
      <c r="Z7" s="54" t="n">
        <v>0</v>
      </c>
      <c r="AA7" s="54" t="n">
        <v>0</v>
      </c>
      <c r="AB7" s="54" t="n">
        <v>0</v>
      </c>
    </row>
    <row r="8">
      <c r="B8" s="42" t="inlineStr">
        <is>
          <t>FED|1</t>
        </is>
      </c>
      <c r="C8" s="52" t="n">
        <v>12400</v>
      </c>
      <c r="D8" s="53" t="n">
        <v>12</v>
      </c>
      <c r="E8" s="53">
        <f>D8-D7</f>
        <v/>
      </c>
      <c r="G8" s="42" t="inlineStr">
        <is>
          <t>AZ</t>
        </is>
      </c>
      <c r="H8" s="42" t="inlineStr">
        <is>
          <t>Arizona</t>
        </is>
      </c>
      <c r="I8" s="42" t="inlineStr">
        <is>
          <t>plano</t>
        </is>
      </c>
      <c r="J8" s="42" t="inlineStr">
        <is>
          <t>agi</t>
        </is>
      </c>
      <c r="K8" s="54" t="n">
        <v>2.5</v>
      </c>
      <c r="L8" s="38" t="inlineStr">
        <is>
          <t>federal</t>
        </is>
      </c>
      <c r="M8" s="38" t="inlineStr">
        <is>
          <t>federal</t>
        </is>
      </c>
      <c r="N8" s="38" t="inlineStr">
        <is>
          <t>federal</t>
        </is>
      </c>
      <c r="O8" s="38" t="inlineStr">
        <is>
          <t>federal</t>
        </is>
      </c>
      <c r="P8" s="54" t="n">
        <v>0</v>
      </c>
      <c r="Q8" s="54" t="n">
        <v>0</v>
      </c>
      <c r="R8" s="54" t="n">
        <v>0</v>
      </c>
      <c r="S8" s="54" t="n">
        <v>0</v>
      </c>
      <c r="T8" s="54" t="n">
        <v>0</v>
      </c>
      <c r="U8" s="54" t="n">
        <v>0</v>
      </c>
      <c r="V8" s="54" t="n">
        <v>0</v>
      </c>
      <c r="W8" s="54" t="n">
        <v>0</v>
      </c>
      <c r="X8" s="54" t="n">
        <v>0</v>
      </c>
      <c r="Y8" s="54" t="n">
        <v>0</v>
      </c>
      <c r="Z8" s="54" t="n">
        <v>0</v>
      </c>
      <c r="AA8" s="54" t="n">
        <v>0</v>
      </c>
      <c r="AB8" s="54" t="n">
        <v>0</v>
      </c>
    </row>
    <row r="9">
      <c r="B9" s="42" t="inlineStr">
        <is>
          <t>FED|1</t>
        </is>
      </c>
      <c r="C9" s="52" t="n">
        <v>50400</v>
      </c>
      <c r="D9" s="53" t="n">
        <v>22</v>
      </c>
      <c r="E9" s="53">
        <f>D9-D8</f>
        <v/>
      </c>
      <c r="G9" s="42" t="inlineStr">
        <is>
          <t>CA</t>
        </is>
      </c>
      <c r="H9" s="42" t="inlineStr">
        <is>
          <t>California</t>
        </is>
      </c>
      <c r="I9" s="42" t="inlineStr">
        <is>
          <t>progresivo</t>
        </is>
      </c>
      <c r="J9" s="42" t="inlineStr">
        <is>
          <t>agi</t>
        </is>
      </c>
      <c r="K9" s="54" t="n">
        <v>0</v>
      </c>
      <c r="L9" s="54" t="n">
        <v>5900</v>
      </c>
      <c r="M9" s="54" t="n">
        <v>11800</v>
      </c>
      <c r="N9" s="54" t="n">
        <v>11800</v>
      </c>
      <c r="O9" s="54" t="n">
        <v>5900</v>
      </c>
      <c r="P9" s="54" t="n">
        <v>0</v>
      </c>
      <c r="Q9" s="54" t="n">
        <v>0</v>
      </c>
      <c r="R9" s="54" t="n">
        <v>0</v>
      </c>
      <c r="S9" s="54" t="n">
        <v>0</v>
      </c>
      <c r="T9" s="54" t="n">
        <v>0</v>
      </c>
      <c r="U9" s="54" t="n">
        <v>0</v>
      </c>
      <c r="V9" s="54" t="n">
        <v>1000000</v>
      </c>
      <c r="W9" s="54" t="n">
        <v>1</v>
      </c>
      <c r="X9" s="54" t="n">
        <v>158</v>
      </c>
      <c r="Y9" s="54" t="n">
        <v>316</v>
      </c>
      <c r="Z9" s="54" t="n">
        <v>158</v>
      </c>
      <c r="AA9" s="54" t="n">
        <v>158</v>
      </c>
      <c r="AB9" s="54" t="n">
        <v>491</v>
      </c>
    </row>
    <row r="10">
      <c r="B10" s="42" t="inlineStr">
        <is>
          <t>FED|1</t>
        </is>
      </c>
      <c r="C10" s="52" t="n">
        <v>105700</v>
      </c>
      <c r="D10" s="53" t="n">
        <v>24</v>
      </c>
      <c r="E10" s="53">
        <f>D10-D9</f>
        <v/>
      </c>
      <c r="G10" s="42" t="inlineStr">
        <is>
          <t>NC</t>
        </is>
      </c>
      <c r="H10" s="42" t="inlineStr">
        <is>
          <t>Carolina del Norte</t>
        </is>
      </c>
      <c r="I10" s="42" t="inlineStr">
        <is>
          <t>plano</t>
        </is>
      </c>
      <c r="J10" s="42" t="inlineStr">
        <is>
          <t>agi</t>
        </is>
      </c>
      <c r="K10" s="54" t="n">
        <v>3.99</v>
      </c>
      <c r="L10" s="54" t="n">
        <v>12750</v>
      </c>
      <c r="M10" s="54" t="n">
        <v>25500</v>
      </c>
      <c r="N10" s="54" t="n">
        <v>19125</v>
      </c>
      <c r="O10" s="54" t="n">
        <v>12750</v>
      </c>
      <c r="P10" s="54" t="n">
        <v>0</v>
      </c>
      <c r="Q10" s="54" t="n">
        <v>0</v>
      </c>
      <c r="R10" s="54" t="n">
        <v>0</v>
      </c>
      <c r="S10" s="54" t="n">
        <v>0</v>
      </c>
      <c r="T10" s="54" t="n">
        <v>0</v>
      </c>
      <c r="U10" s="54" t="n">
        <v>0</v>
      </c>
      <c r="V10" s="54" t="n">
        <v>0</v>
      </c>
      <c r="W10" s="54" t="n">
        <v>0</v>
      </c>
      <c r="X10" s="54" t="n">
        <v>0</v>
      </c>
      <c r="Y10" s="54" t="n">
        <v>0</v>
      </c>
      <c r="Z10" s="54" t="n">
        <v>0</v>
      </c>
      <c r="AA10" s="54" t="n">
        <v>0</v>
      </c>
      <c r="AB10" s="54" t="n">
        <v>0</v>
      </c>
    </row>
    <row r="11">
      <c r="B11" s="42" t="inlineStr">
        <is>
          <t>FED|1</t>
        </is>
      </c>
      <c r="C11" s="52" t="n">
        <v>201775</v>
      </c>
      <c r="D11" s="53" t="n">
        <v>32</v>
      </c>
      <c r="E11" s="53">
        <f>D11-D10</f>
        <v/>
      </c>
      <c r="G11" s="42" t="inlineStr">
        <is>
          <t>CO</t>
        </is>
      </c>
      <c r="H11" s="42" t="inlineStr">
        <is>
          <t>Colorado</t>
        </is>
      </c>
      <c r="I11" s="42" t="inlineStr">
        <is>
          <t>plano</t>
        </is>
      </c>
      <c r="J11" s="42" t="inlineStr">
        <is>
          <t>federal_imponible</t>
        </is>
      </c>
      <c r="K11" s="54" t="n">
        <v>4.4</v>
      </c>
      <c r="L11" s="54" t="n">
        <v>0</v>
      </c>
      <c r="M11" s="54" t="n">
        <v>0</v>
      </c>
      <c r="N11" s="54" t="n">
        <v>0</v>
      </c>
      <c r="O11" s="54" t="n">
        <v>0</v>
      </c>
      <c r="P11" s="54" t="n">
        <v>0</v>
      </c>
      <c r="Q11" s="54" t="n">
        <v>0</v>
      </c>
      <c r="R11" s="54" t="n">
        <v>0</v>
      </c>
      <c r="S11" s="54" t="n">
        <v>0</v>
      </c>
      <c r="T11" s="54" t="n">
        <v>0</v>
      </c>
      <c r="U11" s="54" t="n">
        <v>0</v>
      </c>
      <c r="V11" s="54" t="n">
        <v>0</v>
      </c>
      <c r="W11" s="54" t="n">
        <v>0</v>
      </c>
      <c r="X11" s="54" t="n">
        <v>0</v>
      </c>
      <c r="Y11" s="54" t="n">
        <v>0</v>
      </c>
      <c r="Z11" s="54" t="n">
        <v>0</v>
      </c>
      <c r="AA11" s="54" t="n">
        <v>0</v>
      </c>
      <c r="AB11" s="54" t="n">
        <v>0</v>
      </c>
    </row>
    <row r="12">
      <c r="B12" s="42" t="inlineStr">
        <is>
          <t>FED|1</t>
        </is>
      </c>
      <c r="C12" s="52" t="n">
        <v>256225</v>
      </c>
      <c r="D12" s="53" t="n">
        <v>35</v>
      </c>
      <c r="E12" s="53">
        <f>D12-D11</f>
        <v/>
      </c>
      <c r="G12" s="42" t="inlineStr">
        <is>
          <t>SD</t>
        </is>
      </c>
      <c r="H12" s="42" t="inlineStr">
        <is>
          <t>Dakota del Sur</t>
        </is>
      </c>
      <c r="I12" s="42" t="inlineStr">
        <is>
          <t>ninguno</t>
        </is>
      </c>
      <c r="J12" s="42" t="inlineStr">
        <is>
          <t>agi</t>
        </is>
      </c>
      <c r="K12" s="54" t="n">
        <v>0</v>
      </c>
      <c r="L12" s="54" t="n">
        <v>0</v>
      </c>
      <c r="M12" s="54" t="n">
        <v>0</v>
      </c>
      <c r="N12" s="54" t="n">
        <v>0</v>
      </c>
      <c r="O12" s="54" t="n">
        <v>0</v>
      </c>
      <c r="P12" s="54" t="n">
        <v>0</v>
      </c>
      <c r="Q12" s="54" t="n">
        <v>0</v>
      </c>
      <c r="R12" s="54" t="n">
        <v>0</v>
      </c>
      <c r="S12" s="54" t="n">
        <v>0</v>
      </c>
      <c r="T12" s="54" t="n">
        <v>0</v>
      </c>
      <c r="U12" s="54" t="n">
        <v>0</v>
      </c>
      <c r="V12" s="54" t="n">
        <v>0</v>
      </c>
      <c r="W12" s="54" t="n">
        <v>0</v>
      </c>
      <c r="X12" s="54" t="n">
        <v>0</v>
      </c>
      <c r="Y12" s="54" t="n">
        <v>0</v>
      </c>
      <c r="Z12" s="54" t="n">
        <v>0</v>
      </c>
      <c r="AA12" s="54" t="n">
        <v>0</v>
      </c>
      <c r="AB12" s="54" t="n">
        <v>0</v>
      </c>
    </row>
    <row r="13">
      <c r="B13" s="42" t="inlineStr">
        <is>
          <t>FED|1</t>
        </is>
      </c>
      <c r="C13" s="52" t="n">
        <v>640600</v>
      </c>
      <c r="D13" s="53" t="n">
        <v>37</v>
      </c>
      <c r="E13" s="53">
        <f>D13-D12</f>
        <v/>
      </c>
      <c r="G13" s="42" t="inlineStr">
        <is>
          <t>FL</t>
        </is>
      </c>
      <c r="H13" s="42" t="inlineStr">
        <is>
          <t>Florida</t>
        </is>
      </c>
      <c r="I13" s="42" t="inlineStr">
        <is>
          <t>ninguno</t>
        </is>
      </c>
      <c r="J13" s="42" t="inlineStr">
        <is>
          <t>agi</t>
        </is>
      </c>
      <c r="K13" s="54" t="n">
        <v>0</v>
      </c>
      <c r="L13" s="54" t="n">
        <v>0</v>
      </c>
      <c r="M13" s="54" t="n">
        <v>0</v>
      </c>
      <c r="N13" s="54" t="n">
        <v>0</v>
      </c>
      <c r="O13" s="54" t="n">
        <v>0</v>
      </c>
      <c r="P13" s="54" t="n">
        <v>0</v>
      </c>
      <c r="Q13" s="54" t="n">
        <v>0</v>
      </c>
      <c r="R13" s="54" t="n">
        <v>0</v>
      </c>
      <c r="S13" s="54" t="n">
        <v>0</v>
      </c>
      <c r="T13" s="54" t="n">
        <v>0</v>
      </c>
      <c r="U13" s="54" t="n">
        <v>0</v>
      </c>
      <c r="V13" s="54" t="n">
        <v>0</v>
      </c>
      <c r="W13" s="54" t="n">
        <v>0</v>
      </c>
      <c r="X13" s="54" t="n">
        <v>0</v>
      </c>
      <c r="Y13" s="54" t="n">
        <v>0</v>
      </c>
      <c r="Z13" s="54" t="n">
        <v>0</v>
      </c>
      <c r="AA13" s="54" t="n">
        <v>0</v>
      </c>
      <c r="AB13" s="54" t="n">
        <v>0</v>
      </c>
    </row>
    <row r="14">
      <c r="B14" s="42" t="inlineStr">
        <is>
          <t>FED|2</t>
        </is>
      </c>
      <c r="C14" s="52" t="n">
        <v>0</v>
      </c>
      <c r="D14" s="53" t="n">
        <v>10</v>
      </c>
      <c r="E14" s="53">
        <f>D14</f>
        <v/>
      </c>
      <c r="G14" s="42" t="inlineStr">
        <is>
          <t>GA</t>
        </is>
      </c>
      <c r="H14" s="42" t="inlineStr">
        <is>
          <t>Georgia</t>
        </is>
      </c>
      <c r="I14" s="42" t="inlineStr">
        <is>
          <t>plano</t>
        </is>
      </c>
      <c r="J14" s="42" t="inlineStr">
        <is>
          <t>agi</t>
        </is>
      </c>
      <c r="K14" s="54" t="n">
        <v>4.99</v>
      </c>
      <c r="L14" s="54" t="n">
        <v>12000</v>
      </c>
      <c r="M14" s="54" t="n">
        <v>24000</v>
      </c>
      <c r="N14" s="54" t="n">
        <v>12000</v>
      </c>
      <c r="O14" s="54" t="n">
        <v>12000</v>
      </c>
      <c r="P14" s="54" t="n">
        <v>0</v>
      </c>
      <c r="Q14" s="54" t="n">
        <v>0</v>
      </c>
      <c r="R14" s="54" t="n">
        <v>0</v>
      </c>
      <c r="S14" s="54" t="n">
        <v>0</v>
      </c>
      <c r="T14" s="54" t="n">
        <v>0</v>
      </c>
      <c r="U14" s="54" t="n">
        <v>4000</v>
      </c>
      <c r="V14" s="54" t="n">
        <v>0</v>
      </c>
      <c r="W14" s="54" t="n">
        <v>0</v>
      </c>
      <c r="X14" s="54" t="n">
        <v>0</v>
      </c>
      <c r="Y14" s="54" t="n">
        <v>0</v>
      </c>
      <c r="Z14" s="54" t="n">
        <v>0</v>
      </c>
      <c r="AA14" s="54" t="n">
        <v>0</v>
      </c>
      <c r="AB14" s="54" t="n">
        <v>0</v>
      </c>
    </row>
    <row r="15">
      <c r="B15" s="42" t="inlineStr">
        <is>
          <t>FED|2</t>
        </is>
      </c>
      <c r="C15" s="52" t="n">
        <v>24800</v>
      </c>
      <c r="D15" s="53" t="n">
        <v>12</v>
      </c>
      <c r="E15" s="53">
        <f>D15-D14</f>
        <v/>
      </c>
      <c r="G15" s="42" t="inlineStr">
        <is>
          <t>IL</t>
        </is>
      </c>
      <c r="H15" s="42" t="inlineStr">
        <is>
          <t>Illinois</t>
        </is>
      </c>
      <c r="I15" s="42" t="inlineStr">
        <is>
          <t>plano</t>
        </is>
      </c>
      <c r="J15" s="42" t="inlineStr">
        <is>
          <t>agi</t>
        </is>
      </c>
      <c r="K15" s="54" t="n">
        <v>4.95</v>
      </c>
      <c r="L15" s="54" t="n">
        <v>0</v>
      </c>
      <c r="M15" s="54" t="n">
        <v>0</v>
      </c>
      <c r="N15" s="54" t="n">
        <v>0</v>
      </c>
      <c r="O15" s="54" t="n">
        <v>0</v>
      </c>
      <c r="P15" s="54" t="n">
        <v>2925</v>
      </c>
      <c r="Q15" s="54" t="n">
        <v>0</v>
      </c>
      <c r="R15" s="54" t="n">
        <v>0</v>
      </c>
      <c r="S15" s="54" t="n">
        <v>0</v>
      </c>
      <c r="T15" s="54" t="n">
        <v>0</v>
      </c>
      <c r="U15" s="54" t="n">
        <v>0</v>
      </c>
      <c r="V15" s="54" t="n">
        <v>0</v>
      </c>
      <c r="W15" s="54" t="n">
        <v>0</v>
      </c>
      <c r="X15" s="54" t="n">
        <v>0</v>
      </c>
      <c r="Y15" s="54" t="n">
        <v>0</v>
      </c>
      <c r="Z15" s="54" t="n">
        <v>0</v>
      </c>
      <c r="AA15" s="54" t="n">
        <v>0</v>
      </c>
      <c r="AB15" s="54" t="n">
        <v>0</v>
      </c>
    </row>
    <row r="16">
      <c r="B16" s="42" t="inlineStr">
        <is>
          <t>FED|2</t>
        </is>
      </c>
      <c r="C16" s="52" t="n">
        <v>100800</v>
      </c>
      <c r="D16" s="53" t="n">
        <v>22</v>
      </c>
      <c r="E16" s="53">
        <f>D16-D15</f>
        <v/>
      </c>
      <c r="G16" s="42" t="inlineStr">
        <is>
          <t>MA</t>
        </is>
      </c>
      <c r="H16" s="42" t="inlineStr">
        <is>
          <t>Massachusetts</t>
        </is>
      </c>
      <c r="I16" s="42" t="inlineStr">
        <is>
          <t>plano</t>
        </is>
      </c>
      <c r="J16" s="42" t="inlineStr">
        <is>
          <t>agi</t>
        </is>
      </c>
      <c r="K16" s="54" t="n">
        <v>5</v>
      </c>
      <c r="L16" s="54" t="n">
        <v>0</v>
      </c>
      <c r="M16" s="54" t="n">
        <v>0</v>
      </c>
      <c r="N16" s="54" t="n">
        <v>0</v>
      </c>
      <c r="O16" s="54" t="n">
        <v>0</v>
      </c>
      <c r="P16" s="54" t="n">
        <v>0</v>
      </c>
      <c r="Q16" s="54" t="n">
        <v>4400</v>
      </c>
      <c r="R16" s="54" t="n">
        <v>8800</v>
      </c>
      <c r="S16" s="54" t="n">
        <v>6800</v>
      </c>
      <c r="T16" s="54" t="n">
        <v>4400</v>
      </c>
      <c r="U16" s="54" t="n">
        <v>1000</v>
      </c>
      <c r="V16" s="54" t="n">
        <v>1107750</v>
      </c>
      <c r="W16" s="54" t="n">
        <v>4</v>
      </c>
      <c r="X16" s="54" t="n">
        <v>0</v>
      </c>
      <c r="Y16" s="54" t="n">
        <v>0</v>
      </c>
      <c r="Z16" s="54" t="n">
        <v>0</v>
      </c>
      <c r="AA16" s="54" t="n">
        <v>0</v>
      </c>
      <c r="AB16" s="54" t="n">
        <v>0</v>
      </c>
    </row>
    <row r="17">
      <c r="B17" s="42" t="inlineStr">
        <is>
          <t>FED|2</t>
        </is>
      </c>
      <c r="C17" s="52" t="n">
        <v>211400</v>
      </c>
      <c r="D17" s="53" t="n">
        <v>24</v>
      </c>
      <c r="E17" s="53">
        <f>D17-D16</f>
        <v/>
      </c>
      <c r="G17" s="42" t="inlineStr">
        <is>
          <t>NV</t>
        </is>
      </c>
      <c r="H17" s="42" t="inlineStr">
        <is>
          <t>Nevada</t>
        </is>
      </c>
      <c r="I17" s="42" t="inlineStr">
        <is>
          <t>ninguno</t>
        </is>
      </c>
      <c r="J17" s="42" t="inlineStr">
        <is>
          <t>agi</t>
        </is>
      </c>
      <c r="K17" s="54" t="n">
        <v>0</v>
      </c>
      <c r="L17" s="54" t="n">
        <v>0</v>
      </c>
      <c r="M17" s="54" t="n">
        <v>0</v>
      </c>
      <c r="N17" s="54" t="n">
        <v>0</v>
      </c>
      <c r="O17" s="54" t="n">
        <v>0</v>
      </c>
      <c r="P17" s="54" t="n">
        <v>0</v>
      </c>
      <c r="Q17" s="54" t="n">
        <v>0</v>
      </c>
      <c r="R17" s="54" t="n">
        <v>0</v>
      </c>
      <c r="S17" s="54" t="n">
        <v>0</v>
      </c>
      <c r="T17" s="54" t="n">
        <v>0</v>
      </c>
      <c r="U17" s="54" t="n">
        <v>0</v>
      </c>
      <c r="V17" s="54" t="n">
        <v>0</v>
      </c>
      <c r="W17" s="54" t="n">
        <v>0</v>
      </c>
      <c r="X17" s="54" t="n">
        <v>0</v>
      </c>
      <c r="Y17" s="54" t="n">
        <v>0</v>
      </c>
      <c r="Z17" s="54" t="n">
        <v>0</v>
      </c>
      <c r="AA17" s="54" t="n">
        <v>0</v>
      </c>
      <c r="AB17" s="54" t="n">
        <v>0</v>
      </c>
    </row>
    <row r="18">
      <c r="B18" s="42" t="inlineStr">
        <is>
          <t>FED|2</t>
        </is>
      </c>
      <c r="C18" s="52" t="n">
        <v>403550</v>
      </c>
      <c r="D18" s="53" t="n">
        <v>32</v>
      </c>
      <c r="E18" s="53">
        <f>D18-D17</f>
        <v/>
      </c>
      <c r="G18" s="42" t="inlineStr">
        <is>
          <t>NJ</t>
        </is>
      </c>
      <c r="H18" s="42" t="inlineStr">
        <is>
          <t>Nueva Jersey</t>
        </is>
      </c>
      <c r="I18" s="42" t="inlineStr">
        <is>
          <t>progresivo</t>
        </is>
      </c>
      <c r="J18" s="42" t="inlineStr">
        <is>
          <t>agi</t>
        </is>
      </c>
      <c r="K18" s="54" t="n">
        <v>0</v>
      </c>
      <c r="L18" s="54" t="n">
        <v>0</v>
      </c>
      <c r="M18" s="54" t="n">
        <v>0</v>
      </c>
      <c r="N18" s="54" t="n">
        <v>0</v>
      </c>
      <c r="O18" s="54" t="n">
        <v>0</v>
      </c>
      <c r="P18" s="54" t="n">
        <v>0</v>
      </c>
      <c r="Q18" s="54" t="n">
        <v>1000</v>
      </c>
      <c r="R18" s="54" t="n">
        <v>2000</v>
      </c>
      <c r="S18" s="54" t="n">
        <v>1000</v>
      </c>
      <c r="T18" s="54" t="n">
        <v>1000</v>
      </c>
      <c r="U18" s="54" t="n">
        <v>1500</v>
      </c>
      <c r="V18" s="54" t="n">
        <v>0</v>
      </c>
      <c r="W18" s="54" t="n">
        <v>0</v>
      </c>
      <c r="X18" s="54" t="n">
        <v>0</v>
      </c>
      <c r="Y18" s="54" t="n">
        <v>0</v>
      </c>
      <c r="Z18" s="54" t="n">
        <v>0</v>
      </c>
      <c r="AA18" s="54" t="n">
        <v>0</v>
      </c>
      <c r="AB18" s="54" t="n">
        <v>0</v>
      </c>
    </row>
    <row r="19">
      <c r="B19" s="42" t="inlineStr">
        <is>
          <t>FED|2</t>
        </is>
      </c>
      <c r="C19" s="52" t="n">
        <v>512450</v>
      </c>
      <c r="D19" s="53" t="n">
        <v>35</v>
      </c>
      <c r="E19" s="53">
        <f>D19-D18</f>
        <v/>
      </c>
      <c r="G19" s="42" t="inlineStr">
        <is>
          <t>NY</t>
        </is>
      </c>
      <c r="H19" s="42" t="inlineStr">
        <is>
          <t>Nueva York</t>
        </is>
      </c>
      <c r="I19" s="42" t="inlineStr">
        <is>
          <t>progresivo</t>
        </is>
      </c>
      <c r="J19" s="42" t="inlineStr">
        <is>
          <t>agi</t>
        </is>
      </c>
      <c r="K19" s="54" t="n">
        <v>0</v>
      </c>
      <c r="L19" s="54" t="n">
        <v>8000</v>
      </c>
      <c r="M19" s="54" t="n">
        <v>16050</v>
      </c>
      <c r="N19" s="54" t="n">
        <v>11200</v>
      </c>
      <c r="O19" s="54" t="n">
        <v>8000</v>
      </c>
      <c r="P19" s="54" t="n">
        <v>0</v>
      </c>
      <c r="Q19" s="54" t="n">
        <v>0</v>
      </c>
      <c r="R19" s="54" t="n">
        <v>0</v>
      </c>
      <c r="S19" s="54" t="n">
        <v>0</v>
      </c>
      <c r="T19" s="54" t="n">
        <v>0</v>
      </c>
      <c r="U19" s="54" t="n">
        <v>1000</v>
      </c>
      <c r="V19" s="54" t="n">
        <v>0</v>
      </c>
      <c r="W19" s="54" t="n">
        <v>0</v>
      </c>
      <c r="X19" s="54" t="n">
        <v>0</v>
      </c>
      <c r="Y19" s="54" t="n">
        <v>0</v>
      </c>
      <c r="Z19" s="54" t="n">
        <v>0</v>
      </c>
      <c r="AA19" s="54" t="n">
        <v>0</v>
      </c>
      <c r="AB19" s="54" t="n">
        <v>0</v>
      </c>
    </row>
    <row r="20">
      <c r="B20" s="42" t="inlineStr">
        <is>
          <t>FED|2</t>
        </is>
      </c>
      <c r="C20" s="52" t="n">
        <v>768700</v>
      </c>
      <c r="D20" s="53" t="n">
        <v>37</v>
      </c>
      <c r="E20" s="53">
        <f>D20-D19</f>
        <v/>
      </c>
      <c r="G20" s="42" t="inlineStr">
        <is>
          <t>NH</t>
        </is>
      </c>
      <c r="H20" s="42" t="inlineStr">
        <is>
          <t>Nuevo Hampshire</t>
        </is>
      </c>
      <c r="I20" s="42" t="inlineStr">
        <is>
          <t>ninguno</t>
        </is>
      </c>
      <c r="J20" s="42" t="inlineStr">
        <is>
          <t>agi</t>
        </is>
      </c>
      <c r="K20" s="54" t="n">
        <v>0</v>
      </c>
      <c r="L20" s="54" t="n">
        <v>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54" t="n">
        <v>0</v>
      </c>
      <c r="X20" s="54" t="n">
        <v>0</v>
      </c>
      <c r="Y20" s="54" t="n">
        <v>0</v>
      </c>
      <c r="Z20" s="54" t="n">
        <v>0</v>
      </c>
      <c r="AA20" s="54" t="n">
        <v>0</v>
      </c>
      <c r="AB20" s="54" t="n">
        <v>0</v>
      </c>
    </row>
    <row r="21">
      <c r="B21" s="42" t="inlineStr">
        <is>
          <t>FED|3</t>
        </is>
      </c>
      <c r="C21" s="52" t="n">
        <v>0</v>
      </c>
      <c r="D21" s="53" t="n">
        <v>10</v>
      </c>
      <c r="E21" s="53">
        <f>D21</f>
        <v/>
      </c>
      <c r="G21" s="42" t="inlineStr">
        <is>
          <t>NM</t>
        </is>
      </c>
      <c r="H21" s="42" t="inlineStr">
        <is>
          <t>Nuevo México</t>
        </is>
      </c>
      <c r="I21" s="42" t="inlineStr">
        <is>
          <t>progresivo</t>
        </is>
      </c>
      <c r="J21" s="42" t="inlineStr">
        <is>
          <t>agi</t>
        </is>
      </c>
      <c r="K21" s="54" t="n">
        <v>0</v>
      </c>
      <c r="L21" s="38" t="inlineStr">
        <is>
          <t>federal</t>
        </is>
      </c>
      <c r="M21" s="38" t="inlineStr">
        <is>
          <t>federal</t>
        </is>
      </c>
      <c r="N21" s="38" t="inlineStr">
        <is>
          <t>federal</t>
        </is>
      </c>
      <c r="O21" s="38" t="inlineStr">
        <is>
          <t>federal</t>
        </is>
      </c>
      <c r="P21" s="54" t="n">
        <v>0</v>
      </c>
      <c r="Q21" s="54" t="n">
        <v>0</v>
      </c>
      <c r="R21" s="54" t="n">
        <v>0</v>
      </c>
      <c r="S21" s="54" t="n">
        <v>0</v>
      </c>
      <c r="T21" s="54" t="n">
        <v>0</v>
      </c>
      <c r="U21" s="54" t="n">
        <v>0</v>
      </c>
      <c r="V21" s="54" t="n">
        <v>0</v>
      </c>
      <c r="W21" s="54" t="n">
        <v>0</v>
      </c>
      <c r="X21" s="54" t="n">
        <v>0</v>
      </c>
      <c r="Y21" s="54" t="n">
        <v>0</v>
      </c>
      <c r="Z21" s="54" t="n">
        <v>0</v>
      </c>
      <c r="AA21" s="54" t="n">
        <v>0</v>
      </c>
      <c r="AB21" s="54" t="n">
        <v>0</v>
      </c>
    </row>
    <row r="22">
      <c r="B22" s="42" t="inlineStr">
        <is>
          <t>FED|3</t>
        </is>
      </c>
      <c r="C22" s="52" t="n">
        <v>17700</v>
      </c>
      <c r="D22" s="53" t="n">
        <v>12</v>
      </c>
      <c r="E22" s="53">
        <f>D22-D21</f>
        <v/>
      </c>
      <c r="G22" s="42" t="inlineStr">
        <is>
          <t>PA</t>
        </is>
      </c>
      <c r="H22" s="42" t="inlineStr">
        <is>
          <t>Pensilvania</t>
        </is>
      </c>
      <c r="I22" s="42" t="inlineStr">
        <is>
          <t>plano</t>
        </is>
      </c>
      <c r="J22" s="42" t="inlineStr">
        <is>
          <t>salario_bruto</t>
        </is>
      </c>
      <c r="K22" s="54" t="n">
        <v>3.07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54" t="n">
        <v>0</v>
      </c>
      <c r="T22" s="54" t="n">
        <v>0</v>
      </c>
      <c r="U22" s="54" t="n">
        <v>0</v>
      </c>
      <c r="V22" s="54" t="n">
        <v>0</v>
      </c>
      <c r="W22" s="54" t="n">
        <v>0</v>
      </c>
      <c r="X22" s="54" t="n">
        <v>0</v>
      </c>
      <c r="Y22" s="54" t="n">
        <v>0</v>
      </c>
      <c r="Z22" s="54" t="n">
        <v>0</v>
      </c>
      <c r="AA22" s="54" t="n">
        <v>0</v>
      </c>
      <c r="AB22" s="54" t="n">
        <v>0</v>
      </c>
    </row>
    <row r="23">
      <c r="B23" s="42" t="inlineStr">
        <is>
          <t>FED|3</t>
        </is>
      </c>
      <c r="C23" s="52" t="n">
        <v>67450</v>
      </c>
      <c r="D23" s="53" t="n">
        <v>22</v>
      </c>
      <c r="E23" s="53">
        <f>D23-D22</f>
        <v/>
      </c>
      <c r="G23" s="42" t="inlineStr">
        <is>
          <t>TN</t>
        </is>
      </c>
      <c r="H23" s="42" t="inlineStr">
        <is>
          <t>Tennessee</t>
        </is>
      </c>
      <c r="I23" s="42" t="inlineStr">
        <is>
          <t>ninguno</t>
        </is>
      </c>
      <c r="J23" s="42" t="inlineStr">
        <is>
          <t>agi</t>
        </is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54" t="n">
        <v>0</v>
      </c>
      <c r="T23" s="54" t="n">
        <v>0</v>
      </c>
      <c r="U23" s="54" t="n">
        <v>0</v>
      </c>
      <c r="V23" s="54" t="n">
        <v>0</v>
      </c>
      <c r="W23" s="54" t="n">
        <v>0</v>
      </c>
      <c r="X23" s="54" t="n">
        <v>0</v>
      </c>
      <c r="Y23" s="54" t="n">
        <v>0</v>
      </c>
      <c r="Z23" s="54" t="n">
        <v>0</v>
      </c>
      <c r="AA23" s="54" t="n">
        <v>0</v>
      </c>
      <c r="AB23" s="54" t="n">
        <v>0</v>
      </c>
    </row>
    <row r="24">
      <c r="B24" s="42" t="inlineStr">
        <is>
          <t>FED|3</t>
        </is>
      </c>
      <c r="C24" s="52" t="n">
        <v>105700</v>
      </c>
      <c r="D24" s="53" t="n">
        <v>24</v>
      </c>
      <c r="E24" s="53">
        <f>D24-D23</f>
        <v/>
      </c>
      <c r="G24" s="42" t="inlineStr">
        <is>
          <t>TX</t>
        </is>
      </c>
      <c r="H24" s="42" t="inlineStr">
        <is>
          <t>Texas</t>
        </is>
      </c>
      <c r="I24" s="42" t="inlineStr">
        <is>
          <t>ninguno</t>
        </is>
      </c>
      <c r="J24" s="42" t="inlineStr">
        <is>
          <t>agi</t>
        </is>
      </c>
      <c r="K24" s="54" t="n">
        <v>0</v>
      </c>
      <c r="L24" s="54" t="n">
        <v>0</v>
      </c>
      <c r="M24" s="54" t="n">
        <v>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54" t="n">
        <v>0</v>
      </c>
      <c r="V24" s="54" t="n">
        <v>0</v>
      </c>
      <c r="W24" s="54" t="n">
        <v>0</v>
      </c>
      <c r="X24" s="54" t="n">
        <v>0</v>
      </c>
      <c r="Y24" s="54" t="n">
        <v>0</v>
      </c>
      <c r="Z24" s="54" t="n">
        <v>0</v>
      </c>
      <c r="AA24" s="54" t="n">
        <v>0</v>
      </c>
      <c r="AB24" s="54" t="n">
        <v>0</v>
      </c>
    </row>
    <row r="25">
      <c r="B25" s="42" t="inlineStr">
        <is>
          <t>FED|3</t>
        </is>
      </c>
      <c r="C25" s="52" t="n">
        <v>201775</v>
      </c>
      <c r="D25" s="53" t="n">
        <v>32</v>
      </c>
      <c r="E25" s="53">
        <f>D25-D24</f>
        <v/>
      </c>
      <c r="G25" s="42" t="inlineStr">
        <is>
          <t>WA</t>
        </is>
      </c>
      <c r="H25" s="42" t="inlineStr">
        <is>
          <t>Washington</t>
        </is>
      </c>
      <c r="I25" s="42" t="inlineStr">
        <is>
          <t>ninguno</t>
        </is>
      </c>
      <c r="J25" s="42" t="inlineStr">
        <is>
          <t>agi</t>
        </is>
      </c>
      <c r="K25" s="54" t="n">
        <v>0</v>
      </c>
      <c r="L25" s="54" t="n">
        <v>0</v>
      </c>
      <c r="M25" s="54" t="n">
        <v>0</v>
      </c>
      <c r="N25" s="54" t="n">
        <v>0</v>
      </c>
      <c r="O25" s="54" t="n">
        <v>0</v>
      </c>
      <c r="P25" s="54" t="n">
        <v>0</v>
      </c>
      <c r="Q25" s="54" t="n">
        <v>0</v>
      </c>
      <c r="R25" s="54" t="n">
        <v>0</v>
      </c>
      <c r="S25" s="54" t="n">
        <v>0</v>
      </c>
      <c r="T25" s="54" t="n">
        <v>0</v>
      </c>
      <c r="U25" s="54" t="n">
        <v>0</v>
      </c>
      <c r="V25" s="54" t="n">
        <v>0</v>
      </c>
      <c r="W25" s="54" t="n">
        <v>0</v>
      </c>
      <c r="X25" s="54" t="n">
        <v>0</v>
      </c>
      <c r="Y25" s="54" t="n">
        <v>0</v>
      </c>
      <c r="Z25" s="54" t="n">
        <v>0</v>
      </c>
      <c r="AA25" s="54" t="n">
        <v>0</v>
      </c>
      <c r="AB25" s="54" t="n">
        <v>0</v>
      </c>
    </row>
    <row r="26">
      <c r="B26" s="42" t="inlineStr">
        <is>
          <t>FED|3</t>
        </is>
      </c>
      <c r="C26" s="52" t="n">
        <v>256200</v>
      </c>
      <c r="D26" s="53" t="n">
        <v>35</v>
      </c>
      <c r="E26" s="53">
        <f>D26-D25</f>
        <v/>
      </c>
      <c r="G26" s="42" t="inlineStr">
        <is>
          <t>WY</t>
        </is>
      </c>
      <c r="H26" s="42" t="inlineStr">
        <is>
          <t>Wyoming</t>
        </is>
      </c>
      <c r="I26" s="42" t="inlineStr">
        <is>
          <t>ninguno</t>
        </is>
      </c>
      <c r="J26" s="42" t="inlineStr">
        <is>
          <t>agi</t>
        </is>
      </c>
      <c r="K26" s="54" t="n">
        <v>0</v>
      </c>
      <c r="L26" s="54" t="n">
        <v>0</v>
      </c>
      <c r="M26" s="54" t="n">
        <v>0</v>
      </c>
      <c r="N26" s="54" t="n">
        <v>0</v>
      </c>
      <c r="O26" s="54" t="n">
        <v>0</v>
      </c>
      <c r="P26" s="54" t="n">
        <v>0</v>
      </c>
      <c r="Q26" s="54" t="n">
        <v>0</v>
      </c>
      <c r="R26" s="54" t="n">
        <v>0</v>
      </c>
      <c r="S26" s="54" t="n">
        <v>0</v>
      </c>
      <c r="T26" s="54" t="n">
        <v>0</v>
      </c>
      <c r="U26" s="54" t="n">
        <v>0</v>
      </c>
      <c r="V26" s="54" t="n">
        <v>0</v>
      </c>
      <c r="W26" s="54" t="n">
        <v>0</v>
      </c>
      <c r="X26" s="54" t="n">
        <v>0</v>
      </c>
      <c r="Y26" s="54" t="n">
        <v>0</v>
      </c>
      <c r="Z26" s="54" t="n">
        <v>0</v>
      </c>
      <c r="AA26" s="54" t="n">
        <v>0</v>
      </c>
      <c r="AB26" s="54" t="n">
        <v>0</v>
      </c>
    </row>
    <row r="27">
      <c r="B27" s="42" t="inlineStr">
        <is>
          <t>FED|3</t>
        </is>
      </c>
      <c r="C27" s="52" t="n">
        <v>640600</v>
      </c>
      <c r="D27" s="53" t="n">
        <v>37</v>
      </c>
      <c r="E27" s="53">
        <f>D27-D26</f>
        <v/>
      </c>
    </row>
    <row r="28">
      <c r="B28" s="42" t="inlineStr">
        <is>
          <t>FED|4</t>
        </is>
      </c>
      <c r="C28" s="52" t="n">
        <v>0</v>
      </c>
      <c r="D28" s="53" t="n">
        <v>10</v>
      </c>
      <c r="E28" s="53">
        <f>D28</f>
        <v/>
      </c>
      <c r="G28" s="12" t="inlineStr">
        <is>
          <t>Fuentes: IRS Rev. Proc. 2025-32 y los departamentos de impuestos de cada estado (detalle y notas en params/us/2026/fiscal.json). Los estados con «verificado: false» en esos archivos se marcan en la hoja «Estatal».</t>
        </is>
      </c>
    </row>
    <row r="29">
      <c r="B29" s="42" t="inlineStr">
        <is>
          <t>FED|4</t>
        </is>
      </c>
      <c r="C29" s="52" t="n">
        <v>12400</v>
      </c>
      <c r="D29" s="53" t="n">
        <v>12</v>
      </c>
      <c r="E29" s="53">
        <f>D29-D28</f>
        <v/>
      </c>
    </row>
    <row r="30">
      <c r="B30" s="42" t="inlineStr">
        <is>
          <t>FED|4</t>
        </is>
      </c>
      <c r="C30" s="52" t="n">
        <v>50400</v>
      </c>
      <c r="D30" s="53" t="n">
        <v>22</v>
      </c>
      <c r="E30" s="53">
        <f>D30-D29</f>
        <v/>
      </c>
    </row>
    <row r="31">
      <c r="B31" s="42" t="inlineStr">
        <is>
          <t>FED|4</t>
        </is>
      </c>
      <c r="C31" s="52" t="n">
        <v>105700</v>
      </c>
      <c r="D31" s="53" t="n">
        <v>24</v>
      </c>
      <c r="E31" s="53">
        <f>D31-D30</f>
        <v/>
      </c>
    </row>
    <row r="32">
      <c r="B32" s="42" t="inlineStr">
        <is>
          <t>FED|4</t>
        </is>
      </c>
      <c r="C32" s="52" t="n">
        <v>201775</v>
      </c>
      <c r="D32" s="53" t="n">
        <v>32</v>
      </c>
      <c r="E32" s="53">
        <f>D32-D31</f>
        <v/>
      </c>
    </row>
    <row r="33">
      <c r="B33" s="42" t="inlineStr">
        <is>
          <t>FED|4</t>
        </is>
      </c>
      <c r="C33" s="52" t="n">
        <v>256225</v>
      </c>
      <c r="D33" s="53" t="n">
        <v>35</v>
      </c>
      <c r="E33" s="53">
        <f>D33-D32</f>
        <v/>
      </c>
    </row>
    <row r="34">
      <c r="B34" s="42" t="inlineStr">
        <is>
          <t>FED|4</t>
        </is>
      </c>
      <c r="C34" s="52" t="n">
        <v>384350</v>
      </c>
      <c r="D34" s="53" t="n">
        <v>37</v>
      </c>
      <c r="E34" s="53">
        <f>D34-D33</f>
        <v/>
      </c>
    </row>
    <row r="35">
      <c r="B35" s="42" t="inlineStr">
        <is>
          <t>CA|1</t>
        </is>
      </c>
      <c r="C35" s="52" t="n">
        <v>0</v>
      </c>
      <c r="D35" s="53" t="n">
        <v>1</v>
      </c>
      <c r="E35" s="53">
        <f>D35</f>
        <v/>
      </c>
    </row>
    <row r="36">
      <c r="B36" s="42" t="inlineStr">
        <is>
          <t>CA|1</t>
        </is>
      </c>
      <c r="C36" s="52" t="n">
        <v>11456</v>
      </c>
      <c r="D36" s="53" t="n">
        <v>2</v>
      </c>
      <c r="E36" s="53">
        <f>D36-D35</f>
        <v/>
      </c>
    </row>
    <row r="37">
      <c r="B37" s="42" t="inlineStr">
        <is>
          <t>CA|1</t>
        </is>
      </c>
      <c r="C37" s="52" t="n">
        <v>27157</v>
      </c>
      <c r="D37" s="53" t="n">
        <v>4</v>
      </c>
      <c r="E37" s="53">
        <f>D37-D36</f>
        <v/>
      </c>
    </row>
    <row r="38">
      <c r="B38" s="42" t="inlineStr">
        <is>
          <t>CA|1</t>
        </is>
      </c>
      <c r="C38" s="52" t="n">
        <v>42861</v>
      </c>
      <c r="D38" s="53" t="n">
        <v>6</v>
      </c>
      <c r="E38" s="53">
        <f>D38-D37</f>
        <v/>
      </c>
    </row>
    <row r="39">
      <c r="B39" s="42" t="inlineStr">
        <is>
          <t>CA|1</t>
        </is>
      </c>
      <c r="C39" s="52" t="n">
        <v>59498</v>
      </c>
      <c r="D39" s="53" t="n">
        <v>8</v>
      </c>
      <c r="E39" s="53">
        <f>D39-D38</f>
        <v/>
      </c>
    </row>
    <row r="40">
      <c r="B40" s="42" t="inlineStr">
        <is>
          <t>CA|1</t>
        </is>
      </c>
      <c r="C40" s="52" t="n">
        <v>75197</v>
      </c>
      <c r="D40" s="53" t="n">
        <v>9.300000000000001</v>
      </c>
      <c r="E40" s="53">
        <f>D40-D39</f>
        <v/>
      </c>
    </row>
    <row r="41">
      <c r="B41" s="42" t="inlineStr">
        <is>
          <t>CA|1</t>
        </is>
      </c>
      <c r="C41" s="52" t="n">
        <v>384109</v>
      </c>
      <c r="D41" s="53" t="n">
        <v>10.3</v>
      </c>
      <c r="E41" s="53">
        <f>D41-D40</f>
        <v/>
      </c>
    </row>
    <row r="42">
      <c r="B42" s="42" t="inlineStr">
        <is>
          <t>CA|1</t>
        </is>
      </c>
      <c r="C42" s="52" t="n">
        <v>460927</v>
      </c>
      <c r="D42" s="53" t="n">
        <v>11.3</v>
      </c>
      <c r="E42" s="53">
        <f>D42-D41</f>
        <v/>
      </c>
    </row>
    <row r="43">
      <c r="B43" s="42" t="inlineStr">
        <is>
          <t>CA|1</t>
        </is>
      </c>
      <c r="C43" s="52" t="n">
        <v>768213</v>
      </c>
      <c r="D43" s="53" t="n">
        <v>12.3</v>
      </c>
      <c r="E43" s="53">
        <f>D43-D42</f>
        <v/>
      </c>
    </row>
    <row r="44">
      <c r="B44" s="42" t="inlineStr">
        <is>
          <t>CA|2</t>
        </is>
      </c>
      <c r="C44" s="52" t="n">
        <v>0</v>
      </c>
      <c r="D44" s="53" t="n">
        <v>1</v>
      </c>
      <c r="E44" s="53">
        <f>D44</f>
        <v/>
      </c>
    </row>
    <row r="45">
      <c r="B45" s="42" t="inlineStr">
        <is>
          <t>CA|2</t>
        </is>
      </c>
      <c r="C45" s="52" t="n">
        <v>22912</v>
      </c>
      <c r="D45" s="53" t="n">
        <v>2</v>
      </c>
      <c r="E45" s="53">
        <f>D45-D44</f>
        <v/>
      </c>
    </row>
    <row r="46">
      <c r="B46" s="42" t="inlineStr">
        <is>
          <t>CA|2</t>
        </is>
      </c>
      <c r="C46" s="52" t="n">
        <v>54314</v>
      </c>
      <c r="D46" s="53" t="n">
        <v>4</v>
      </c>
      <c r="E46" s="53">
        <f>D46-D45</f>
        <v/>
      </c>
    </row>
    <row r="47">
      <c r="B47" s="42" t="inlineStr">
        <is>
          <t>CA|2</t>
        </is>
      </c>
      <c r="C47" s="52" t="n">
        <v>85722</v>
      </c>
      <c r="D47" s="53" t="n">
        <v>6</v>
      </c>
      <c r="E47" s="53">
        <f>D47-D46</f>
        <v/>
      </c>
    </row>
    <row r="48">
      <c r="B48" s="42" t="inlineStr">
        <is>
          <t>CA|2</t>
        </is>
      </c>
      <c r="C48" s="52" t="n">
        <v>118996</v>
      </c>
      <c r="D48" s="53" t="n">
        <v>8</v>
      </c>
      <c r="E48" s="53">
        <f>D48-D47</f>
        <v/>
      </c>
    </row>
    <row r="49">
      <c r="B49" s="42" t="inlineStr">
        <is>
          <t>CA|2</t>
        </is>
      </c>
      <c r="C49" s="52" t="n">
        <v>150394</v>
      </c>
      <c r="D49" s="53" t="n">
        <v>9.300000000000001</v>
      </c>
      <c r="E49" s="53">
        <f>D49-D48</f>
        <v/>
      </c>
    </row>
    <row r="50">
      <c r="B50" s="42" t="inlineStr">
        <is>
          <t>CA|2</t>
        </is>
      </c>
      <c r="C50" s="52" t="n">
        <v>768218</v>
      </c>
      <c r="D50" s="53" t="n">
        <v>10.3</v>
      </c>
      <c r="E50" s="53">
        <f>D50-D49</f>
        <v/>
      </c>
    </row>
    <row r="51">
      <c r="B51" s="42" t="inlineStr">
        <is>
          <t>CA|2</t>
        </is>
      </c>
      <c r="C51" s="52" t="n">
        <v>921854</v>
      </c>
      <c r="D51" s="53" t="n">
        <v>11.3</v>
      </c>
      <c r="E51" s="53">
        <f>D51-D50</f>
        <v/>
      </c>
    </row>
    <row r="52">
      <c r="B52" s="42" t="inlineStr">
        <is>
          <t>CA|2</t>
        </is>
      </c>
      <c r="C52" s="52" t="n">
        <v>1536426</v>
      </c>
      <c r="D52" s="53" t="n">
        <v>12.3</v>
      </c>
      <c r="E52" s="53">
        <f>D52-D51</f>
        <v/>
      </c>
    </row>
    <row r="53">
      <c r="B53" s="42" t="inlineStr">
        <is>
          <t>CA|3</t>
        </is>
      </c>
      <c r="C53" s="52" t="n">
        <v>0</v>
      </c>
      <c r="D53" s="53" t="n">
        <v>1</v>
      </c>
      <c r="E53" s="53">
        <f>D53</f>
        <v/>
      </c>
    </row>
    <row r="54">
      <c r="B54" s="42" t="inlineStr">
        <is>
          <t>CA|3</t>
        </is>
      </c>
      <c r="C54" s="52" t="n">
        <v>22927</v>
      </c>
      <c r="D54" s="53" t="n">
        <v>2</v>
      </c>
      <c r="E54" s="53">
        <f>D54-D53</f>
        <v/>
      </c>
    </row>
    <row r="55">
      <c r="B55" s="42" t="inlineStr">
        <is>
          <t>CA|3</t>
        </is>
      </c>
      <c r="C55" s="52" t="n">
        <v>54316</v>
      </c>
      <c r="D55" s="53" t="n">
        <v>4</v>
      </c>
      <c r="E55" s="53">
        <f>D55-D54</f>
        <v/>
      </c>
    </row>
    <row r="56">
      <c r="B56" s="42" t="inlineStr">
        <is>
          <t>CA|3</t>
        </is>
      </c>
      <c r="C56" s="52" t="n">
        <v>70018</v>
      </c>
      <c r="D56" s="53" t="n">
        <v>6</v>
      </c>
      <c r="E56" s="53">
        <f>D56-D55</f>
        <v/>
      </c>
    </row>
    <row r="57">
      <c r="B57" s="42" t="inlineStr">
        <is>
          <t>CA|3</t>
        </is>
      </c>
      <c r="C57" s="52" t="n">
        <v>86654</v>
      </c>
      <c r="D57" s="53" t="n">
        <v>8</v>
      </c>
      <c r="E57" s="53">
        <f>D57-D56</f>
        <v/>
      </c>
    </row>
    <row r="58">
      <c r="B58" s="42" t="inlineStr">
        <is>
          <t>CA|3</t>
        </is>
      </c>
      <c r="C58" s="52" t="n">
        <v>102356</v>
      </c>
      <c r="D58" s="53" t="n">
        <v>9.300000000000001</v>
      </c>
      <c r="E58" s="53">
        <f>D58-D57</f>
        <v/>
      </c>
    </row>
    <row r="59">
      <c r="B59" s="42" t="inlineStr">
        <is>
          <t>CA|3</t>
        </is>
      </c>
      <c r="C59" s="52" t="n">
        <v>522385</v>
      </c>
      <c r="D59" s="53" t="n">
        <v>10.3</v>
      </c>
      <c r="E59" s="53">
        <f>D59-D58</f>
        <v/>
      </c>
    </row>
    <row r="60">
      <c r="B60" s="42" t="inlineStr">
        <is>
          <t>CA|3</t>
        </is>
      </c>
      <c r="C60" s="52" t="n">
        <v>626864</v>
      </c>
      <c r="D60" s="53" t="n">
        <v>11.3</v>
      </c>
      <c r="E60" s="53">
        <f>D60-D59</f>
        <v/>
      </c>
    </row>
    <row r="61">
      <c r="B61" s="42" t="inlineStr">
        <is>
          <t>CA|3</t>
        </is>
      </c>
      <c r="C61" s="52" t="n">
        <v>1044771</v>
      </c>
      <c r="D61" s="53" t="n">
        <v>12.3</v>
      </c>
      <c r="E61" s="53">
        <f>D61-D60</f>
        <v/>
      </c>
    </row>
    <row r="62">
      <c r="B62" s="42" t="inlineStr">
        <is>
          <t>CA|4</t>
        </is>
      </c>
      <c r="C62" s="52" t="n">
        <v>0</v>
      </c>
      <c r="D62" s="53" t="n">
        <v>1</v>
      </c>
      <c r="E62" s="53">
        <f>D62</f>
        <v/>
      </c>
    </row>
    <row r="63">
      <c r="B63" s="42" t="inlineStr">
        <is>
          <t>CA|4</t>
        </is>
      </c>
      <c r="C63" s="52" t="n">
        <v>11456</v>
      </c>
      <c r="D63" s="53" t="n">
        <v>2</v>
      </c>
      <c r="E63" s="53">
        <f>D63-D62</f>
        <v/>
      </c>
    </row>
    <row r="64">
      <c r="B64" s="42" t="inlineStr">
        <is>
          <t>CA|4</t>
        </is>
      </c>
      <c r="C64" s="52" t="n">
        <v>27157</v>
      </c>
      <c r="D64" s="53" t="n">
        <v>4</v>
      </c>
      <c r="E64" s="53">
        <f>D64-D63</f>
        <v/>
      </c>
    </row>
    <row r="65">
      <c r="B65" s="42" t="inlineStr">
        <is>
          <t>CA|4</t>
        </is>
      </c>
      <c r="C65" s="52" t="n">
        <v>42861</v>
      </c>
      <c r="D65" s="53" t="n">
        <v>6</v>
      </c>
      <c r="E65" s="53">
        <f>D65-D64</f>
        <v/>
      </c>
    </row>
    <row r="66">
      <c r="B66" s="42" t="inlineStr">
        <is>
          <t>CA|4</t>
        </is>
      </c>
      <c r="C66" s="52" t="n">
        <v>59498</v>
      </c>
      <c r="D66" s="53" t="n">
        <v>8</v>
      </c>
      <c r="E66" s="53">
        <f>D66-D65</f>
        <v/>
      </c>
    </row>
    <row r="67">
      <c r="B67" s="42" t="inlineStr">
        <is>
          <t>CA|4</t>
        </is>
      </c>
      <c r="C67" s="52" t="n">
        <v>75197</v>
      </c>
      <c r="D67" s="53" t="n">
        <v>9.300000000000001</v>
      </c>
      <c r="E67" s="53">
        <f>D67-D66</f>
        <v/>
      </c>
    </row>
    <row r="68">
      <c r="B68" s="42" t="inlineStr">
        <is>
          <t>CA|4</t>
        </is>
      </c>
      <c r="C68" s="52" t="n">
        <v>384109</v>
      </c>
      <c r="D68" s="53" t="n">
        <v>10.3</v>
      </c>
      <c r="E68" s="53">
        <f>D68-D67</f>
        <v/>
      </c>
    </row>
    <row r="69">
      <c r="B69" s="42" t="inlineStr">
        <is>
          <t>CA|4</t>
        </is>
      </c>
      <c r="C69" s="52" t="n">
        <v>460927</v>
      </c>
      <c r="D69" s="53" t="n">
        <v>11.3</v>
      </c>
      <c r="E69" s="53">
        <f>D69-D68</f>
        <v/>
      </c>
    </row>
    <row r="70">
      <c r="B70" s="42" t="inlineStr">
        <is>
          <t>CA|4</t>
        </is>
      </c>
      <c r="C70" s="52" t="n">
        <v>768213</v>
      </c>
      <c r="D70" s="53" t="n">
        <v>12.3</v>
      </c>
      <c r="E70" s="53">
        <f>D70-D69</f>
        <v/>
      </c>
    </row>
    <row r="71">
      <c r="B71" s="42" t="inlineStr">
        <is>
          <t>NJ|1</t>
        </is>
      </c>
      <c r="C71" s="52" t="n">
        <v>0</v>
      </c>
      <c r="D71" s="53" t="n">
        <v>1.4</v>
      </c>
      <c r="E71" s="53">
        <f>D71</f>
        <v/>
      </c>
    </row>
    <row r="72">
      <c r="B72" s="42" t="inlineStr">
        <is>
          <t>NJ|1</t>
        </is>
      </c>
      <c r="C72" s="52" t="n">
        <v>20000</v>
      </c>
      <c r="D72" s="53" t="n">
        <v>1.75</v>
      </c>
      <c r="E72" s="53">
        <f>D72-D71</f>
        <v/>
      </c>
    </row>
    <row r="73">
      <c r="B73" s="42" t="inlineStr">
        <is>
          <t>NJ|1</t>
        </is>
      </c>
      <c r="C73" s="52" t="n">
        <v>35000</v>
      </c>
      <c r="D73" s="53" t="n">
        <v>3.5</v>
      </c>
      <c r="E73" s="53">
        <f>D73-D72</f>
        <v/>
      </c>
    </row>
    <row r="74">
      <c r="B74" s="42" t="inlineStr">
        <is>
          <t>NJ|1</t>
        </is>
      </c>
      <c r="C74" s="52" t="n">
        <v>40000</v>
      </c>
      <c r="D74" s="53" t="n">
        <v>5.525</v>
      </c>
      <c r="E74" s="53">
        <f>D74-D73</f>
        <v/>
      </c>
    </row>
    <row r="75">
      <c r="B75" s="42" t="inlineStr">
        <is>
          <t>NJ|1</t>
        </is>
      </c>
      <c r="C75" s="52" t="n">
        <v>75000</v>
      </c>
      <c r="D75" s="53" t="n">
        <v>6.37</v>
      </c>
      <c r="E75" s="53">
        <f>D75-D74</f>
        <v/>
      </c>
    </row>
    <row r="76">
      <c r="B76" s="42" t="inlineStr">
        <is>
          <t>NJ|1</t>
        </is>
      </c>
      <c r="C76" s="52" t="n">
        <v>500000</v>
      </c>
      <c r="D76" s="53" t="n">
        <v>8.970000000000001</v>
      </c>
      <c r="E76" s="53">
        <f>D76-D75</f>
        <v/>
      </c>
    </row>
    <row r="77">
      <c r="B77" s="42" t="inlineStr">
        <is>
          <t>NJ|1</t>
        </is>
      </c>
      <c r="C77" s="52" t="n">
        <v>1000000</v>
      </c>
      <c r="D77" s="53" t="n">
        <v>10.75</v>
      </c>
      <c r="E77" s="53">
        <f>D77-D76</f>
        <v/>
      </c>
    </row>
    <row r="78">
      <c r="B78" s="42" t="inlineStr">
        <is>
          <t>NJ|2</t>
        </is>
      </c>
      <c r="C78" s="52" t="n">
        <v>0</v>
      </c>
      <c r="D78" s="53" t="n">
        <v>1.4</v>
      </c>
      <c r="E78" s="53">
        <f>D78</f>
        <v/>
      </c>
    </row>
    <row r="79">
      <c r="B79" s="42" t="inlineStr">
        <is>
          <t>NJ|2</t>
        </is>
      </c>
      <c r="C79" s="52" t="n">
        <v>20000</v>
      </c>
      <c r="D79" s="53" t="n">
        <v>1.75</v>
      </c>
      <c r="E79" s="53">
        <f>D79-D78</f>
        <v/>
      </c>
    </row>
    <row r="80">
      <c r="B80" s="42" t="inlineStr">
        <is>
          <t>NJ|2</t>
        </is>
      </c>
      <c r="C80" s="52" t="n">
        <v>50000</v>
      </c>
      <c r="D80" s="53" t="n">
        <v>2.45</v>
      </c>
      <c r="E80" s="53">
        <f>D80-D79</f>
        <v/>
      </c>
    </row>
    <row r="81">
      <c r="B81" s="42" t="inlineStr">
        <is>
          <t>NJ|2</t>
        </is>
      </c>
      <c r="C81" s="52" t="n">
        <v>70000</v>
      </c>
      <c r="D81" s="53" t="n">
        <v>3.5</v>
      </c>
      <c r="E81" s="53">
        <f>D81-D80</f>
        <v/>
      </c>
    </row>
    <row r="82">
      <c r="B82" s="42" t="inlineStr">
        <is>
          <t>NJ|2</t>
        </is>
      </c>
      <c r="C82" s="52" t="n">
        <v>80000</v>
      </c>
      <c r="D82" s="53" t="n">
        <v>5.525</v>
      </c>
      <c r="E82" s="53">
        <f>D82-D81</f>
        <v/>
      </c>
    </row>
    <row r="83">
      <c r="B83" s="42" t="inlineStr">
        <is>
          <t>NJ|2</t>
        </is>
      </c>
      <c r="C83" s="52" t="n">
        <v>150000</v>
      </c>
      <c r="D83" s="53" t="n">
        <v>6.37</v>
      </c>
      <c r="E83" s="53">
        <f>D83-D82</f>
        <v/>
      </c>
    </row>
    <row r="84">
      <c r="B84" s="42" t="inlineStr">
        <is>
          <t>NJ|2</t>
        </is>
      </c>
      <c r="C84" s="52" t="n">
        <v>500000</v>
      </c>
      <c r="D84" s="53" t="n">
        <v>8.970000000000001</v>
      </c>
      <c r="E84" s="53">
        <f>D84-D83</f>
        <v/>
      </c>
    </row>
    <row r="85">
      <c r="B85" s="42" t="inlineStr">
        <is>
          <t>NJ|2</t>
        </is>
      </c>
      <c r="C85" s="52" t="n">
        <v>1000000</v>
      </c>
      <c r="D85" s="53" t="n">
        <v>10.75</v>
      </c>
      <c r="E85" s="53">
        <f>D85-D84</f>
        <v/>
      </c>
    </row>
    <row r="86">
      <c r="B86" s="42" t="inlineStr">
        <is>
          <t>NJ|3</t>
        </is>
      </c>
      <c r="C86" s="52" t="n">
        <v>0</v>
      </c>
      <c r="D86" s="53" t="n">
        <v>1.4</v>
      </c>
      <c r="E86" s="53">
        <f>D86</f>
        <v/>
      </c>
    </row>
    <row r="87">
      <c r="B87" s="42" t="inlineStr">
        <is>
          <t>NJ|3</t>
        </is>
      </c>
      <c r="C87" s="52" t="n">
        <v>20000</v>
      </c>
      <c r="D87" s="53" t="n">
        <v>1.75</v>
      </c>
      <c r="E87" s="53">
        <f>D87-D86</f>
        <v/>
      </c>
    </row>
    <row r="88">
      <c r="B88" s="42" t="inlineStr">
        <is>
          <t>NJ|3</t>
        </is>
      </c>
      <c r="C88" s="52" t="n">
        <v>50000</v>
      </c>
      <c r="D88" s="53" t="n">
        <v>2.45</v>
      </c>
      <c r="E88" s="53">
        <f>D88-D87</f>
        <v/>
      </c>
    </row>
    <row r="89">
      <c r="B89" s="42" t="inlineStr">
        <is>
          <t>NJ|3</t>
        </is>
      </c>
      <c r="C89" s="52" t="n">
        <v>70000</v>
      </c>
      <c r="D89" s="53" t="n">
        <v>3.5</v>
      </c>
      <c r="E89" s="53">
        <f>D89-D88</f>
        <v/>
      </c>
    </row>
    <row r="90">
      <c r="B90" s="42" t="inlineStr">
        <is>
          <t>NJ|3</t>
        </is>
      </c>
      <c r="C90" s="52" t="n">
        <v>80000</v>
      </c>
      <c r="D90" s="53" t="n">
        <v>5.525</v>
      </c>
      <c r="E90" s="53">
        <f>D90-D89</f>
        <v/>
      </c>
    </row>
    <row r="91">
      <c r="B91" s="42" t="inlineStr">
        <is>
          <t>NJ|3</t>
        </is>
      </c>
      <c r="C91" s="52" t="n">
        <v>150000</v>
      </c>
      <c r="D91" s="53" t="n">
        <v>6.37</v>
      </c>
      <c r="E91" s="53">
        <f>D91-D90</f>
        <v/>
      </c>
    </row>
    <row r="92">
      <c r="B92" s="42" t="inlineStr">
        <is>
          <t>NJ|3</t>
        </is>
      </c>
      <c r="C92" s="52" t="n">
        <v>500000</v>
      </c>
      <c r="D92" s="53" t="n">
        <v>8.970000000000001</v>
      </c>
      <c r="E92" s="53">
        <f>D92-D91</f>
        <v/>
      </c>
    </row>
    <row r="93">
      <c r="B93" s="42" t="inlineStr">
        <is>
          <t>NJ|3</t>
        </is>
      </c>
      <c r="C93" s="52" t="n">
        <v>1000000</v>
      </c>
      <c r="D93" s="53" t="n">
        <v>10.75</v>
      </c>
      <c r="E93" s="53">
        <f>D93-D92</f>
        <v/>
      </c>
    </row>
    <row r="94">
      <c r="B94" s="42" t="inlineStr">
        <is>
          <t>NJ|4</t>
        </is>
      </c>
      <c r="C94" s="52" t="n">
        <v>0</v>
      </c>
      <c r="D94" s="53" t="n">
        <v>1.4</v>
      </c>
      <c r="E94" s="53">
        <f>D94</f>
        <v/>
      </c>
    </row>
    <row r="95">
      <c r="B95" s="42" t="inlineStr">
        <is>
          <t>NJ|4</t>
        </is>
      </c>
      <c r="C95" s="52" t="n">
        <v>20000</v>
      </c>
      <c r="D95" s="53" t="n">
        <v>1.75</v>
      </c>
      <c r="E95" s="53">
        <f>D95-D94</f>
        <v/>
      </c>
    </row>
    <row r="96">
      <c r="B96" s="42" t="inlineStr">
        <is>
          <t>NJ|4</t>
        </is>
      </c>
      <c r="C96" s="52" t="n">
        <v>35000</v>
      </c>
      <c r="D96" s="53" t="n">
        <v>3.5</v>
      </c>
      <c r="E96" s="53">
        <f>D96-D95</f>
        <v/>
      </c>
    </row>
    <row r="97">
      <c r="B97" s="42" t="inlineStr">
        <is>
          <t>NJ|4</t>
        </is>
      </c>
      <c r="C97" s="52" t="n">
        <v>40000</v>
      </c>
      <c r="D97" s="53" t="n">
        <v>5.525</v>
      </c>
      <c r="E97" s="53">
        <f>D97-D96</f>
        <v/>
      </c>
    </row>
    <row r="98">
      <c r="B98" s="42" t="inlineStr">
        <is>
          <t>NJ|4</t>
        </is>
      </c>
      <c r="C98" s="52" t="n">
        <v>75000</v>
      </c>
      <c r="D98" s="53" t="n">
        <v>6.37</v>
      </c>
      <c r="E98" s="53">
        <f>D98-D97</f>
        <v/>
      </c>
    </row>
    <row r="99">
      <c r="B99" s="42" t="inlineStr">
        <is>
          <t>NJ|4</t>
        </is>
      </c>
      <c r="C99" s="52" t="n">
        <v>500000</v>
      </c>
      <c r="D99" s="53" t="n">
        <v>8.970000000000001</v>
      </c>
      <c r="E99" s="53">
        <f>D99-D98</f>
        <v/>
      </c>
    </row>
    <row r="100">
      <c r="B100" s="42" t="inlineStr">
        <is>
          <t>NJ|4</t>
        </is>
      </c>
      <c r="C100" s="52" t="n">
        <v>1000000</v>
      </c>
      <c r="D100" s="53" t="n">
        <v>10.75</v>
      </c>
      <c r="E100" s="53">
        <f>D100-D99</f>
        <v/>
      </c>
    </row>
    <row r="101">
      <c r="B101" s="42" t="inlineStr">
        <is>
          <t>NY|1</t>
        </is>
      </c>
      <c r="C101" s="52" t="n">
        <v>0</v>
      </c>
      <c r="D101" s="53" t="n">
        <v>3.9</v>
      </c>
      <c r="E101" s="53">
        <f>D101</f>
        <v/>
      </c>
    </row>
    <row r="102">
      <c r="B102" s="42" t="inlineStr">
        <is>
          <t>NY|1</t>
        </is>
      </c>
      <c r="C102" s="52" t="n">
        <v>8500</v>
      </c>
      <c r="D102" s="53" t="n">
        <v>4.4</v>
      </c>
      <c r="E102" s="53">
        <f>D102-D101</f>
        <v/>
      </c>
    </row>
    <row r="103">
      <c r="B103" s="42" t="inlineStr">
        <is>
          <t>NY|1</t>
        </is>
      </c>
      <c r="C103" s="52" t="n">
        <v>11700</v>
      </c>
      <c r="D103" s="53" t="n">
        <v>5.15</v>
      </c>
      <c r="E103" s="53">
        <f>D103-D102</f>
        <v/>
      </c>
    </row>
    <row r="104">
      <c r="B104" s="42" t="inlineStr">
        <is>
          <t>NY|1</t>
        </is>
      </c>
      <c r="C104" s="52" t="n">
        <v>13900</v>
      </c>
      <c r="D104" s="53" t="n">
        <v>5.4</v>
      </c>
      <c r="E104" s="53">
        <f>D104-D103</f>
        <v/>
      </c>
    </row>
    <row r="105">
      <c r="B105" s="42" t="inlineStr">
        <is>
          <t>NY|1</t>
        </is>
      </c>
      <c r="C105" s="52" t="n">
        <v>80650</v>
      </c>
      <c r="D105" s="53" t="n">
        <v>5.9</v>
      </c>
      <c r="E105" s="53">
        <f>D105-D104</f>
        <v/>
      </c>
    </row>
    <row r="106">
      <c r="B106" s="42" t="inlineStr">
        <is>
          <t>NY|1</t>
        </is>
      </c>
      <c r="C106" s="52" t="n">
        <v>215400</v>
      </c>
      <c r="D106" s="53" t="n">
        <v>6.85</v>
      </c>
      <c r="E106" s="53">
        <f>D106-D105</f>
        <v/>
      </c>
    </row>
    <row r="107">
      <c r="B107" s="42" t="inlineStr">
        <is>
          <t>NY|1</t>
        </is>
      </c>
      <c r="C107" s="52" t="n">
        <v>1077550</v>
      </c>
      <c r="D107" s="53" t="n">
        <v>9.65</v>
      </c>
      <c r="E107" s="53">
        <f>D107-D106</f>
        <v/>
      </c>
    </row>
    <row r="108">
      <c r="B108" s="42" t="inlineStr">
        <is>
          <t>NY|1</t>
        </is>
      </c>
      <c r="C108" s="52" t="n">
        <v>5000000</v>
      </c>
      <c r="D108" s="53" t="n">
        <v>10.3</v>
      </c>
      <c r="E108" s="53">
        <f>D108-D107</f>
        <v/>
      </c>
    </row>
    <row r="109">
      <c r="B109" s="42" t="inlineStr">
        <is>
          <t>NY|1</t>
        </is>
      </c>
      <c r="C109" s="52" t="n">
        <v>25000000</v>
      </c>
      <c r="D109" s="53" t="n">
        <v>10.9</v>
      </c>
      <c r="E109" s="53">
        <f>D109-D108</f>
        <v/>
      </c>
    </row>
    <row r="110">
      <c r="B110" s="42" t="inlineStr">
        <is>
          <t>NY|2</t>
        </is>
      </c>
      <c r="C110" s="52" t="n">
        <v>0</v>
      </c>
      <c r="D110" s="53" t="n">
        <v>3.9</v>
      </c>
      <c r="E110" s="53">
        <f>D110</f>
        <v/>
      </c>
    </row>
    <row r="111">
      <c r="B111" s="42" t="inlineStr">
        <is>
          <t>NY|2</t>
        </is>
      </c>
      <c r="C111" s="52" t="n">
        <v>17150</v>
      </c>
      <c r="D111" s="53" t="n">
        <v>4.4</v>
      </c>
      <c r="E111" s="53">
        <f>D111-D110</f>
        <v/>
      </c>
    </row>
    <row r="112">
      <c r="B112" s="42" t="inlineStr">
        <is>
          <t>NY|2</t>
        </is>
      </c>
      <c r="C112" s="52" t="n">
        <v>23600</v>
      </c>
      <c r="D112" s="53" t="n">
        <v>5.15</v>
      </c>
      <c r="E112" s="53">
        <f>D112-D111</f>
        <v/>
      </c>
    </row>
    <row r="113">
      <c r="B113" s="42" t="inlineStr">
        <is>
          <t>NY|2</t>
        </is>
      </c>
      <c r="C113" s="52" t="n">
        <v>27900</v>
      </c>
      <c r="D113" s="53" t="n">
        <v>5.4</v>
      </c>
      <c r="E113" s="53">
        <f>D113-D112</f>
        <v/>
      </c>
    </row>
    <row r="114">
      <c r="B114" s="42" t="inlineStr">
        <is>
          <t>NY|2</t>
        </is>
      </c>
      <c r="C114" s="52" t="n">
        <v>161550</v>
      </c>
      <c r="D114" s="53" t="n">
        <v>5.9</v>
      </c>
      <c r="E114" s="53">
        <f>D114-D113</f>
        <v/>
      </c>
    </row>
    <row r="115">
      <c r="B115" s="42" t="inlineStr">
        <is>
          <t>NY|2</t>
        </is>
      </c>
      <c r="C115" s="52" t="n">
        <v>323200</v>
      </c>
      <c r="D115" s="53" t="n">
        <v>6.85</v>
      </c>
      <c r="E115" s="53">
        <f>D115-D114</f>
        <v/>
      </c>
    </row>
    <row r="116">
      <c r="B116" s="42" t="inlineStr">
        <is>
          <t>NY|2</t>
        </is>
      </c>
      <c r="C116" s="52" t="n">
        <v>2155350</v>
      </c>
      <c r="D116" s="53" t="n">
        <v>9.65</v>
      </c>
      <c r="E116" s="53">
        <f>D116-D115</f>
        <v/>
      </c>
    </row>
    <row r="117">
      <c r="B117" s="42" t="inlineStr">
        <is>
          <t>NY|2</t>
        </is>
      </c>
      <c r="C117" s="52" t="n">
        <v>5000000</v>
      </c>
      <c r="D117" s="53" t="n">
        <v>10.3</v>
      </c>
      <c r="E117" s="53">
        <f>D117-D116</f>
        <v/>
      </c>
    </row>
    <row r="118">
      <c r="B118" s="42" t="inlineStr">
        <is>
          <t>NY|2</t>
        </is>
      </c>
      <c r="C118" s="52" t="n">
        <v>25000000</v>
      </c>
      <c r="D118" s="53" t="n">
        <v>10.9</v>
      </c>
      <c r="E118" s="53">
        <f>D118-D117</f>
        <v/>
      </c>
    </row>
    <row r="119">
      <c r="B119" s="42" t="inlineStr">
        <is>
          <t>NY|3</t>
        </is>
      </c>
      <c r="C119" s="52" t="n">
        <v>0</v>
      </c>
      <c r="D119" s="53" t="n">
        <v>3.9</v>
      </c>
      <c r="E119" s="53">
        <f>D119</f>
        <v/>
      </c>
    </row>
    <row r="120">
      <c r="B120" s="42" t="inlineStr">
        <is>
          <t>NY|3</t>
        </is>
      </c>
      <c r="C120" s="52" t="n">
        <v>12800</v>
      </c>
      <c r="D120" s="53" t="n">
        <v>4.4</v>
      </c>
      <c r="E120" s="53">
        <f>D120-D119</f>
        <v/>
      </c>
    </row>
    <row r="121">
      <c r="B121" s="42" t="inlineStr">
        <is>
          <t>NY|3</t>
        </is>
      </c>
      <c r="C121" s="52" t="n">
        <v>17650</v>
      </c>
      <c r="D121" s="53" t="n">
        <v>5.15</v>
      </c>
      <c r="E121" s="53">
        <f>D121-D120</f>
        <v/>
      </c>
    </row>
    <row r="122">
      <c r="B122" s="42" t="inlineStr">
        <is>
          <t>NY|3</t>
        </is>
      </c>
      <c r="C122" s="52" t="n">
        <v>20900</v>
      </c>
      <c r="D122" s="53" t="n">
        <v>5.4</v>
      </c>
      <c r="E122" s="53">
        <f>D122-D121</f>
        <v/>
      </c>
    </row>
    <row r="123">
      <c r="B123" s="42" t="inlineStr">
        <is>
          <t>NY|3</t>
        </is>
      </c>
      <c r="C123" s="52" t="n">
        <v>107650</v>
      </c>
      <c r="D123" s="53" t="n">
        <v>5.9</v>
      </c>
      <c r="E123" s="53">
        <f>D123-D122</f>
        <v/>
      </c>
    </row>
    <row r="124">
      <c r="B124" s="42" t="inlineStr">
        <is>
          <t>NY|3</t>
        </is>
      </c>
      <c r="C124" s="52" t="n">
        <v>269300</v>
      </c>
      <c r="D124" s="53" t="n">
        <v>6.85</v>
      </c>
      <c r="E124" s="53">
        <f>D124-D123</f>
        <v/>
      </c>
    </row>
    <row r="125">
      <c r="B125" s="42" t="inlineStr">
        <is>
          <t>NY|3</t>
        </is>
      </c>
      <c r="C125" s="52" t="n">
        <v>1616450</v>
      </c>
      <c r="D125" s="53" t="n">
        <v>9.65</v>
      </c>
      <c r="E125" s="53">
        <f>D125-D124</f>
        <v/>
      </c>
    </row>
    <row r="126">
      <c r="B126" s="42" t="inlineStr">
        <is>
          <t>NY|3</t>
        </is>
      </c>
      <c r="C126" s="52" t="n">
        <v>5000000</v>
      </c>
      <c r="D126" s="53" t="n">
        <v>10.3</v>
      </c>
      <c r="E126" s="53">
        <f>D126-D125</f>
        <v/>
      </c>
    </row>
    <row r="127">
      <c r="B127" s="42" t="inlineStr">
        <is>
          <t>NY|3</t>
        </is>
      </c>
      <c r="C127" s="52" t="n">
        <v>25000000</v>
      </c>
      <c r="D127" s="53" t="n">
        <v>10.9</v>
      </c>
      <c r="E127" s="53">
        <f>D127-D126</f>
        <v/>
      </c>
    </row>
    <row r="128">
      <c r="B128" s="42" t="inlineStr">
        <is>
          <t>NY|4</t>
        </is>
      </c>
      <c r="C128" s="52" t="n">
        <v>0</v>
      </c>
      <c r="D128" s="53" t="n">
        <v>3.9</v>
      </c>
      <c r="E128" s="53">
        <f>D128</f>
        <v/>
      </c>
    </row>
    <row r="129">
      <c r="B129" s="42" t="inlineStr">
        <is>
          <t>NY|4</t>
        </is>
      </c>
      <c r="C129" s="52" t="n">
        <v>8500</v>
      </c>
      <c r="D129" s="53" t="n">
        <v>4.4</v>
      </c>
      <c r="E129" s="53">
        <f>D129-D128</f>
        <v/>
      </c>
    </row>
    <row r="130">
      <c r="B130" s="42" t="inlineStr">
        <is>
          <t>NY|4</t>
        </is>
      </c>
      <c r="C130" s="52" t="n">
        <v>11700</v>
      </c>
      <c r="D130" s="53" t="n">
        <v>5.15</v>
      </c>
      <c r="E130" s="53">
        <f>D130-D129</f>
        <v/>
      </c>
    </row>
    <row r="131">
      <c r="B131" s="42" t="inlineStr">
        <is>
          <t>NY|4</t>
        </is>
      </c>
      <c r="C131" s="52" t="n">
        <v>13900</v>
      </c>
      <c r="D131" s="53" t="n">
        <v>5.4</v>
      </c>
      <c r="E131" s="53">
        <f>D131-D130</f>
        <v/>
      </c>
    </row>
    <row r="132">
      <c r="B132" s="42" t="inlineStr">
        <is>
          <t>NY|4</t>
        </is>
      </c>
      <c r="C132" s="52" t="n">
        <v>80650</v>
      </c>
      <c r="D132" s="53" t="n">
        <v>5.9</v>
      </c>
      <c r="E132" s="53">
        <f>D132-D131</f>
        <v/>
      </c>
    </row>
    <row r="133">
      <c r="B133" s="42" t="inlineStr">
        <is>
          <t>NY|4</t>
        </is>
      </c>
      <c r="C133" s="52" t="n">
        <v>215400</v>
      </c>
      <c r="D133" s="53" t="n">
        <v>6.85</v>
      </c>
      <c r="E133" s="53">
        <f>D133-D132</f>
        <v/>
      </c>
    </row>
    <row r="134">
      <c r="B134" s="42" t="inlineStr">
        <is>
          <t>NY|4</t>
        </is>
      </c>
      <c r="C134" s="52" t="n">
        <v>1077550</v>
      </c>
      <c r="D134" s="53" t="n">
        <v>9.65</v>
      </c>
      <c r="E134" s="53">
        <f>D134-D133</f>
        <v/>
      </c>
    </row>
    <row r="135">
      <c r="B135" s="42" t="inlineStr">
        <is>
          <t>NY|4</t>
        </is>
      </c>
      <c r="C135" s="52" t="n">
        <v>5000000</v>
      </c>
      <c r="D135" s="53" t="n">
        <v>10.3</v>
      </c>
      <c r="E135" s="53">
        <f>D135-D134</f>
        <v/>
      </c>
    </row>
    <row r="136">
      <c r="B136" s="42" t="inlineStr">
        <is>
          <t>NY|4</t>
        </is>
      </c>
      <c r="C136" s="52" t="n">
        <v>25000000</v>
      </c>
      <c r="D136" s="53" t="n">
        <v>10.9</v>
      </c>
      <c r="E136" s="53">
        <f>D136-D135</f>
        <v/>
      </c>
    </row>
    <row r="137">
      <c r="B137" s="42" t="inlineStr">
        <is>
          <t>NM|1</t>
        </is>
      </c>
      <c r="C137" s="52" t="n">
        <v>0</v>
      </c>
      <c r="D137" s="53" t="n">
        <v>1.5</v>
      </c>
      <c r="E137" s="53">
        <f>D137</f>
        <v/>
      </c>
    </row>
    <row r="138">
      <c r="B138" s="42" t="inlineStr">
        <is>
          <t>NM|1</t>
        </is>
      </c>
      <c r="C138" s="52" t="n">
        <v>5500</v>
      </c>
      <c r="D138" s="53" t="n">
        <v>3.2</v>
      </c>
      <c r="E138" s="53">
        <f>D138-D137</f>
        <v/>
      </c>
    </row>
    <row r="139">
      <c r="B139" s="42" t="inlineStr">
        <is>
          <t>NM|1</t>
        </is>
      </c>
      <c r="C139" s="52" t="n">
        <v>16500</v>
      </c>
      <c r="D139" s="53" t="n">
        <v>4.3</v>
      </c>
      <c r="E139" s="53">
        <f>D139-D138</f>
        <v/>
      </c>
    </row>
    <row r="140">
      <c r="B140" s="42" t="inlineStr">
        <is>
          <t>NM|1</t>
        </is>
      </c>
      <c r="C140" s="52" t="n">
        <v>33500</v>
      </c>
      <c r="D140" s="53" t="n">
        <v>4.7</v>
      </c>
      <c r="E140" s="53">
        <f>D140-D139</f>
        <v/>
      </c>
    </row>
    <row r="141">
      <c r="B141" s="42" t="inlineStr">
        <is>
          <t>NM|1</t>
        </is>
      </c>
      <c r="C141" s="52" t="n">
        <v>66500</v>
      </c>
      <c r="D141" s="53" t="n">
        <v>4.9</v>
      </c>
      <c r="E141" s="53">
        <f>D141-D140</f>
        <v/>
      </c>
    </row>
    <row r="142">
      <c r="B142" s="42" t="inlineStr">
        <is>
          <t>NM|1</t>
        </is>
      </c>
      <c r="C142" s="52" t="n">
        <v>210000</v>
      </c>
      <c r="D142" s="53" t="n">
        <v>5.9</v>
      </c>
      <c r="E142" s="53">
        <f>D142-D141</f>
        <v/>
      </c>
    </row>
    <row r="143">
      <c r="B143" s="42" t="inlineStr">
        <is>
          <t>NM|2</t>
        </is>
      </c>
      <c r="C143" s="52" t="n">
        <v>0</v>
      </c>
      <c r="D143" s="53" t="n">
        <v>1.5</v>
      </c>
      <c r="E143" s="53">
        <f>D143</f>
        <v/>
      </c>
    </row>
    <row r="144">
      <c r="B144" s="42" t="inlineStr">
        <is>
          <t>NM|2</t>
        </is>
      </c>
      <c r="C144" s="52" t="n">
        <v>8000</v>
      </c>
      <c r="D144" s="53" t="n">
        <v>3.2</v>
      </c>
      <c r="E144" s="53">
        <f>D144-D143</f>
        <v/>
      </c>
    </row>
    <row r="145">
      <c r="B145" s="42" t="inlineStr">
        <is>
          <t>NM|2</t>
        </is>
      </c>
      <c r="C145" s="52" t="n">
        <v>25000</v>
      </c>
      <c r="D145" s="53" t="n">
        <v>4.3</v>
      </c>
      <c r="E145" s="53">
        <f>D145-D144</f>
        <v/>
      </c>
    </row>
    <row r="146">
      <c r="B146" s="42" t="inlineStr">
        <is>
          <t>NM|2</t>
        </is>
      </c>
      <c r="C146" s="52" t="n">
        <v>50000</v>
      </c>
      <c r="D146" s="53" t="n">
        <v>4.7</v>
      </c>
      <c r="E146" s="53">
        <f>D146-D145</f>
        <v/>
      </c>
    </row>
    <row r="147">
      <c r="B147" s="42" t="inlineStr">
        <is>
          <t>NM|2</t>
        </is>
      </c>
      <c r="C147" s="52" t="n">
        <v>100000</v>
      </c>
      <c r="D147" s="53" t="n">
        <v>4.9</v>
      </c>
      <c r="E147" s="53">
        <f>D147-D146</f>
        <v/>
      </c>
    </row>
    <row r="148">
      <c r="B148" s="42" t="inlineStr">
        <is>
          <t>NM|2</t>
        </is>
      </c>
      <c r="C148" s="52" t="n">
        <v>315000</v>
      </c>
      <c r="D148" s="53" t="n">
        <v>5.9</v>
      </c>
      <c r="E148" s="53">
        <f>D148-D147</f>
        <v/>
      </c>
    </row>
    <row r="149">
      <c r="B149" s="42" t="inlineStr">
        <is>
          <t>NM|3</t>
        </is>
      </c>
      <c r="C149" s="52" t="n">
        <v>0</v>
      </c>
      <c r="D149" s="53" t="n">
        <v>1.5</v>
      </c>
      <c r="E149" s="53">
        <f>D149</f>
        <v/>
      </c>
    </row>
    <row r="150">
      <c r="B150" s="42" t="inlineStr">
        <is>
          <t>NM|3</t>
        </is>
      </c>
      <c r="C150" s="52" t="n">
        <v>8000</v>
      </c>
      <c r="D150" s="53" t="n">
        <v>3.2</v>
      </c>
      <c r="E150" s="53">
        <f>D150-D149</f>
        <v/>
      </c>
    </row>
    <row r="151">
      <c r="B151" s="42" t="inlineStr">
        <is>
          <t>NM|3</t>
        </is>
      </c>
      <c r="C151" s="52" t="n">
        <v>25000</v>
      </c>
      <c r="D151" s="53" t="n">
        <v>4.3</v>
      </c>
      <c r="E151" s="53">
        <f>D151-D150</f>
        <v/>
      </c>
    </row>
    <row r="152">
      <c r="B152" s="42" t="inlineStr">
        <is>
          <t>NM|3</t>
        </is>
      </c>
      <c r="C152" s="52" t="n">
        <v>50000</v>
      </c>
      <c r="D152" s="53" t="n">
        <v>4.7</v>
      </c>
      <c r="E152" s="53">
        <f>D152-D151</f>
        <v/>
      </c>
    </row>
    <row r="153">
      <c r="B153" s="42" t="inlineStr">
        <is>
          <t>NM|3</t>
        </is>
      </c>
      <c r="C153" s="52" t="n">
        <v>100000</v>
      </c>
      <c r="D153" s="53" t="n">
        <v>4.9</v>
      </c>
      <c r="E153" s="53">
        <f>D153-D152</f>
        <v/>
      </c>
    </row>
    <row r="154">
      <c r="B154" s="42" t="inlineStr">
        <is>
          <t>NM|3</t>
        </is>
      </c>
      <c r="C154" s="52" t="n">
        <v>315000</v>
      </c>
      <c r="D154" s="53" t="n">
        <v>5.9</v>
      </c>
      <c r="E154" s="53">
        <f>D154-D153</f>
        <v/>
      </c>
    </row>
    <row r="155">
      <c r="B155" s="42" t="inlineStr">
        <is>
          <t>NM|4</t>
        </is>
      </c>
      <c r="C155" s="52" t="n">
        <v>0</v>
      </c>
      <c r="D155" s="53" t="n">
        <v>1.5</v>
      </c>
      <c r="E155" s="53">
        <f>D155</f>
        <v/>
      </c>
    </row>
    <row r="156">
      <c r="B156" s="42" t="inlineStr">
        <is>
          <t>NM|4</t>
        </is>
      </c>
      <c r="C156" s="52" t="n">
        <v>4000</v>
      </c>
      <c r="D156" s="53" t="n">
        <v>3.2</v>
      </c>
      <c r="E156" s="53">
        <f>D156-D155</f>
        <v/>
      </c>
    </row>
    <row r="157">
      <c r="B157" s="42" t="inlineStr">
        <is>
          <t>NM|4</t>
        </is>
      </c>
      <c r="C157" s="52" t="n">
        <v>12500</v>
      </c>
      <c r="D157" s="53" t="n">
        <v>4.3</v>
      </c>
      <c r="E157" s="53">
        <f>D157-D156</f>
        <v/>
      </c>
    </row>
    <row r="158">
      <c r="B158" s="42" t="inlineStr">
        <is>
          <t>NM|4</t>
        </is>
      </c>
      <c r="C158" s="52" t="n">
        <v>25000</v>
      </c>
      <c r="D158" s="53" t="n">
        <v>4.7</v>
      </c>
      <c r="E158" s="53">
        <f>D158-D157</f>
        <v/>
      </c>
    </row>
    <row r="159">
      <c r="B159" s="42" t="inlineStr">
        <is>
          <t>NM|4</t>
        </is>
      </c>
      <c r="C159" s="52" t="n">
        <v>50000</v>
      </c>
      <c r="D159" s="53" t="n">
        <v>4.9</v>
      </c>
      <c r="E159" s="53">
        <f>D159-D158</f>
        <v/>
      </c>
    </row>
    <row r="160">
      <c r="B160" s="42" t="inlineStr">
        <is>
          <t>NM|4</t>
        </is>
      </c>
      <c r="C160" s="52" t="n">
        <v>157500</v>
      </c>
      <c r="D160" s="53" t="n">
        <v>5.9</v>
      </c>
      <c r="E160" s="53">
        <f>D160-D159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rintOptions horizontalCentered="1"/>
  <pageMargins left="0.4" right="0.4" top="0.5" bottom="0.5" header="0.5" footer="0.5"/>
  <pageSetup orientation="landscape" paperSize="1" fitToHeight="0" fitToWidth="1"/>
  <headerFooter>
    <oddHeader/>
    <oddFooter>&amp;C&amp;8 ChequeClaro · &amp;A ·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Familia Claro</dc:creator>
  <dcterms:created xmlns:dcterms="http://purl.org/dc/terms/" xmlns:xsi="http://www.w3.org/2001/XMLSchema-instance" xsi:type="dcterms:W3CDTF">2026-10-31T04:14:29Z</dcterms:created>
  <dcterms:modified xmlns:dcterms="http://purl.org/dc/terms/" xmlns:xsi="http://www.w3.org/2001/XMLSchema-instance" xsi:type="dcterms:W3CDTF">2026-10-31T04:14:29Z</dcterms:modified>
  <cp:lastModifiedBy>Familia Claro</cp:lastModifiedBy>
</cp:coreProperties>
</file>